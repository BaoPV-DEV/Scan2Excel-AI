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alary2\Scan2Excel-AI\Template\gt\"/>
    </mc:Choice>
  </mc:AlternateContent>
  <xr:revisionPtr revIDLastSave="0" documentId="13_ncr:1_{FCE71818-1F15-4ACA-A41A-34484364963C}" xr6:coauthVersionLast="47" xr6:coauthVersionMax="47" xr10:uidLastSave="{00000000-0000-0000-0000-000000000000}"/>
  <bookViews>
    <workbookView xWindow="4155" yWindow="2955" windowWidth="21600" windowHeight="11385" activeTab="1" xr2:uid="{00000000-000D-0000-FFFF-FFFF00000000}"/>
  </bookViews>
  <sheets>
    <sheet name="Bang TH nop" sheetId="1" r:id="rId1"/>
    <sheet name="LƯƠNG Tx" sheetId="3" r:id="rId2"/>
    <sheet name="Phieu lương" sheetId="4" r:id="rId3"/>
  </sheets>
  <externalReferences>
    <externalReference r:id="rId4"/>
    <externalReference r:id="rId5"/>
    <externalReference r:id="rId6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_xlnm.Print_Area" localSheetId="1">#REF!</definedName>
    <definedName name="_xlnm.Print_Area" localSheetId="2">#REF!</definedName>
    <definedName name="_xlnm.Print_Area">#REF!</definedName>
    <definedName name="_xlnm.Print_Titles" localSheetId="1">'LƯƠNG Tx'!$5:$8</definedName>
    <definedName name="_xlnm.Print_Titles" localSheetId="2">#REF!</definedName>
    <definedName name="_xlnm.Print_Titles">#REF!</definedName>
    <definedName name="TaxTV">10%</definedName>
    <definedName name="TaxXL">5%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3" l="1"/>
  <c r="AD12" i="3"/>
  <c r="AD14" i="3"/>
  <c r="AD16" i="3"/>
  <c r="AD18" i="3"/>
  <c r="AD20" i="3"/>
  <c r="AD22" i="3"/>
  <c r="AD10" i="3"/>
  <c r="AA12" i="3"/>
  <c r="AB12" i="3"/>
  <c r="AA14" i="3"/>
  <c r="AB14" i="3"/>
  <c r="AA16" i="3"/>
  <c r="AB16" i="3"/>
  <c r="AA18" i="3"/>
  <c r="AB18" i="3"/>
  <c r="AC18" i="3"/>
  <c r="AA20" i="3"/>
  <c r="AB20" i="3"/>
  <c r="AA22" i="3"/>
  <c r="AB22" i="3"/>
  <c r="T12" i="3"/>
  <c r="W12" i="3" s="1"/>
  <c r="U12" i="3"/>
  <c r="V12" i="3"/>
  <c r="X12" i="3"/>
  <c r="T14" i="3"/>
  <c r="W14" i="3" s="1"/>
  <c r="U14" i="3"/>
  <c r="V14" i="3"/>
  <c r="X14" i="3"/>
  <c r="T16" i="3"/>
  <c r="W16" i="3" s="1"/>
  <c r="U16" i="3"/>
  <c r="V16" i="3"/>
  <c r="X16" i="3"/>
  <c r="T18" i="3"/>
  <c r="W18" i="3" s="1"/>
  <c r="U18" i="3"/>
  <c r="V18" i="3"/>
  <c r="X18" i="3"/>
  <c r="T20" i="3"/>
  <c r="W20" i="3" s="1"/>
  <c r="U20" i="3"/>
  <c r="V20" i="3"/>
  <c r="X20" i="3"/>
  <c r="T22" i="3"/>
  <c r="W22" i="3" s="1"/>
  <c r="U22" i="3"/>
  <c r="V22" i="3"/>
  <c r="X22" i="3"/>
  <c r="X66" i="3"/>
  <c r="W65" i="3"/>
  <c r="V66" i="3"/>
  <c r="V65" i="3"/>
  <c r="U66" i="3"/>
  <c r="U65" i="3"/>
  <c r="T66" i="3"/>
  <c r="T65" i="3"/>
  <c r="S66" i="3"/>
  <c r="S65" i="3"/>
  <c r="R66" i="3"/>
  <c r="R65" i="3"/>
  <c r="Q66" i="3"/>
  <c r="Q65" i="3"/>
  <c r="P66" i="3"/>
  <c r="P65" i="3"/>
  <c r="O65" i="3"/>
  <c r="N66" i="3"/>
  <c r="N65" i="3"/>
  <c r="K66" i="3"/>
  <c r="K65" i="3"/>
  <c r="J66" i="3"/>
  <c r="J65" i="3"/>
  <c r="J11" i="3"/>
  <c r="J12" i="3" s="1"/>
  <c r="K11" i="3"/>
  <c r="K12" i="3" s="1"/>
  <c r="L11" i="3"/>
  <c r="L12" i="3" s="1"/>
  <c r="L66" i="3" s="1"/>
  <c r="M12" i="3"/>
  <c r="N12" i="3"/>
  <c r="O12" i="3"/>
  <c r="P12" i="3"/>
  <c r="Q12" i="3"/>
  <c r="J13" i="3"/>
  <c r="K13" i="3"/>
  <c r="L13" i="3"/>
  <c r="J14" i="3"/>
  <c r="K14" i="3"/>
  <c r="L14" i="3"/>
  <c r="M14" i="3"/>
  <c r="N14" i="3"/>
  <c r="O14" i="3"/>
  <c r="P14" i="3"/>
  <c r="Q14" i="3"/>
  <c r="J15" i="3"/>
  <c r="K15" i="3"/>
  <c r="L15" i="3"/>
  <c r="J16" i="3"/>
  <c r="K16" i="3"/>
  <c r="L16" i="3"/>
  <c r="M16" i="3"/>
  <c r="N16" i="3"/>
  <c r="O16" i="3"/>
  <c r="P16" i="3"/>
  <c r="Q16" i="3"/>
  <c r="J17" i="3"/>
  <c r="K17" i="3"/>
  <c r="L17" i="3"/>
  <c r="J18" i="3"/>
  <c r="K18" i="3"/>
  <c r="L18" i="3"/>
  <c r="M18" i="3"/>
  <c r="N18" i="3"/>
  <c r="O18" i="3"/>
  <c r="P18" i="3"/>
  <c r="Q18" i="3"/>
  <c r="J19" i="3"/>
  <c r="K19" i="3"/>
  <c r="L19" i="3"/>
  <c r="J20" i="3"/>
  <c r="K20" i="3"/>
  <c r="L20" i="3"/>
  <c r="M20" i="3"/>
  <c r="N20" i="3"/>
  <c r="O20" i="3"/>
  <c r="P20" i="3"/>
  <c r="Q20" i="3"/>
  <c r="J21" i="3"/>
  <c r="K21" i="3"/>
  <c r="L21" i="3"/>
  <c r="J22" i="3"/>
  <c r="K22" i="3"/>
  <c r="L22" i="3"/>
  <c r="M22" i="3"/>
  <c r="N22" i="3"/>
  <c r="O22" i="3"/>
  <c r="P22" i="3"/>
  <c r="Q22" i="3"/>
  <c r="I66" i="3"/>
  <c r="I65" i="3"/>
  <c r="H66" i="3"/>
  <c r="H65" i="3"/>
  <c r="G66" i="3"/>
  <c r="G65" i="3"/>
  <c r="M66" i="3"/>
  <c r="M65" i="3"/>
  <c r="L65" i="3"/>
  <c r="I11" i="3"/>
  <c r="I12" i="3" s="1"/>
  <c r="I13" i="3"/>
  <c r="I14" i="3" s="1"/>
  <c r="I15" i="3"/>
  <c r="I16" i="3"/>
  <c r="I17" i="3"/>
  <c r="I18" i="3"/>
  <c r="I19" i="3"/>
  <c r="I20" i="3"/>
  <c r="I21" i="3"/>
  <c r="I22" i="3" s="1"/>
  <c r="H11" i="3"/>
  <c r="H12" i="3" s="1"/>
  <c r="H13" i="3"/>
  <c r="H14" i="3" s="1"/>
  <c r="H15" i="3"/>
  <c r="H16" i="3" s="1"/>
  <c r="H17" i="3"/>
  <c r="H18" i="3" s="1"/>
  <c r="H19" i="3"/>
  <c r="H20" i="3"/>
  <c r="H21" i="3"/>
  <c r="H22" i="3"/>
  <c r="G11" i="3"/>
  <c r="G12" i="3" s="1"/>
  <c r="G13" i="3"/>
  <c r="G14" i="3" s="1"/>
  <c r="G15" i="3"/>
  <c r="G16" i="3" s="1"/>
  <c r="G17" i="3"/>
  <c r="G18" i="3" s="1"/>
  <c r="G19" i="3"/>
  <c r="G20" i="3" s="1"/>
  <c r="G21" i="3"/>
  <c r="G22" i="3"/>
  <c r="D11" i="3"/>
  <c r="D12" i="3"/>
  <c r="D13" i="3"/>
  <c r="D14" i="3"/>
  <c r="D15" i="3"/>
  <c r="D16" i="3"/>
  <c r="D17" i="3"/>
  <c r="D18" i="3"/>
  <c r="D19" i="3"/>
  <c r="D20" i="3"/>
  <c r="D21" i="3"/>
  <c r="D22" i="3"/>
  <c r="C11" i="3"/>
  <c r="C13" i="3"/>
  <c r="C15" i="3"/>
  <c r="C17" i="3"/>
  <c r="C19" i="3"/>
  <c r="C21" i="3"/>
  <c r="C23" i="3"/>
  <c r="C25" i="3"/>
  <c r="C27" i="3"/>
  <c r="C29" i="3"/>
  <c r="C31" i="3"/>
  <c r="C33" i="3"/>
  <c r="C35" i="3"/>
  <c r="C37" i="3"/>
  <c r="C39" i="3"/>
  <c r="C41" i="3"/>
  <c r="C43" i="3"/>
  <c r="C45" i="3"/>
  <c r="C47" i="3"/>
  <c r="C49" i="3"/>
  <c r="C51" i="3"/>
  <c r="C53" i="3"/>
  <c r="C55" i="3"/>
  <c r="C57" i="3"/>
  <c r="C59" i="3"/>
  <c r="C61" i="3"/>
  <c r="C63" i="3"/>
  <c r="B11" i="3"/>
  <c r="B13" i="3"/>
  <c r="B15" i="3"/>
  <c r="B17" i="3"/>
  <c r="B19" i="3"/>
  <c r="B21" i="3"/>
  <c r="F22" i="3"/>
  <c r="F20" i="3"/>
  <c r="F18" i="3"/>
  <c r="F16" i="3"/>
  <c r="F14" i="3"/>
  <c r="F12" i="3"/>
  <c r="T10" i="3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P45" i="1"/>
  <c r="P47" i="1"/>
  <c r="P49" i="1"/>
  <c r="P51" i="1"/>
  <c r="P53" i="1"/>
  <c r="P55" i="1"/>
  <c r="P57" i="1"/>
  <c r="P59" i="1"/>
  <c r="P61" i="1"/>
  <c r="P63" i="1"/>
  <c r="P65" i="1"/>
  <c r="P67" i="1"/>
  <c r="P69" i="1"/>
  <c r="P71" i="1"/>
  <c r="P73" i="1"/>
  <c r="P75" i="1"/>
  <c r="P77" i="1"/>
  <c r="P79" i="1"/>
  <c r="P81" i="1"/>
  <c r="P83" i="1"/>
  <c r="P9" i="1"/>
  <c r="N27" i="1"/>
  <c r="N29" i="1"/>
  <c r="N31" i="1"/>
  <c r="N33" i="1"/>
  <c r="N35" i="1"/>
  <c r="N37" i="1"/>
  <c r="N39" i="1"/>
  <c r="N41" i="1"/>
  <c r="N43" i="1"/>
  <c r="N45" i="1"/>
  <c r="N47" i="1"/>
  <c r="N49" i="1"/>
  <c r="N51" i="1"/>
  <c r="N53" i="1"/>
  <c r="N55" i="1"/>
  <c r="N57" i="1"/>
  <c r="N59" i="1"/>
  <c r="N61" i="1"/>
  <c r="N63" i="1"/>
  <c r="N65" i="1"/>
  <c r="N67" i="1"/>
  <c r="N69" i="1"/>
  <c r="N71" i="1"/>
  <c r="N73" i="1"/>
  <c r="N75" i="1"/>
  <c r="N77" i="1"/>
  <c r="N79" i="1"/>
  <c r="N81" i="1"/>
  <c r="N83" i="1"/>
  <c r="N13" i="1"/>
  <c r="N15" i="1"/>
  <c r="N17" i="1"/>
  <c r="N19" i="1"/>
  <c r="N21" i="1"/>
  <c r="N23" i="1"/>
  <c r="N25" i="1"/>
  <c r="N11" i="1"/>
  <c r="N9" i="1"/>
  <c r="B9" i="3"/>
  <c r="AC14" i="3" l="1"/>
  <c r="AC16" i="3"/>
  <c r="AC20" i="3"/>
  <c r="AC12" i="3"/>
  <c r="AC22" i="3"/>
  <c r="W66" i="3"/>
  <c r="G23" i="3"/>
  <c r="G24" i="3" s="1"/>
  <c r="G25" i="3"/>
  <c r="G26" i="3" s="1"/>
  <c r="G27" i="3"/>
  <c r="G28" i="3" s="1"/>
  <c r="G29" i="3"/>
  <c r="G30" i="3" s="1"/>
  <c r="G31" i="3"/>
  <c r="G32" i="3" s="1"/>
  <c r="G33" i="3"/>
  <c r="G34" i="3" s="1"/>
  <c r="G35" i="3"/>
  <c r="G36" i="3" s="1"/>
  <c r="G37" i="3"/>
  <c r="G38" i="3" s="1"/>
  <c r="G39" i="3"/>
  <c r="G40" i="3" s="1"/>
  <c r="G41" i="3"/>
  <c r="G42" i="3" s="1"/>
  <c r="G43" i="3"/>
  <c r="G44" i="3" s="1"/>
  <c r="G45" i="3"/>
  <c r="G46" i="3" s="1"/>
  <c r="G47" i="3"/>
  <c r="G48" i="3" s="1"/>
  <c r="G49" i="3"/>
  <c r="G50" i="3" s="1"/>
  <c r="G51" i="3"/>
  <c r="G52" i="3" s="1"/>
  <c r="G53" i="3"/>
  <c r="G54" i="3" s="1"/>
  <c r="G55" i="3"/>
  <c r="G56" i="3" s="1"/>
  <c r="G57" i="3"/>
  <c r="G58" i="3"/>
  <c r="G59" i="3"/>
  <c r="G60" i="3" s="1"/>
  <c r="G61" i="3"/>
  <c r="G62" i="3" s="1"/>
  <c r="G63" i="3"/>
  <c r="G64" i="3" s="1"/>
  <c r="D10" i="3"/>
  <c r="V10" i="3" l="1"/>
  <c r="M10" i="3"/>
  <c r="U10" i="3"/>
  <c r="F10" i="3"/>
  <c r="P10" i="3" l="1"/>
  <c r="Q10" i="3"/>
  <c r="I23" i="3" l="1"/>
  <c r="I24" i="3" s="1"/>
  <c r="I25" i="3"/>
  <c r="I26" i="3" s="1"/>
  <c r="I27" i="3"/>
  <c r="I28" i="3" s="1"/>
  <c r="I29" i="3"/>
  <c r="I30" i="3" s="1"/>
  <c r="I31" i="3"/>
  <c r="I32" i="3" s="1"/>
  <c r="I33" i="3"/>
  <c r="I34" i="3" s="1"/>
  <c r="I35" i="3"/>
  <c r="I36" i="3" s="1"/>
  <c r="I37" i="3"/>
  <c r="I38" i="3" s="1"/>
  <c r="I39" i="3"/>
  <c r="I40" i="3" s="1"/>
  <c r="I41" i="3"/>
  <c r="I42" i="3" s="1"/>
  <c r="I43" i="3"/>
  <c r="I44" i="3" s="1"/>
  <c r="I45" i="3"/>
  <c r="I46" i="3" s="1"/>
  <c r="I47" i="3"/>
  <c r="I48" i="3" s="1"/>
  <c r="I49" i="3"/>
  <c r="I50" i="3" s="1"/>
  <c r="I51" i="3"/>
  <c r="I52" i="3" s="1"/>
  <c r="I53" i="3"/>
  <c r="I54" i="3" s="1"/>
  <c r="I55" i="3"/>
  <c r="I56" i="3" s="1"/>
  <c r="I57" i="3"/>
  <c r="I58" i="3" s="1"/>
  <c r="I59" i="3"/>
  <c r="I60" i="3" s="1"/>
  <c r="I61" i="3"/>
  <c r="I62" i="3" s="1"/>
  <c r="I63" i="3"/>
  <c r="I64" i="3" s="1"/>
  <c r="X10" i="3" l="1"/>
  <c r="X67" i="3" s="1"/>
  <c r="Y24" i="3"/>
  <c r="Z24" i="3"/>
  <c r="Y26" i="3"/>
  <c r="Z26" i="3"/>
  <c r="Y28" i="3"/>
  <c r="Z28" i="3"/>
  <c r="Y30" i="3"/>
  <c r="Z30" i="3"/>
  <c r="Y32" i="3"/>
  <c r="Z32" i="3"/>
  <c r="Y34" i="3"/>
  <c r="Z34" i="3"/>
  <c r="Y36" i="3"/>
  <c r="Z36" i="3"/>
  <c r="Y38" i="3"/>
  <c r="Z38" i="3"/>
  <c r="Y40" i="3"/>
  <c r="Z40" i="3"/>
  <c r="Y42" i="3"/>
  <c r="Z42" i="3"/>
  <c r="Y44" i="3"/>
  <c r="Z44" i="3"/>
  <c r="Y46" i="3"/>
  <c r="Z46" i="3"/>
  <c r="Y48" i="3"/>
  <c r="Z48" i="3"/>
  <c r="Y50" i="3"/>
  <c r="Z50" i="3"/>
  <c r="Y52" i="3"/>
  <c r="Z52" i="3"/>
  <c r="Y54" i="3"/>
  <c r="Z54" i="3"/>
  <c r="Y56" i="3"/>
  <c r="Z56" i="3"/>
  <c r="Y58" i="3"/>
  <c r="Z58" i="3"/>
  <c r="Y60" i="3"/>
  <c r="Z60" i="3"/>
  <c r="Y62" i="3"/>
  <c r="Z62" i="3"/>
  <c r="Y64" i="3"/>
  <c r="Z64" i="3"/>
  <c r="C9" i="3"/>
  <c r="AA10" i="3" l="1"/>
  <c r="J9" i="3" l="1"/>
  <c r="J10" i="3" s="1"/>
  <c r="L9" i="3"/>
  <c r="L10" i="3" s="1"/>
  <c r="N10" i="3"/>
  <c r="K9" i="3" l="1"/>
  <c r="K10" i="3" s="1"/>
  <c r="F4" i="4" l="1"/>
  <c r="R4" i="4"/>
  <c r="F5" i="4"/>
  <c r="I11" i="4"/>
  <c r="U11" i="4"/>
  <c r="X11" i="4"/>
  <c r="I12" i="4"/>
  <c r="U12" i="4"/>
  <c r="T24" i="4" s="1"/>
  <c r="T32" i="4" s="1"/>
  <c r="I14" i="4"/>
  <c r="U14" i="4"/>
  <c r="L15" i="4"/>
  <c r="X15" i="4"/>
  <c r="X20" i="4" s="1"/>
  <c r="I16" i="4"/>
  <c r="U16" i="4"/>
  <c r="I18" i="4"/>
  <c r="U18" i="4"/>
  <c r="I21" i="4"/>
  <c r="R42" i="4"/>
  <c r="R43" i="4"/>
  <c r="U47" i="4"/>
  <c r="I49" i="4"/>
  <c r="L58" i="4" s="1"/>
  <c r="L49" i="4"/>
  <c r="O49" i="4"/>
  <c r="U48" i="4" s="1"/>
  <c r="U49" i="4"/>
  <c r="I50" i="4"/>
  <c r="O50" i="4"/>
  <c r="U50" i="4" s="1"/>
  <c r="O51" i="4"/>
  <c r="U51" i="4" s="1"/>
  <c r="I52" i="4"/>
  <c r="O52" i="4"/>
  <c r="U52" i="4" s="1"/>
  <c r="L53" i="4"/>
  <c r="O53" i="4"/>
  <c r="X53" i="4" s="1"/>
  <c r="U53" i="4"/>
  <c r="I54" i="4"/>
  <c r="I56" i="4"/>
  <c r="O56" i="4"/>
  <c r="U56" i="4" s="1"/>
  <c r="I59" i="4"/>
  <c r="U60" i="4"/>
  <c r="F79" i="4"/>
  <c r="R79" i="4"/>
  <c r="F80" i="4"/>
  <c r="R80" i="4"/>
  <c r="I84" i="4"/>
  <c r="U84" i="4"/>
  <c r="C86" i="4"/>
  <c r="H103" i="4" s="1"/>
  <c r="I86" i="4"/>
  <c r="O86" i="4"/>
  <c r="X86" i="4" s="1"/>
  <c r="U86" i="4"/>
  <c r="U85" i="4" s="1"/>
  <c r="C87" i="4"/>
  <c r="I87" i="4" s="1"/>
  <c r="O87" i="4"/>
  <c r="C88" i="4"/>
  <c r="I88" i="4" s="1"/>
  <c r="O88" i="4"/>
  <c r="U88" i="4"/>
  <c r="C89" i="4"/>
  <c r="I89" i="4" s="1"/>
  <c r="O89" i="4"/>
  <c r="U89" i="4" s="1"/>
  <c r="C90" i="4"/>
  <c r="L90" i="4" s="1"/>
  <c r="I90" i="4"/>
  <c r="O90" i="4"/>
  <c r="U90" i="4"/>
  <c r="X90" i="4"/>
  <c r="C93" i="4"/>
  <c r="I93" i="4"/>
  <c r="O93" i="4"/>
  <c r="U93" i="4" s="1"/>
  <c r="I97" i="4"/>
  <c r="U97" i="4"/>
  <c r="F116" i="4"/>
  <c r="R116" i="4"/>
  <c r="F117" i="4"/>
  <c r="R117" i="4"/>
  <c r="I121" i="4"/>
  <c r="U121" i="4"/>
  <c r="I122" i="4"/>
  <c r="U122" i="4"/>
  <c r="C123" i="4"/>
  <c r="I123" i="4"/>
  <c r="L123" i="4"/>
  <c r="O123" i="4"/>
  <c r="T139" i="4" s="1"/>
  <c r="T143" i="4" s="1"/>
  <c r="U123" i="4"/>
  <c r="X123" i="4"/>
  <c r="C124" i="4"/>
  <c r="I124" i="4" s="1"/>
  <c r="O124" i="4"/>
  <c r="U124" i="4" s="1"/>
  <c r="C125" i="4"/>
  <c r="I125" i="4" s="1"/>
  <c r="O125" i="4"/>
  <c r="U125" i="4"/>
  <c r="C126" i="4"/>
  <c r="I126" i="4" s="1"/>
  <c r="O126" i="4"/>
  <c r="U126" i="4" s="1"/>
  <c r="C127" i="4"/>
  <c r="L127" i="4" s="1"/>
  <c r="I127" i="4"/>
  <c r="O127" i="4"/>
  <c r="X127" i="4" s="1"/>
  <c r="X132" i="4" s="1"/>
  <c r="U135" i="4" s="1"/>
  <c r="U127" i="4"/>
  <c r="C130" i="4"/>
  <c r="I130" i="4"/>
  <c r="O130" i="4"/>
  <c r="U130" i="4" s="1"/>
  <c r="I134" i="4"/>
  <c r="U134" i="4"/>
  <c r="H139" i="4"/>
  <c r="H143" i="4" s="1"/>
  <c r="H140" i="4"/>
  <c r="T140" i="4"/>
  <c r="H141" i="4"/>
  <c r="T141" i="4"/>
  <c r="F153" i="4"/>
  <c r="R153" i="4"/>
  <c r="F154" i="4"/>
  <c r="R154" i="4"/>
  <c r="I158" i="4"/>
  <c r="U158" i="4"/>
  <c r="C160" i="4"/>
  <c r="I160" i="4"/>
  <c r="I159" i="4" s="1"/>
  <c r="L160" i="4"/>
  <c r="L169" i="4" s="1"/>
  <c r="I172" i="4" s="1"/>
  <c r="O160" i="4"/>
  <c r="U160" i="4"/>
  <c r="X160" i="4"/>
  <c r="C161" i="4"/>
  <c r="H177" i="4" s="1"/>
  <c r="O161" i="4"/>
  <c r="C162" i="4"/>
  <c r="H176" i="4" s="1"/>
  <c r="H180" i="4" s="1"/>
  <c r="O162" i="4"/>
  <c r="U162" i="4" s="1"/>
  <c r="C163" i="4"/>
  <c r="I163" i="4" s="1"/>
  <c r="O163" i="4"/>
  <c r="U163" i="4" s="1"/>
  <c r="C164" i="4"/>
  <c r="I164" i="4"/>
  <c r="L164" i="4"/>
  <c r="O164" i="4"/>
  <c r="X164" i="4" s="1"/>
  <c r="U164" i="4"/>
  <c r="C167" i="4"/>
  <c r="I167" i="4" s="1"/>
  <c r="O167" i="4"/>
  <c r="U167" i="4" s="1"/>
  <c r="I171" i="4"/>
  <c r="U171" i="4"/>
  <c r="F190" i="4"/>
  <c r="R190" i="4"/>
  <c r="F191" i="4"/>
  <c r="R191" i="4"/>
  <c r="I195" i="4"/>
  <c r="U195" i="4"/>
  <c r="I196" i="4"/>
  <c r="C197" i="4"/>
  <c r="L197" i="4" s="1"/>
  <c r="L206" i="4" s="1"/>
  <c r="I209" i="4" s="1"/>
  <c r="I197" i="4"/>
  <c r="O197" i="4"/>
  <c r="U197" i="4"/>
  <c r="U196" i="4" s="1"/>
  <c r="X197" i="4"/>
  <c r="C198" i="4"/>
  <c r="I198" i="4"/>
  <c r="O198" i="4"/>
  <c r="U198" i="4" s="1"/>
  <c r="C199" i="4"/>
  <c r="I199" i="4" s="1"/>
  <c r="O199" i="4"/>
  <c r="U199" i="4" s="1"/>
  <c r="C200" i="4"/>
  <c r="I200" i="4" s="1"/>
  <c r="O200" i="4"/>
  <c r="U200" i="4" s="1"/>
  <c r="C201" i="4"/>
  <c r="I201" i="4"/>
  <c r="L201" i="4"/>
  <c r="O201" i="4"/>
  <c r="U201" i="4"/>
  <c r="X201" i="4"/>
  <c r="X206" i="4" s="1"/>
  <c r="U209" i="4" s="1"/>
  <c r="C204" i="4"/>
  <c r="I204" i="4"/>
  <c r="O204" i="4"/>
  <c r="U204" i="4" s="1"/>
  <c r="I208" i="4"/>
  <c r="U208" i="4"/>
  <c r="F227" i="4"/>
  <c r="R227" i="4"/>
  <c r="F228" i="4"/>
  <c r="R228" i="4"/>
  <c r="I232" i="4"/>
  <c r="U232" i="4"/>
  <c r="C234" i="4"/>
  <c r="H251" i="4" s="1"/>
  <c r="I234" i="4"/>
  <c r="L234" i="4"/>
  <c r="L243" i="4" s="1"/>
  <c r="I246" i="4" s="1"/>
  <c r="O234" i="4"/>
  <c r="U234" i="4"/>
  <c r="X243" i="4" s="1"/>
  <c r="U246" i="4" s="1"/>
  <c r="X234" i="4"/>
  <c r="C235" i="4"/>
  <c r="I235" i="4"/>
  <c r="O235" i="4"/>
  <c r="C236" i="4"/>
  <c r="I236" i="4" s="1"/>
  <c r="O236" i="4"/>
  <c r="U236" i="4"/>
  <c r="C237" i="4"/>
  <c r="I237" i="4" s="1"/>
  <c r="O237" i="4"/>
  <c r="U237" i="4" s="1"/>
  <c r="C238" i="4"/>
  <c r="I238" i="4"/>
  <c r="L238" i="4"/>
  <c r="O238" i="4"/>
  <c r="U238" i="4"/>
  <c r="X238" i="4"/>
  <c r="C241" i="4"/>
  <c r="I241" i="4" s="1"/>
  <c r="O241" i="4"/>
  <c r="U241" i="4" s="1"/>
  <c r="I245" i="4"/>
  <c r="U245" i="4"/>
  <c r="F264" i="4"/>
  <c r="R264" i="4"/>
  <c r="F265" i="4"/>
  <c r="R265" i="4"/>
  <c r="I269" i="4"/>
  <c r="U269" i="4"/>
  <c r="U270" i="4"/>
  <c r="C271" i="4"/>
  <c r="L271" i="4" s="1"/>
  <c r="L280" i="4" s="1"/>
  <c r="I283" i="4" s="1"/>
  <c r="I271" i="4"/>
  <c r="I270" i="4" s="1"/>
  <c r="O271" i="4"/>
  <c r="X271" i="4" s="1"/>
  <c r="U271" i="4"/>
  <c r="C272" i="4"/>
  <c r="I272" i="4" s="1"/>
  <c r="O272" i="4"/>
  <c r="U272" i="4" s="1"/>
  <c r="C273" i="4"/>
  <c r="I273" i="4" s="1"/>
  <c r="O273" i="4"/>
  <c r="U273" i="4"/>
  <c r="C274" i="4"/>
  <c r="I274" i="4" s="1"/>
  <c r="O274" i="4"/>
  <c r="U274" i="4" s="1"/>
  <c r="C275" i="4"/>
  <c r="L275" i="4" s="1"/>
  <c r="I275" i="4"/>
  <c r="O275" i="4"/>
  <c r="U275" i="4"/>
  <c r="X275" i="4"/>
  <c r="C278" i="4"/>
  <c r="I278" i="4"/>
  <c r="O278" i="4"/>
  <c r="U278" i="4" s="1"/>
  <c r="I282" i="4"/>
  <c r="U282" i="4"/>
  <c r="F301" i="4"/>
  <c r="R301" i="4"/>
  <c r="F302" i="4"/>
  <c r="R302" i="4"/>
  <c r="I306" i="4"/>
  <c r="U306" i="4"/>
  <c r="C308" i="4"/>
  <c r="L308" i="4" s="1"/>
  <c r="L317" i="4" s="1"/>
  <c r="I320" i="4" s="1"/>
  <c r="I308" i="4"/>
  <c r="O308" i="4"/>
  <c r="U308" i="4"/>
  <c r="X308" i="4"/>
  <c r="C309" i="4"/>
  <c r="I309" i="4"/>
  <c r="O309" i="4"/>
  <c r="C310" i="4"/>
  <c r="I310" i="4"/>
  <c r="O310" i="4"/>
  <c r="U310" i="4"/>
  <c r="C311" i="4"/>
  <c r="I311" i="4" s="1"/>
  <c r="O311" i="4"/>
  <c r="U311" i="4" s="1"/>
  <c r="C312" i="4"/>
  <c r="I312" i="4"/>
  <c r="L312" i="4"/>
  <c r="O312" i="4"/>
  <c r="U312" i="4"/>
  <c r="X312" i="4"/>
  <c r="C315" i="4"/>
  <c r="I315" i="4"/>
  <c r="O315" i="4"/>
  <c r="U315" i="4" s="1"/>
  <c r="I319" i="4"/>
  <c r="U319" i="4"/>
  <c r="H325" i="4"/>
  <c r="H326" i="4"/>
  <c r="F338" i="4"/>
  <c r="R338" i="4"/>
  <c r="F339" i="4"/>
  <c r="R339" i="4"/>
  <c r="I343" i="4"/>
  <c r="U343" i="4"/>
  <c r="C345" i="4"/>
  <c r="I345" i="4"/>
  <c r="I344" i="4" s="1"/>
  <c r="L345" i="4"/>
  <c r="O345" i="4"/>
  <c r="T361" i="4" s="1"/>
  <c r="T365" i="4" s="1"/>
  <c r="U345" i="4"/>
  <c r="U344" i="4" s="1"/>
  <c r="C346" i="4"/>
  <c r="H361" i="4" s="1"/>
  <c r="H365" i="4" s="1"/>
  <c r="O346" i="4"/>
  <c r="U346" i="4" s="1"/>
  <c r="C347" i="4"/>
  <c r="I347" i="4" s="1"/>
  <c r="O347" i="4"/>
  <c r="U347" i="4"/>
  <c r="C348" i="4"/>
  <c r="I348" i="4" s="1"/>
  <c r="O348" i="4"/>
  <c r="U348" i="4"/>
  <c r="C349" i="4"/>
  <c r="L349" i="4" s="1"/>
  <c r="I349" i="4"/>
  <c r="O349" i="4"/>
  <c r="X349" i="4" s="1"/>
  <c r="U349" i="4"/>
  <c r="C352" i="4"/>
  <c r="I352" i="4" s="1"/>
  <c r="O352" i="4"/>
  <c r="U352" i="4" s="1"/>
  <c r="I356" i="4"/>
  <c r="U356" i="4"/>
  <c r="F375" i="4"/>
  <c r="R375" i="4"/>
  <c r="F376" i="4"/>
  <c r="R376" i="4"/>
  <c r="I380" i="4"/>
  <c r="U380" i="4"/>
  <c r="C382" i="4"/>
  <c r="I382" i="4"/>
  <c r="I381" i="4" s="1"/>
  <c r="L382" i="4"/>
  <c r="O382" i="4"/>
  <c r="X382" i="4" s="1"/>
  <c r="U382" i="4"/>
  <c r="C383" i="4"/>
  <c r="H399" i="4" s="1"/>
  <c r="O383" i="4"/>
  <c r="T399" i="4" s="1"/>
  <c r="C384" i="4"/>
  <c r="I384" i="4"/>
  <c r="O384" i="4"/>
  <c r="U384" i="4" s="1"/>
  <c r="C385" i="4"/>
  <c r="I385" i="4" s="1"/>
  <c r="O385" i="4"/>
  <c r="U385" i="4" s="1"/>
  <c r="C386" i="4"/>
  <c r="L386" i="4" s="1"/>
  <c r="I386" i="4"/>
  <c r="O386" i="4"/>
  <c r="U386" i="4"/>
  <c r="X386" i="4"/>
  <c r="C389" i="4"/>
  <c r="I389" i="4"/>
  <c r="O389" i="4"/>
  <c r="U389" i="4" s="1"/>
  <c r="I393" i="4"/>
  <c r="U393" i="4"/>
  <c r="F412" i="4"/>
  <c r="R412" i="4"/>
  <c r="F413" i="4"/>
  <c r="R413" i="4"/>
  <c r="I417" i="4"/>
  <c r="U417" i="4"/>
  <c r="C419" i="4"/>
  <c r="I418" i="4" s="1"/>
  <c r="I419" i="4"/>
  <c r="L419" i="4"/>
  <c r="O419" i="4"/>
  <c r="T435" i="4" s="1"/>
  <c r="T439" i="4" s="1"/>
  <c r="U419" i="4"/>
  <c r="U418" i="4" s="1"/>
  <c r="X419" i="4"/>
  <c r="C420" i="4"/>
  <c r="I420" i="4"/>
  <c r="O420" i="4"/>
  <c r="U420" i="4" s="1"/>
  <c r="C421" i="4"/>
  <c r="I421" i="4" s="1"/>
  <c r="O421" i="4"/>
  <c r="U421" i="4" s="1"/>
  <c r="C422" i="4"/>
  <c r="I422" i="4" s="1"/>
  <c r="O422" i="4"/>
  <c r="U422" i="4"/>
  <c r="C423" i="4"/>
  <c r="I423" i="4"/>
  <c r="L423" i="4"/>
  <c r="O423" i="4"/>
  <c r="X423" i="4" s="1"/>
  <c r="X428" i="4" s="1"/>
  <c r="U431" i="4" s="1"/>
  <c r="U423" i="4"/>
  <c r="C426" i="4"/>
  <c r="I426" i="4" s="1"/>
  <c r="O426" i="4"/>
  <c r="U426" i="4" s="1"/>
  <c r="I430" i="4"/>
  <c r="U430" i="4"/>
  <c r="F449" i="4"/>
  <c r="R449" i="4"/>
  <c r="F450" i="4"/>
  <c r="R450" i="4"/>
  <c r="I454" i="4"/>
  <c r="U454" i="4"/>
  <c r="C456" i="4"/>
  <c r="I456" i="4"/>
  <c r="I455" i="4" s="1"/>
  <c r="L456" i="4"/>
  <c r="L465" i="4" s="1"/>
  <c r="I468" i="4" s="1"/>
  <c r="O456" i="4"/>
  <c r="U456" i="4"/>
  <c r="X456" i="4"/>
  <c r="C457" i="4"/>
  <c r="H473" i="4" s="1"/>
  <c r="O457" i="4"/>
  <c r="C458" i="4"/>
  <c r="H472" i="4" s="1"/>
  <c r="H476" i="4" s="1"/>
  <c r="O458" i="4"/>
  <c r="U458" i="4" s="1"/>
  <c r="C459" i="4"/>
  <c r="I459" i="4" s="1"/>
  <c r="O459" i="4"/>
  <c r="U459" i="4" s="1"/>
  <c r="C460" i="4"/>
  <c r="I460" i="4"/>
  <c r="L460" i="4"/>
  <c r="O460" i="4"/>
  <c r="X460" i="4" s="1"/>
  <c r="U460" i="4"/>
  <c r="C463" i="4"/>
  <c r="I463" i="4" s="1"/>
  <c r="O463" i="4"/>
  <c r="U463" i="4" s="1"/>
  <c r="I467" i="4"/>
  <c r="U467" i="4"/>
  <c r="F486" i="4"/>
  <c r="R486" i="4"/>
  <c r="F487" i="4"/>
  <c r="R487" i="4"/>
  <c r="I491" i="4"/>
  <c r="U491" i="4"/>
  <c r="I492" i="4"/>
  <c r="C493" i="4"/>
  <c r="L493" i="4" s="1"/>
  <c r="L502" i="4" s="1"/>
  <c r="I505" i="4" s="1"/>
  <c r="I493" i="4"/>
  <c r="O493" i="4"/>
  <c r="U493" i="4"/>
  <c r="U492" i="4" s="1"/>
  <c r="X493" i="4"/>
  <c r="C494" i="4"/>
  <c r="I494" i="4" s="1"/>
  <c r="O494" i="4"/>
  <c r="U494" i="4" s="1"/>
  <c r="C495" i="4"/>
  <c r="I495" i="4" s="1"/>
  <c r="O495" i="4"/>
  <c r="U495" i="4" s="1"/>
  <c r="C496" i="4"/>
  <c r="I496" i="4" s="1"/>
  <c r="O496" i="4"/>
  <c r="U496" i="4" s="1"/>
  <c r="C497" i="4"/>
  <c r="I497" i="4"/>
  <c r="L497" i="4"/>
  <c r="O497" i="4"/>
  <c r="U497" i="4"/>
  <c r="X497" i="4"/>
  <c r="X502" i="4" s="1"/>
  <c r="U505" i="4" s="1"/>
  <c r="C500" i="4"/>
  <c r="I500" i="4"/>
  <c r="O500" i="4"/>
  <c r="U500" i="4" s="1"/>
  <c r="I504" i="4"/>
  <c r="U504" i="4"/>
  <c r="F523" i="4"/>
  <c r="R523" i="4"/>
  <c r="F524" i="4"/>
  <c r="R524" i="4"/>
  <c r="I528" i="4"/>
  <c r="U528" i="4"/>
  <c r="C530" i="4"/>
  <c r="H547" i="4" s="1"/>
  <c r="I530" i="4"/>
  <c r="L530" i="4"/>
  <c r="L539" i="4" s="1"/>
  <c r="I542" i="4" s="1"/>
  <c r="O530" i="4"/>
  <c r="U530" i="4"/>
  <c r="X539" i="4" s="1"/>
  <c r="U542" i="4" s="1"/>
  <c r="X530" i="4"/>
  <c r="C531" i="4"/>
  <c r="I531" i="4"/>
  <c r="O531" i="4"/>
  <c r="C532" i="4"/>
  <c r="I532" i="4" s="1"/>
  <c r="O532" i="4"/>
  <c r="U532" i="4"/>
  <c r="C533" i="4"/>
  <c r="I533" i="4" s="1"/>
  <c r="O533" i="4"/>
  <c r="U533" i="4" s="1"/>
  <c r="C534" i="4"/>
  <c r="I534" i="4"/>
  <c r="L534" i="4"/>
  <c r="O534" i="4"/>
  <c r="U534" i="4"/>
  <c r="X534" i="4"/>
  <c r="C537" i="4"/>
  <c r="I537" i="4" s="1"/>
  <c r="O537" i="4"/>
  <c r="U537" i="4" s="1"/>
  <c r="I541" i="4"/>
  <c r="U541" i="4"/>
  <c r="F560" i="4"/>
  <c r="R560" i="4"/>
  <c r="F561" i="4"/>
  <c r="R561" i="4"/>
  <c r="I565" i="4"/>
  <c r="U565" i="4"/>
  <c r="U566" i="4"/>
  <c r="C567" i="4"/>
  <c r="L567" i="4" s="1"/>
  <c r="L576" i="4" s="1"/>
  <c r="I579" i="4" s="1"/>
  <c r="I567" i="4"/>
  <c r="I566" i="4" s="1"/>
  <c r="O567" i="4"/>
  <c r="X567" i="4" s="1"/>
  <c r="U567" i="4"/>
  <c r="C568" i="4"/>
  <c r="I568" i="4" s="1"/>
  <c r="O568" i="4"/>
  <c r="U568" i="4" s="1"/>
  <c r="C569" i="4"/>
  <c r="I569" i="4" s="1"/>
  <c r="O569" i="4"/>
  <c r="U569" i="4"/>
  <c r="C570" i="4"/>
  <c r="I570" i="4" s="1"/>
  <c r="O570" i="4"/>
  <c r="U570" i="4" s="1"/>
  <c r="C571" i="4"/>
  <c r="L571" i="4" s="1"/>
  <c r="I571" i="4"/>
  <c r="O571" i="4"/>
  <c r="U571" i="4"/>
  <c r="X571" i="4"/>
  <c r="C574" i="4"/>
  <c r="I574" i="4" s="1"/>
  <c r="O574" i="4"/>
  <c r="U574" i="4" s="1"/>
  <c r="I578" i="4"/>
  <c r="U578" i="4"/>
  <c r="F597" i="4"/>
  <c r="R597" i="4"/>
  <c r="F598" i="4"/>
  <c r="R598" i="4"/>
  <c r="I602" i="4"/>
  <c r="U602" i="4"/>
  <c r="C604" i="4"/>
  <c r="L604" i="4" s="1"/>
  <c r="L613" i="4" s="1"/>
  <c r="I616" i="4" s="1"/>
  <c r="I604" i="4"/>
  <c r="O604" i="4"/>
  <c r="U604" i="4"/>
  <c r="X604" i="4"/>
  <c r="C605" i="4"/>
  <c r="I605" i="4"/>
  <c r="O605" i="4"/>
  <c r="C606" i="4"/>
  <c r="I606" i="4"/>
  <c r="O606" i="4"/>
  <c r="U606" i="4"/>
  <c r="C607" i="4"/>
  <c r="I607" i="4" s="1"/>
  <c r="O607" i="4"/>
  <c r="U607" i="4" s="1"/>
  <c r="C608" i="4"/>
  <c r="I608" i="4"/>
  <c r="L608" i="4"/>
  <c r="O608" i="4"/>
  <c r="U608" i="4"/>
  <c r="X608" i="4"/>
  <c r="C611" i="4"/>
  <c r="I611" i="4"/>
  <c r="O611" i="4"/>
  <c r="U611" i="4" s="1"/>
  <c r="I615" i="4"/>
  <c r="U615" i="4"/>
  <c r="H621" i="4"/>
  <c r="H622" i="4"/>
  <c r="F634" i="4"/>
  <c r="R634" i="4"/>
  <c r="F635" i="4"/>
  <c r="R635" i="4"/>
  <c r="I639" i="4"/>
  <c r="U639" i="4"/>
  <c r="C641" i="4"/>
  <c r="I640" i="4" s="1"/>
  <c r="I641" i="4"/>
  <c r="L641" i="4"/>
  <c r="O641" i="4"/>
  <c r="T657" i="4" s="1"/>
  <c r="T661" i="4" s="1"/>
  <c r="U641" i="4"/>
  <c r="U640" i="4" s="1"/>
  <c r="C642" i="4"/>
  <c r="I642" i="4" s="1"/>
  <c r="O642" i="4"/>
  <c r="U642" i="4" s="1"/>
  <c r="C643" i="4"/>
  <c r="I643" i="4" s="1"/>
  <c r="O643" i="4"/>
  <c r="U643" i="4"/>
  <c r="C644" i="4"/>
  <c r="I644" i="4" s="1"/>
  <c r="O644" i="4"/>
  <c r="U644" i="4"/>
  <c r="C645" i="4"/>
  <c r="L645" i="4" s="1"/>
  <c r="I645" i="4"/>
  <c r="O645" i="4"/>
  <c r="X645" i="4" s="1"/>
  <c r="U645" i="4"/>
  <c r="C648" i="4"/>
  <c r="I648" i="4" s="1"/>
  <c r="O648" i="4"/>
  <c r="U648" i="4" s="1"/>
  <c r="I652" i="4"/>
  <c r="U652" i="4"/>
  <c r="F671" i="4"/>
  <c r="R671" i="4"/>
  <c r="F672" i="4"/>
  <c r="R672" i="4"/>
  <c r="I676" i="4"/>
  <c r="U676" i="4"/>
  <c r="C678" i="4"/>
  <c r="I678" i="4"/>
  <c r="I677" i="4" s="1"/>
  <c r="L678" i="4"/>
  <c r="L687" i="4" s="1"/>
  <c r="I690" i="4" s="1"/>
  <c r="O678" i="4"/>
  <c r="X678" i="4" s="1"/>
  <c r="U678" i="4"/>
  <c r="C679" i="4"/>
  <c r="H695" i="4" s="1"/>
  <c r="O679" i="4"/>
  <c r="T695" i="4" s="1"/>
  <c r="C680" i="4"/>
  <c r="I680" i="4"/>
  <c r="O680" i="4"/>
  <c r="U680" i="4" s="1"/>
  <c r="C681" i="4"/>
  <c r="I681" i="4" s="1"/>
  <c r="O681" i="4"/>
  <c r="U681" i="4" s="1"/>
  <c r="C682" i="4"/>
  <c r="L682" i="4" s="1"/>
  <c r="I682" i="4"/>
  <c r="O682" i="4"/>
  <c r="U682" i="4"/>
  <c r="X682" i="4"/>
  <c r="C685" i="4"/>
  <c r="I685" i="4"/>
  <c r="O685" i="4"/>
  <c r="U685" i="4" s="1"/>
  <c r="I689" i="4"/>
  <c r="U689" i="4"/>
  <c r="F708" i="4"/>
  <c r="R708" i="4"/>
  <c r="F709" i="4"/>
  <c r="R709" i="4"/>
  <c r="I713" i="4"/>
  <c r="U713" i="4"/>
  <c r="C715" i="4"/>
  <c r="I715" i="4"/>
  <c r="I714" i="4" s="1"/>
  <c r="L715" i="4"/>
  <c r="O715" i="4"/>
  <c r="T731" i="4" s="1"/>
  <c r="T735" i="4" s="1"/>
  <c r="U715" i="4"/>
  <c r="U714" i="4" s="1"/>
  <c r="X715" i="4"/>
  <c r="C716" i="4"/>
  <c r="I716" i="4"/>
  <c r="O716" i="4"/>
  <c r="U716" i="4" s="1"/>
  <c r="C717" i="4"/>
  <c r="I717" i="4" s="1"/>
  <c r="O717" i="4"/>
  <c r="U717" i="4" s="1"/>
  <c r="C718" i="4"/>
  <c r="I718" i="4" s="1"/>
  <c r="O718" i="4"/>
  <c r="U718" i="4"/>
  <c r="C719" i="4"/>
  <c r="I719" i="4"/>
  <c r="L719" i="4"/>
  <c r="O719" i="4"/>
  <c r="X719" i="4" s="1"/>
  <c r="X724" i="4" s="1"/>
  <c r="U727" i="4" s="1"/>
  <c r="U719" i="4"/>
  <c r="C722" i="4"/>
  <c r="I722" i="4" s="1"/>
  <c r="O722" i="4"/>
  <c r="U722" i="4" s="1"/>
  <c r="I726" i="4"/>
  <c r="U726" i="4"/>
  <c r="F745" i="4"/>
  <c r="R745" i="4"/>
  <c r="F746" i="4"/>
  <c r="R746" i="4"/>
  <c r="I750" i="4"/>
  <c r="U750" i="4"/>
  <c r="C752" i="4"/>
  <c r="I752" i="4"/>
  <c r="I751" i="4" s="1"/>
  <c r="L752" i="4"/>
  <c r="O752" i="4"/>
  <c r="U752" i="4"/>
  <c r="X752" i="4"/>
  <c r="C753" i="4"/>
  <c r="H769" i="4" s="1"/>
  <c r="O753" i="4"/>
  <c r="C754" i="4"/>
  <c r="H768" i="4" s="1"/>
  <c r="H772" i="4" s="1"/>
  <c r="O754" i="4"/>
  <c r="U754" i="4" s="1"/>
  <c r="C755" i="4"/>
  <c r="I755" i="4" s="1"/>
  <c r="O755" i="4"/>
  <c r="U755" i="4" s="1"/>
  <c r="C756" i="4"/>
  <c r="I756" i="4"/>
  <c r="L756" i="4"/>
  <c r="O756" i="4"/>
  <c r="X756" i="4" s="1"/>
  <c r="U756" i="4"/>
  <c r="C759" i="4"/>
  <c r="I759" i="4" s="1"/>
  <c r="O759" i="4"/>
  <c r="U759" i="4" s="1"/>
  <c r="I763" i="4"/>
  <c r="U763" i="4"/>
  <c r="F782" i="4"/>
  <c r="R782" i="4"/>
  <c r="F783" i="4"/>
  <c r="R783" i="4"/>
  <c r="I787" i="4"/>
  <c r="U787" i="4"/>
  <c r="I788" i="4"/>
  <c r="C789" i="4"/>
  <c r="I789" i="4"/>
  <c r="L789" i="4"/>
  <c r="O789" i="4"/>
  <c r="X789" i="4"/>
  <c r="C790" i="4"/>
  <c r="I790" i="4"/>
  <c r="O790" i="4"/>
  <c r="U790" i="4" s="1"/>
  <c r="C791" i="4"/>
  <c r="I791" i="4" s="1"/>
  <c r="O791" i="4"/>
  <c r="U791" i="4" s="1"/>
  <c r="C792" i="4"/>
  <c r="I792" i="4" s="1"/>
  <c r="O792" i="4"/>
  <c r="U792" i="4"/>
  <c r="C793" i="4"/>
  <c r="I793" i="4"/>
  <c r="L793" i="4"/>
  <c r="O793" i="4"/>
  <c r="X793" i="4"/>
  <c r="C796" i="4"/>
  <c r="I796" i="4" s="1"/>
  <c r="O796" i="4"/>
  <c r="U796" i="4" s="1"/>
  <c r="I800" i="4"/>
  <c r="U800" i="4"/>
  <c r="F819" i="4"/>
  <c r="R819" i="4"/>
  <c r="F820" i="4"/>
  <c r="R820" i="4"/>
  <c r="I824" i="4"/>
  <c r="U824" i="4"/>
  <c r="I825" i="4"/>
  <c r="U825" i="4"/>
  <c r="C827" i="4"/>
  <c r="I827" i="4"/>
  <c r="O827" i="4"/>
  <c r="U827" i="4" s="1"/>
  <c r="C828" i="4"/>
  <c r="I828" i="4" s="1"/>
  <c r="O828" i="4"/>
  <c r="U828" i="4"/>
  <c r="C829" i="4"/>
  <c r="I829" i="4" s="1"/>
  <c r="O829" i="4"/>
  <c r="U829" i="4"/>
  <c r="C830" i="4"/>
  <c r="I830" i="4"/>
  <c r="L830" i="4"/>
  <c r="L835" i="4" s="1"/>
  <c r="I838" i="4" s="1"/>
  <c r="O830" i="4"/>
  <c r="U830" i="4"/>
  <c r="X830" i="4"/>
  <c r="C833" i="4"/>
  <c r="I833" i="4" s="1"/>
  <c r="O833" i="4"/>
  <c r="U833" i="4" s="1"/>
  <c r="I837" i="4"/>
  <c r="U837" i="4"/>
  <c r="F856" i="4"/>
  <c r="F857" i="4"/>
  <c r="I861" i="4"/>
  <c r="U862" i="4"/>
  <c r="C863" i="4"/>
  <c r="L863" i="4"/>
  <c r="U863" i="4"/>
  <c r="U867" i="4" s="1"/>
  <c r="X863" i="4"/>
  <c r="C864" i="4"/>
  <c r="I864" i="4" s="1"/>
  <c r="U864" i="4"/>
  <c r="C865" i="4"/>
  <c r="I865" i="4" s="1"/>
  <c r="U865" i="4"/>
  <c r="C866" i="4"/>
  <c r="I866" i="4" s="1"/>
  <c r="U866" i="4"/>
  <c r="C867" i="4"/>
  <c r="L867" i="4"/>
  <c r="X867" i="4"/>
  <c r="C870" i="4"/>
  <c r="I870" i="4" s="1"/>
  <c r="U870" i="4"/>
  <c r="I874" i="4"/>
  <c r="H879" i="4"/>
  <c r="H883" i="4" s="1"/>
  <c r="T879" i="4"/>
  <c r="T880" i="4"/>
  <c r="T881" i="4"/>
  <c r="I900" i="4"/>
  <c r="L900" i="4"/>
  <c r="U900" i="4"/>
  <c r="U904" i="4" s="1"/>
  <c r="X900" i="4"/>
  <c r="X909" i="4" s="1"/>
  <c r="U912" i="4" s="1"/>
  <c r="I901" i="4"/>
  <c r="U901" i="4"/>
  <c r="I902" i="4"/>
  <c r="U902" i="4"/>
  <c r="I903" i="4"/>
  <c r="U903" i="4"/>
  <c r="L904" i="4"/>
  <c r="X904" i="4"/>
  <c r="I907" i="4"/>
  <c r="U907" i="4"/>
  <c r="H916" i="4"/>
  <c r="T916" i="4"/>
  <c r="H917" i="4"/>
  <c r="T917" i="4"/>
  <c r="H918" i="4"/>
  <c r="T918" i="4"/>
  <c r="I937" i="4"/>
  <c r="I936" i="4" s="1"/>
  <c r="L937" i="4"/>
  <c r="U937" i="4"/>
  <c r="X937" i="4"/>
  <c r="I938" i="4"/>
  <c r="U938" i="4"/>
  <c r="I939" i="4"/>
  <c r="U939" i="4"/>
  <c r="I940" i="4"/>
  <c r="U940" i="4"/>
  <c r="I941" i="4"/>
  <c r="L946" i="4" s="1"/>
  <c r="I949" i="4" s="1"/>
  <c r="L941" i="4"/>
  <c r="X941" i="4"/>
  <c r="I944" i="4"/>
  <c r="U944" i="4"/>
  <c r="H953" i="4"/>
  <c r="T953" i="4"/>
  <c r="H954" i="4"/>
  <c r="H957" i="4" s="1"/>
  <c r="T954" i="4"/>
  <c r="T957" i="4" s="1"/>
  <c r="H955" i="4"/>
  <c r="T955" i="4"/>
  <c r="I974" i="4"/>
  <c r="L974" i="4"/>
  <c r="U974" i="4"/>
  <c r="U973" i="4" s="1"/>
  <c r="X974" i="4"/>
  <c r="I975" i="4"/>
  <c r="U975" i="4"/>
  <c r="I976" i="4"/>
  <c r="U976" i="4"/>
  <c r="I977" i="4"/>
  <c r="U977" i="4"/>
  <c r="L978" i="4"/>
  <c r="X978" i="4"/>
  <c r="I981" i="4"/>
  <c r="U981" i="4"/>
  <c r="H990" i="4"/>
  <c r="H994" i="4" s="1"/>
  <c r="T990" i="4"/>
  <c r="H991" i="4"/>
  <c r="T991" i="4"/>
  <c r="H992" i="4"/>
  <c r="T992" i="4"/>
  <c r="I1011" i="4"/>
  <c r="I1010" i="4" s="1"/>
  <c r="L1011" i="4"/>
  <c r="U1011" i="4"/>
  <c r="U1010" i="4" s="1"/>
  <c r="X1011" i="4"/>
  <c r="I1012" i="4"/>
  <c r="U1012" i="4"/>
  <c r="I1013" i="4"/>
  <c r="U1013" i="4"/>
  <c r="I1014" i="4"/>
  <c r="U1014" i="4"/>
  <c r="L1015" i="4"/>
  <c r="X1015" i="4"/>
  <c r="I1018" i="4"/>
  <c r="U1018" i="4"/>
  <c r="H1027" i="4"/>
  <c r="T1027" i="4"/>
  <c r="T1031" i="4" s="1"/>
  <c r="H1028" i="4"/>
  <c r="H1031" i="4" s="1"/>
  <c r="T1028" i="4"/>
  <c r="H1029" i="4"/>
  <c r="T1029" i="4"/>
  <c r="I1048" i="4"/>
  <c r="I1047" i="4" s="1"/>
  <c r="L1048" i="4"/>
  <c r="U1048" i="4"/>
  <c r="U1047" i="4" s="1"/>
  <c r="X1048" i="4"/>
  <c r="I1049" i="4"/>
  <c r="U1049" i="4"/>
  <c r="I1050" i="4"/>
  <c r="U1050" i="4"/>
  <c r="I1051" i="4"/>
  <c r="U1051" i="4"/>
  <c r="L1052" i="4"/>
  <c r="X1052" i="4"/>
  <c r="I1055" i="4"/>
  <c r="U1055" i="4"/>
  <c r="H1064" i="4"/>
  <c r="T1064" i="4"/>
  <c r="T1068" i="4" s="1"/>
  <c r="H1065" i="4"/>
  <c r="T1065" i="4"/>
  <c r="H1066" i="4"/>
  <c r="T1066" i="4"/>
  <c r="I1085" i="4"/>
  <c r="I1089" i="4" s="1"/>
  <c r="L1085" i="4"/>
  <c r="U1085" i="4"/>
  <c r="U1084" i="4" s="1"/>
  <c r="X1085" i="4"/>
  <c r="I1086" i="4"/>
  <c r="U1086" i="4"/>
  <c r="I1087" i="4"/>
  <c r="U1087" i="4"/>
  <c r="I1088" i="4"/>
  <c r="U1088" i="4"/>
  <c r="L1089" i="4"/>
  <c r="X1089" i="4"/>
  <c r="I1092" i="4"/>
  <c r="U1092" i="4"/>
  <c r="H1101" i="4"/>
  <c r="T1101" i="4"/>
  <c r="H1102" i="4"/>
  <c r="T1102" i="4"/>
  <c r="H1103" i="4"/>
  <c r="T1103" i="4"/>
  <c r="I1122" i="4"/>
  <c r="L1122" i="4"/>
  <c r="U1122" i="4"/>
  <c r="X1122" i="4"/>
  <c r="I1123" i="4"/>
  <c r="U1123" i="4"/>
  <c r="I1124" i="4"/>
  <c r="U1124" i="4"/>
  <c r="I1125" i="4"/>
  <c r="U1125" i="4"/>
  <c r="L1126" i="4"/>
  <c r="X1126" i="4"/>
  <c r="I1129" i="4"/>
  <c r="U1129" i="4"/>
  <c r="H1138" i="4"/>
  <c r="T1138" i="4"/>
  <c r="H1139" i="4"/>
  <c r="T1139" i="4"/>
  <c r="H1140" i="4"/>
  <c r="T1140" i="4"/>
  <c r="I1158" i="4"/>
  <c r="I1159" i="4"/>
  <c r="I1163" i="4" s="1"/>
  <c r="L1159" i="4"/>
  <c r="L1168" i="4" s="1"/>
  <c r="I1171" i="4" s="1"/>
  <c r="U1159" i="4"/>
  <c r="X1159" i="4"/>
  <c r="I1160" i="4"/>
  <c r="U1160" i="4"/>
  <c r="I1161" i="4"/>
  <c r="U1161" i="4"/>
  <c r="I1162" i="4"/>
  <c r="U1162" i="4"/>
  <c r="L1163" i="4"/>
  <c r="X1163" i="4"/>
  <c r="I1166" i="4"/>
  <c r="U1166" i="4"/>
  <c r="H1175" i="4"/>
  <c r="T1175" i="4"/>
  <c r="H1176" i="4"/>
  <c r="T1176" i="4"/>
  <c r="H1177" i="4"/>
  <c r="H1179" i="4" s="1"/>
  <c r="T1177" i="4"/>
  <c r="T1178" i="4"/>
  <c r="T1179" i="4"/>
  <c r="T1180" i="4"/>
  <c r="B118" i="3"/>
  <c r="O64" i="3"/>
  <c r="N64" i="3"/>
  <c r="O62" i="3"/>
  <c r="N62" i="3"/>
  <c r="O60" i="3"/>
  <c r="N60" i="3"/>
  <c r="O58" i="3"/>
  <c r="N58" i="3"/>
  <c r="O56" i="3"/>
  <c r="N56" i="3"/>
  <c r="O54" i="3"/>
  <c r="N54" i="3"/>
  <c r="O52" i="3"/>
  <c r="N52" i="3"/>
  <c r="O50" i="3"/>
  <c r="N50" i="3"/>
  <c r="O48" i="3"/>
  <c r="N48" i="3"/>
  <c r="O46" i="3"/>
  <c r="N46" i="3"/>
  <c r="O44" i="3"/>
  <c r="N44" i="3"/>
  <c r="O42" i="3"/>
  <c r="N42" i="3"/>
  <c r="O40" i="3"/>
  <c r="N40" i="3"/>
  <c r="O38" i="3"/>
  <c r="N38" i="3"/>
  <c r="O36" i="3"/>
  <c r="N36" i="3"/>
  <c r="O34" i="3"/>
  <c r="N34" i="3"/>
  <c r="O32" i="3"/>
  <c r="N32" i="3"/>
  <c r="O30" i="3"/>
  <c r="N30" i="3"/>
  <c r="O28" i="3"/>
  <c r="N28" i="3"/>
  <c r="O26" i="3"/>
  <c r="N26" i="3"/>
  <c r="O24" i="3"/>
  <c r="O66" i="3" s="1"/>
  <c r="N24" i="3"/>
  <c r="H9" i="3"/>
  <c r="H10" i="3" s="1"/>
  <c r="I9" i="3"/>
  <c r="I10" i="3" s="1"/>
  <c r="G9" i="3"/>
  <c r="G10" i="3" s="1"/>
  <c r="L391" i="4" l="1"/>
  <c r="I394" i="4" s="1"/>
  <c r="X835" i="4"/>
  <c r="U838" i="4" s="1"/>
  <c r="U789" i="4"/>
  <c r="U788" i="4" s="1"/>
  <c r="I754" i="4"/>
  <c r="H765" i="4" s="1"/>
  <c r="H773" i="4" s="1"/>
  <c r="I679" i="4"/>
  <c r="X613" i="4"/>
  <c r="U616" i="4" s="1"/>
  <c r="I529" i="4"/>
  <c r="H506" i="4"/>
  <c r="I458" i="4"/>
  <c r="I383" i="4"/>
  <c r="X317" i="4"/>
  <c r="U320" i="4" s="1"/>
  <c r="I233" i="4"/>
  <c r="H210" i="4"/>
  <c r="I162" i="4"/>
  <c r="T920" i="4"/>
  <c r="L354" i="4"/>
  <c r="I357" i="4" s="1"/>
  <c r="H358" i="4" s="1"/>
  <c r="H366" i="4" s="1"/>
  <c r="T1105" i="4"/>
  <c r="H920" i="4"/>
  <c r="H881" i="4"/>
  <c r="T769" i="4"/>
  <c r="T473" i="4"/>
  <c r="T177" i="4"/>
  <c r="T103" i="4"/>
  <c r="L650" i="4"/>
  <c r="I653" i="4" s="1"/>
  <c r="H1105" i="4"/>
  <c r="I753" i="4"/>
  <c r="H696" i="4"/>
  <c r="X687" i="4"/>
  <c r="U690" i="4" s="1"/>
  <c r="I603" i="4"/>
  <c r="I457" i="4"/>
  <c r="H400" i="4"/>
  <c r="X391" i="4"/>
  <c r="U394" i="4" s="1"/>
  <c r="I307" i="4"/>
  <c r="H213" i="4"/>
  <c r="H217" i="4" s="1"/>
  <c r="I161" i="4"/>
  <c r="H62" i="4"/>
  <c r="H70" i="4" s="1"/>
  <c r="L724" i="4"/>
  <c r="I727" i="4" s="1"/>
  <c r="H728" i="4" s="1"/>
  <c r="H736" i="4" s="1"/>
  <c r="X576" i="4"/>
  <c r="U579" i="4" s="1"/>
  <c r="H546" i="4"/>
  <c r="H550" i="4" s="1"/>
  <c r="L428" i="4"/>
  <c r="I431" i="4" s="1"/>
  <c r="X280" i="4"/>
  <c r="U283" i="4" s="1"/>
  <c r="H250" i="4"/>
  <c r="H254" i="4" s="1"/>
  <c r="L20" i="4"/>
  <c r="L1094" i="4"/>
  <c r="I1097" i="4" s="1"/>
  <c r="L1057" i="4"/>
  <c r="I1060" i="4" s="1"/>
  <c r="H1061" i="4" s="1"/>
  <c r="H1069" i="4" s="1"/>
  <c r="T547" i="4"/>
  <c r="T251" i="4"/>
  <c r="H24" i="4"/>
  <c r="H32" i="4" s="1"/>
  <c r="T1142" i="4"/>
  <c r="X1094" i="4"/>
  <c r="U1097" i="4" s="1"/>
  <c r="I1052" i="4"/>
  <c r="U1015" i="4"/>
  <c r="X1020" i="4" s="1"/>
  <c r="U1023" i="4" s="1"/>
  <c r="U978" i="4"/>
  <c r="H770" i="4"/>
  <c r="X761" i="4"/>
  <c r="U764" i="4" s="1"/>
  <c r="H654" i="4"/>
  <c r="T509" i="4"/>
  <c r="T513" i="4" s="1"/>
  <c r="H474" i="4"/>
  <c r="X465" i="4"/>
  <c r="U468" i="4" s="1"/>
  <c r="H287" i="4"/>
  <c r="H291" i="4" s="1"/>
  <c r="T213" i="4"/>
  <c r="T217" i="4" s="1"/>
  <c r="H178" i="4"/>
  <c r="X169" i="4"/>
  <c r="U172" i="4" s="1"/>
  <c r="X95" i="4"/>
  <c r="U98" i="4" s="1"/>
  <c r="X872" i="4"/>
  <c r="U875" i="4" s="1"/>
  <c r="H1142" i="4"/>
  <c r="U1089" i="4"/>
  <c r="T1098" i="4" s="1"/>
  <c r="T1106" i="4" s="1"/>
  <c r="H880" i="4"/>
  <c r="T805" i="4"/>
  <c r="T809" i="4" s="1"/>
  <c r="H620" i="4"/>
  <c r="H624" i="4" s="1"/>
  <c r="H324" i="4"/>
  <c r="H328" i="4" s="1"/>
  <c r="H104" i="4"/>
  <c r="L86" i="4"/>
  <c r="L95" i="4" s="1"/>
  <c r="I98" i="4" s="1"/>
  <c r="H1068" i="4"/>
  <c r="H1172" i="4"/>
  <c r="H1180" i="4" s="1"/>
  <c r="I978" i="4"/>
  <c r="L983" i="4" s="1"/>
  <c r="I986" i="4" s="1"/>
  <c r="I973" i="4"/>
  <c r="T883" i="4"/>
  <c r="L798" i="4"/>
  <c r="I801" i="4" s="1"/>
  <c r="T621" i="4"/>
  <c r="I346" i="4"/>
  <c r="T325" i="4"/>
  <c r="L132" i="4"/>
  <c r="I135" i="4" s="1"/>
  <c r="I85" i="4"/>
  <c r="T994" i="4"/>
  <c r="T876" i="4"/>
  <c r="T884" i="4" s="1"/>
  <c r="T583" i="4"/>
  <c r="T587" i="4" s="1"/>
  <c r="H548" i="4"/>
  <c r="T287" i="4"/>
  <c r="T291" i="4" s="1"/>
  <c r="H252" i="4"/>
  <c r="L761" i="4"/>
  <c r="I764" i="4" s="1"/>
  <c r="H694" i="4"/>
  <c r="H698" i="4" s="1"/>
  <c r="X641" i="4"/>
  <c r="X650" i="4" s="1"/>
  <c r="U653" i="4" s="1"/>
  <c r="T654" i="4" s="1"/>
  <c r="T662" i="4" s="1"/>
  <c r="H398" i="4"/>
  <c r="H402" i="4" s="1"/>
  <c r="X345" i="4"/>
  <c r="X354" i="4" s="1"/>
  <c r="U357" i="4" s="1"/>
  <c r="T358" i="4" s="1"/>
  <c r="T366" i="4" s="1"/>
  <c r="O10" i="3"/>
  <c r="T728" i="4"/>
  <c r="T736" i="4" s="1"/>
  <c r="T432" i="4"/>
  <c r="T440" i="4" s="1"/>
  <c r="H432" i="4"/>
  <c r="H839" i="4"/>
  <c r="H847" i="4" s="1"/>
  <c r="T506" i="4"/>
  <c r="T514" i="4" s="1"/>
  <c r="T210" i="4"/>
  <c r="T218" i="4" s="1"/>
  <c r="H136" i="4"/>
  <c r="H144" i="4" s="1"/>
  <c r="T839" i="4"/>
  <c r="T1061" i="4"/>
  <c r="T1069" i="4" s="1"/>
  <c r="H802" i="4"/>
  <c r="H810" i="4" s="1"/>
  <c r="T136" i="4"/>
  <c r="T144" i="4" s="1"/>
  <c r="H950" i="4"/>
  <c r="H958" i="4" s="1"/>
  <c r="H580" i="4"/>
  <c r="H284" i="4"/>
  <c r="T580" i="4"/>
  <c r="T588" i="4" s="1"/>
  <c r="T284" i="4"/>
  <c r="T292" i="4" s="1"/>
  <c r="X1131" i="4"/>
  <c r="U1134" i="4" s="1"/>
  <c r="U1121" i="4"/>
  <c r="T694" i="4"/>
  <c r="T698" i="4" s="1"/>
  <c r="T620" i="4"/>
  <c r="T624" i="4" s="1"/>
  <c r="T398" i="4"/>
  <c r="T402" i="4" s="1"/>
  <c r="T324" i="4"/>
  <c r="T328" i="4" s="1"/>
  <c r="T250" i="4"/>
  <c r="T254" i="4" s="1"/>
  <c r="T176" i="4"/>
  <c r="T180" i="4" s="1"/>
  <c r="T102" i="4"/>
  <c r="T106" i="4" s="1"/>
  <c r="U899" i="4"/>
  <c r="T768" i="4"/>
  <c r="T772" i="4" s="1"/>
  <c r="T546" i="4"/>
  <c r="T550" i="4" s="1"/>
  <c r="T472" i="4"/>
  <c r="T476" i="4" s="1"/>
  <c r="U1163" i="4"/>
  <c r="X1168" i="4" s="1"/>
  <c r="U1171" i="4" s="1"/>
  <c r="I1126" i="4"/>
  <c r="L1131" i="4" s="1"/>
  <c r="I1134" i="4" s="1"/>
  <c r="H1135" i="4" s="1"/>
  <c r="H1143" i="4" s="1"/>
  <c r="I1121" i="4"/>
  <c r="H1098" i="4"/>
  <c r="H1106" i="4" s="1"/>
  <c r="U941" i="4"/>
  <c r="X946" i="4" s="1"/>
  <c r="U949" i="4" s="1"/>
  <c r="T950" i="4" s="1"/>
  <c r="T958" i="4" s="1"/>
  <c r="I904" i="4"/>
  <c r="I899" i="4"/>
  <c r="H102" i="4"/>
  <c r="H106" i="4" s="1"/>
  <c r="T67" i="4"/>
  <c r="U1126" i="4"/>
  <c r="U1158" i="4"/>
  <c r="U936" i="4"/>
  <c r="T913" i="4"/>
  <c r="T844" i="4"/>
  <c r="T807" i="4"/>
  <c r="U751" i="4"/>
  <c r="T733" i="4"/>
  <c r="U677" i="4"/>
  <c r="T659" i="4"/>
  <c r="U603" i="4"/>
  <c r="T585" i="4"/>
  <c r="U529" i="4"/>
  <c r="T511" i="4"/>
  <c r="U455" i="4"/>
  <c r="T437" i="4"/>
  <c r="U381" i="4"/>
  <c r="T363" i="4"/>
  <c r="U307" i="4"/>
  <c r="T289" i="4"/>
  <c r="U233" i="4"/>
  <c r="T215" i="4"/>
  <c r="U159" i="4"/>
  <c r="T99" i="4"/>
  <c r="T66" i="4"/>
  <c r="I863" i="4"/>
  <c r="H844" i="4"/>
  <c r="H807" i="4"/>
  <c r="H733" i="4"/>
  <c r="H691" i="4"/>
  <c r="H699" i="4" s="1"/>
  <c r="H659" i="4"/>
  <c r="H617" i="4"/>
  <c r="H585" i="4"/>
  <c r="H543" i="4"/>
  <c r="H551" i="4" s="1"/>
  <c r="H511" i="4"/>
  <c r="H469" i="4"/>
  <c r="H477" i="4" s="1"/>
  <c r="H437" i="4"/>
  <c r="H395" i="4"/>
  <c r="H363" i="4"/>
  <c r="H321" i="4"/>
  <c r="H329" i="4" s="1"/>
  <c r="H289" i="4"/>
  <c r="H247" i="4"/>
  <c r="H255" i="4" s="1"/>
  <c r="H215" i="4"/>
  <c r="H173" i="4"/>
  <c r="H181" i="4" s="1"/>
  <c r="H99" i="4"/>
  <c r="T65" i="4"/>
  <c r="T69" i="4" s="1"/>
  <c r="X49" i="4"/>
  <c r="X58" i="4" s="1"/>
  <c r="U61" i="4" s="1"/>
  <c r="T62" i="4" s="1"/>
  <c r="T70" i="4" s="1"/>
  <c r="T843" i="4"/>
  <c r="T806" i="4"/>
  <c r="U753" i="4"/>
  <c r="T765" i="4" s="1"/>
  <c r="T773" i="4" s="1"/>
  <c r="T732" i="4"/>
  <c r="U679" i="4"/>
  <c r="T658" i="4"/>
  <c r="U605" i="4"/>
  <c r="T617" i="4" s="1"/>
  <c r="T625" i="4" s="1"/>
  <c r="T584" i="4"/>
  <c r="U531" i="4"/>
  <c r="T543" i="4" s="1"/>
  <c r="T551" i="4" s="1"/>
  <c r="T510" i="4"/>
  <c r="U457" i="4"/>
  <c r="T436" i="4"/>
  <c r="U383" i="4"/>
  <c r="T395" i="4" s="1"/>
  <c r="T362" i="4"/>
  <c r="U309" i="4"/>
  <c r="T321" i="4" s="1"/>
  <c r="T288" i="4"/>
  <c r="U235" i="4"/>
  <c r="T247" i="4" s="1"/>
  <c r="T214" i="4"/>
  <c r="U161" i="4"/>
  <c r="T173" i="4" s="1"/>
  <c r="T181" i="4" s="1"/>
  <c r="U87" i="4"/>
  <c r="I1084" i="4"/>
  <c r="H732" i="4"/>
  <c r="H658" i="4"/>
  <c r="H584" i="4"/>
  <c r="H510" i="4"/>
  <c r="H436" i="4"/>
  <c r="H362" i="4"/>
  <c r="H288" i="4"/>
  <c r="H214" i="4"/>
  <c r="T842" i="4"/>
  <c r="T846" i="4" s="1"/>
  <c r="H843" i="4"/>
  <c r="H806" i="4"/>
  <c r="U1052" i="4"/>
  <c r="X1057" i="4" s="1"/>
  <c r="U1060" i="4" s="1"/>
  <c r="I1015" i="4"/>
  <c r="H842" i="4"/>
  <c r="H846" i="4" s="1"/>
  <c r="H805" i="4"/>
  <c r="H809" i="4" s="1"/>
  <c r="H731" i="4"/>
  <c r="H735" i="4" s="1"/>
  <c r="H657" i="4"/>
  <c r="H661" i="4" s="1"/>
  <c r="H662" i="4" s="1"/>
  <c r="H583" i="4"/>
  <c r="H587" i="4" s="1"/>
  <c r="H509" i="4"/>
  <c r="H513" i="4" s="1"/>
  <c r="H514" i="4" s="1"/>
  <c r="H435" i="4"/>
  <c r="H439" i="4" s="1"/>
  <c r="T770" i="4"/>
  <c r="T696" i="4"/>
  <c r="T622" i="4"/>
  <c r="T548" i="4"/>
  <c r="T474" i="4"/>
  <c r="T400" i="4"/>
  <c r="T326" i="4"/>
  <c r="T252" i="4"/>
  <c r="T178" i="4"/>
  <c r="T104" i="4"/>
  <c r="Y66" i="3" l="1"/>
  <c r="Y67" i="3" s="1"/>
  <c r="L909" i="4"/>
  <c r="I912" i="4" s="1"/>
  <c r="H913" i="4" s="1"/>
  <c r="H921" i="4" s="1"/>
  <c r="T691" i="4"/>
  <c r="T699" i="4" s="1"/>
  <c r="X983" i="4"/>
  <c r="U986" i="4" s="1"/>
  <c r="T987" i="4" s="1"/>
  <c r="T995" i="4" s="1"/>
  <c r="H218" i="4"/>
  <c r="T1024" i="4"/>
  <c r="T1032" i="4" s="1"/>
  <c r="T921" i="4"/>
  <c r="H403" i="4"/>
  <c r="T403" i="4"/>
  <c r="T107" i="4"/>
  <c r="X798" i="4"/>
  <c r="U801" i="4" s="1"/>
  <c r="T329" i="4"/>
  <c r="T469" i="4"/>
  <c r="T477" i="4" s="1"/>
  <c r="T1135" i="4"/>
  <c r="T1143" i="4" s="1"/>
  <c r="U793" i="4"/>
  <c r="H987" i="4"/>
  <c r="H995" i="4" s="1"/>
  <c r="T255" i="4"/>
  <c r="H625" i="4"/>
  <c r="H292" i="4"/>
  <c r="I862" i="4"/>
  <c r="I867" i="4"/>
  <c r="L872" i="4"/>
  <c r="I875" i="4" s="1"/>
  <c r="H876" i="4" s="1"/>
  <c r="H884" i="4" s="1"/>
  <c r="H440" i="4"/>
  <c r="T1172" i="4"/>
  <c r="T847" i="4"/>
  <c r="H107" i="4"/>
  <c r="H588" i="4"/>
  <c r="L1020" i="4"/>
  <c r="I1023" i="4" s="1"/>
  <c r="H1024" i="4" s="1"/>
  <c r="H1032" i="4" s="1"/>
  <c r="T802" i="4" l="1"/>
  <c r="T810" i="4" s="1"/>
  <c r="W10" i="3"/>
  <c r="AD67" i="3" l="1"/>
  <c r="Z66" i="3" s="1"/>
  <c r="Z67" i="3" s="1"/>
  <c r="AB10" i="3"/>
  <c r="AC10" i="3" s="1"/>
  <c r="I68" i="3" a="1"/>
  <c r="I6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<sst xmlns="http://schemas.openxmlformats.org/spreadsheetml/2006/main" count="7167" uniqueCount="187">
  <si>
    <t>TT</t>
  </si>
  <si>
    <t>Họ và tên</t>
  </si>
  <si>
    <t>Mã số</t>
  </si>
  <si>
    <t>Ký nhận</t>
  </si>
  <si>
    <t>Ngày vào</t>
  </si>
  <si>
    <t>Mức lương</t>
  </si>
  <si>
    <t>Công</t>
  </si>
  <si>
    <t>Phép</t>
  </si>
  <si>
    <t>Học, họp</t>
  </si>
  <si>
    <t>Thai 7 tháng</t>
  </si>
  <si>
    <t>Thêm giờ</t>
  </si>
  <si>
    <t>Tiền con nhỏ</t>
  </si>
  <si>
    <t>Xăng xe</t>
  </si>
  <si>
    <t>Người lập</t>
  </si>
  <si>
    <t>Lãnh đạo công ty</t>
  </si>
  <si>
    <t>Phùng Thị Vân Anh</t>
  </si>
  <si>
    <t>Khuyến công</t>
  </si>
  <si>
    <t>CN CÔNG TY TNHH S&amp;D TẠI THANH HOÁ</t>
  </si>
  <si>
    <t>BẢNG CHI TIẾT THANH TOÁN LƯƠNG</t>
  </si>
  <si>
    <t>Stt</t>
  </si>
  <si>
    <t>Ngày tiếp nhận / Mức lương CB</t>
  </si>
  <si>
    <t>Tổng cộng</t>
  </si>
  <si>
    <t>Khấu trừ</t>
  </si>
  <si>
    <t>Thực lĩnh</t>
  </si>
  <si>
    <t>So sánh</t>
  </si>
  <si>
    <t xml:space="preserve">Sản phẩm </t>
  </si>
  <si>
    <t>Chủ nhật</t>
  </si>
  <si>
    <t>Con nhỏ, thai 7 tháng</t>
  </si>
  <si>
    <t>Phụ cấp chức vụ</t>
  </si>
  <si>
    <t>BHXH, BHYT, BHTN</t>
  </si>
  <si>
    <t>Cộng</t>
  </si>
  <si>
    <t>Lập biểu</t>
  </si>
  <si>
    <t>l­¬ng 1 giê</t>
  </si>
  <si>
    <t>L­¬ng SP</t>
  </si>
  <si>
    <t>Phụ cấp CV</t>
  </si>
  <si>
    <t xml:space="preserve">Lễ tết </t>
  </si>
  <si>
    <t>Đã duyệt</t>
  </si>
  <si>
    <t>Phụ trách đơn vị</t>
  </si>
  <si>
    <t>vnd</t>
  </si>
  <si>
    <t>:</t>
  </si>
  <si>
    <t>(25) Thực lĩnh</t>
  </si>
  <si>
    <t>(24) Tổng khấu trừ</t>
  </si>
  <si>
    <t>(23) Thuế</t>
  </si>
  <si>
    <t>BHTN (1%)</t>
  </si>
  <si>
    <t>BHYT (1.5%)</t>
  </si>
  <si>
    <t>BHXH (8%)</t>
  </si>
  <si>
    <t>(22) Khấu trừ</t>
  </si>
  <si>
    <t>(21) Tổng cộng lương</t>
  </si>
  <si>
    <t>-------&gt;</t>
  </si>
  <si>
    <t>(20) Bù lương</t>
  </si>
  <si>
    <t>(19) Lương khác</t>
  </si>
  <si>
    <t>Tiền ăn ca</t>
  </si>
  <si>
    <t>ngày</t>
  </si>
  <si>
    <t>(18) Công ăn ca</t>
  </si>
  <si>
    <t>Tiền nóng, độc hại</t>
  </si>
  <si>
    <t>%</t>
  </si>
  <si>
    <t>(17) Nóng, độc hại</t>
  </si>
  <si>
    <t>Lương giờ ca ba</t>
  </si>
  <si>
    <t>Giờ</t>
  </si>
  <si>
    <t>(16) Ca ba</t>
  </si>
  <si>
    <t>Lương giờ con nhỏ</t>
  </si>
  <si>
    <t>(15) Con nhỏ, thai 7 tháng</t>
  </si>
  <si>
    <t>Lương chờ việc</t>
  </si>
  <si>
    <t xml:space="preserve">(14) Chờ Việc </t>
  </si>
  <si>
    <t>Lương thêm ngày</t>
  </si>
  <si>
    <t>(13) Thêm ngày CN</t>
  </si>
  <si>
    <t>Lương thêm giờ</t>
  </si>
  <si>
    <t>(12) Thêm giờ</t>
  </si>
  <si>
    <t>Lương học họp</t>
  </si>
  <si>
    <t>(11) Học, họp</t>
  </si>
  <si>
    <t>Lương lễ tết</t>
  </si>
  <si>
    <t>(10) Lễ, tết</t>
  </si>
  <si>
    <t>Lương Phép</t>
  </si>
  <si>
    <t>(09) Phép</t>
  </si>
  <si>
    <t>Lương SP</t>
  </si>
  <si>
    <t>(08) Công SP</t>
  </si>
  <si>
    <t>(07) Lương 1 giờ:</t>
  </si>
  <si>
    <t xml:space="preserve">(06) Giây chế tạo </t>
  </si>
  <si>
    <t>(05) Lương cơ bản</t>
  </si>
  <si>
    <t>(04) Chức danh: Công nhân vận hành máy may công nghiệp</t>
  </si>
  <si>
    <t>Tổ 10</t>
  </si>
  <si>
    <t>(03) Tổ / Bộ phận</t>
  </si>
  <si>
    <t>(02) Mã số cá nhân</t>
  </si>
  <si>
    <t xml:space="preserve">(01) Họ Và Tên </t>
  </si>
  <si>
    <t>PHIẾU CHI TIẾT LƯƠNG</t>
  </si>
  <si>
    <t>STT : 64</t>
  </si>
  <si>
    <t>STT : 63</t>
  </si>
  <si>
    <t>CÔNG TY TNHH 888</t>
  </si>
  <si>
    <t>STT : 62</t>
  </si>
  <si>
    <t>STT : 61</t>
  </si>
  <si>
    <t>STT : 60</t>
  </si>
  <si>
    <t>STT : 59</t>
  </si>
  <si>
    <t>STT : 58</t>
  </si>
  <si>
    <t>STT : 57</t>
  </si>
  <si>
    <t>STT : 56</t>
  </si>
  <si>
    <t xml:space="preserve">STT : 55 </t>
  </si>
  <si>
    <t>STT : 54</t>
  </si>
  <si>
    <t>STT : 53</t>
  </si>
  <si>
    <t>STT : 52</t>
  </si>
  <si>
    <t>STT : 51</t>
  </si>
  <si>
    <t>STT : 50</t>
  </si>
  <si>
    <t>STT : 49</t>
  </si>
  <si>
    <t>STT : 48</t>
  </si>
  <si>
    <t>STT : 47</t>
  </si>
  <si>
    <t>STT : 46</t>
  </si>
  <si>
    <t>STT : 45</t>
  </si>
  <si>
    <t>STT : 44</t>
  </si>
  <si>
    <t>STT : 43</t>
  </si>
  <si>
    <t>STT : 42</t>
  </si>
  <si>
    <t>STT : 41</t>
  </si>
  <si>
    <t>STT : 40</t>
  </si>
  <si>
    <t>STT : 39</t>
  </si>
  <si>
    <t>STT : 38</t>
  </si>
  <si>
    <t>STT : 37</t>
  </si>
  <si>
    <t>STT : 36</t>
  </si>
  <si>
    <t>STT : 35</t>
  </si>
  <si>
    <t>STT : 34</t>
  </si>
  <si>
    <t>STT : 33</t>
  </si>
  <si>
    <t>STT : 32</t>
  </si>
  <si>
    <t>STT : 31</t>
  </si>
  <si>
    <t>STT : 30</t>
  </si>
  <si>
    <t>STT : 29</t>
  </si>
  <si>
    <t>STT : 28</t>
  </si>
  <si>
    <t>STT : 27</t>
  </si>
  <si>
    <t>STT : 26</t>
  </si>
  <si>
    <t>STT : 25</t>
  </si>
  <si>
    <t>STT : 24</t>
  </si>
  <si>
    <t>STT : 23</t>
  </si>
  <si>
    <t>STT : 22</t>
  </si>
  <si>
    <t>STT : 21</t>
  </si>
  <si>
    <t>STT : 20</t>
  </si>
  <si>
    <t>STT : 19</t>
  </si>
  <si>
    <t>STT : 18</t>
  </si>
  <si>
    <t>STT : 17</t>
  </si>
  <si>
    <t>STT : 16</t>
  </si>
  <si>
    <t>STT : 15</t>
  </si>
  <si>
    <t>STT : 14</t>
  </si>
  <si>
    <t>STT : 13</t>
  </si>
  <si>
    <t>STT : 12</t>
  </si>
  <si>
    <t>STT : 11</t>
  </si>
  <si>
    <t>STT : 10</t>
  </si>
  <si>
    <t>STT : 09</t>
  </si>
  <si>
    <t>STT : 08</t>
  </si>
  <si>
    <t>STT : 07</t>
  </si>
  <si>
    <t>STT : 06</t>
  </si>
  <si>
    <t>STT : 05</t>
  </si>
  <si>
    <t>Tiền PC</t>
  </si>
  <si>
    <t>(17) PC chức vụ</t>
  </si>
  <si>
    <t>Lương HC</t>
  </si>
  <si>
    <t>(08) Công HC</t>
  </si>
  <si>
    <t>(04) Chức danh: Nhân viên bảo vệ</t>
  </si>
  <si>
    <t>Bảo vệ</t>
  </si>
  <si>
    <t>Cầm Bá Minh</t>
  </si>
  <si>
    <t>STT : 04</t>
  </si>
  <si>
    <t>STT : 03</t>
  </si>
  <si>
    <t>STT : 02</t>
  </si>
  <si>
    <t>STT : 01</t>
  </si>
  <si>
    <t>Lương CB</t>
  </si>
  <si>
    <t>Bằng chữ:</t>
  </si>
  <si>
    <t>Phân loại</t>
  </si>
  <si>
    <t>PC ATV</t>
  </si>
  <si>
    <t>Vắt sữa</t>
  </si>
  <si>
    <t>CN</t>
  </si>
  <si>
    <t>ATV</t>
  </si>
  <si>
    <t>Tổng lương thực tế</t>
  </si>
  <si>
    <t>Lễ tết</t>
  </si>
  <si>
    <t>Lê Thị Linh</t>
  </si>
  <si>
    <t>BẢNG HẾ SỐ HƯỞNG LƯƠNG -THÁNG 03/2024</t>
  </si>
  <si>
    <t>CĐ</t>
  </si>
  <si>
    <t>Lê Văn Bắc</t>
  </si>
  <si>
    <t>Tổ: Bếp ăn</t>
  </si>
  <si>
    <t>Các khoản tiền lương</t>
  </si>
  <si>
    <t>Các khoản tiền hỗ trợ</t>
  </si>
  <si>
    <t>Đi lại</t>
  </si>
  <si>
    <t>25=24/23</t>
  </si>
  <si>
    <t>26=28/22</t>
  </si>
  <si>
    <t>27=26/24</t>
  </si>
  <si>
    <t>28=18-9</t>
  </si>
  <si>
    <t>Thưởng theo KQKD</t>
  </si>
  <si>
    <t>Thâm niên</t>
  </si>
  <si>
    <t>BQT03</t>
  </si>
  <si>
    <t>Tháng 04 năm 2026</t>
  </si>
  <si>
    <t>Ngày 15 tháng 05 năm 2026</t>
  </si>
  <si>
    <t>Công T03</t>
  </si>
  <si>
    <t>Lương T03</t>
  </si>
  <si>
    <t>BQT04</t>
  </si>
  <si>
    <t>CÔNG TY TNHH S&amp;D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</si>
</sst>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&quot;?&quot;&quot;?&quot;_);_(@_)"/>
    <numFmt numFmtId="165" formatCode="_(* #,##0_);_(* \(#,##0\);_(* &quot;-&quot;&quot;?&quot;&quot;?&quot;_);_(@_)"/>
    <numFmt numFmtId="166" formatCode="0.0"/>
    <numFmt numFmtId="167" formatCode="#,##0;[Red]#,##0"/>
    <numFmt numFmtId="168" formatCode="_-* #,##0.00\ _₫_-;\-* #,##0.00\ _₫_-;_-* &quot;-&quot;&quot;?&quot;&quot;?&quot;\ _₫_-;_-@_-"/>
    <numFmt numFmtId="169" formatCode="_-* #,##0_-;\-* #,##0_-;_-* &quot;-&quot;&quot;?&quot;&quot;?&quot;_-;_-@_-"/>
    <numFmt numFmtId="170" formatCode="_-* #,##0_-;\-* #,##0_-;_-* &quot;-&quot;??_-;_-@_-"/>
    <numFmt numFmtId="171" formatCode="_(* #,##0.0_);_(* \(#,##0.0\);_(* &quot;-&quot;&quot;?&quot;&quot;?&quot;_);_(@_)"/>
  </numFmts>
  <fonts count="32">
    <font>
      <sz val="10"/>
      <name val="Arial"/>
      <family val="2"/>
    </font>
    <font>
      <sz val="10"/>
      <name val="Arial"/>
      <family val="2"/>
    </font>
    <font>
      <sz val="12"/>
      <name val="Times New Roman"/>
      <family val="1"/>
    </font>
    <font>
      <sz val="11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sz val="11"/>
      <name val=".VnTime"/>
      <family val="2"/>
    </font>
    <font>
      <sz val="8"/>
      <name val="Times New Roman"/>
      <family val="1"/>
    </font>
    <font>
      <sz val="10"/>
      <name val="Times New Roman"/>
      <family val="1"/>
    </font>
    <font>
      <b/>
      <i/>
      <sz val="12"/>
      <name val="Times New Roman"/>
      <family val="1"/>
    </font>
    <font>
      <sz val="12"/>
      <color indexed="1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4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7"/>
      <name val="Times New Roman"/>
      <family val="1"/>
    </font>
    <font>
      <b/>
      <sz val="7"/>
      <name val="Times New Roman"/>
      <family val="1"/>
    </font>
    <font>
      <b/>
      <sz val="10"/>
      <name val="Times New Roman"/>
      <family val="1"/>
    </font>
    <font>
      <i/>
      <sz val="12"/>
      <name val="Times New Roman"/>
      <family val="1"/>
    </font>
    <font>
      <b/>
      <sz val="14"/>
      <color theme="1"/>
      <name val="Times New Roman"/>
      <family val="1"/>
    </font>
    <font>
      <sz val="8"/>
      <name val="VNI-Helve-Condense"/>
      <family val="2"/>
    </font>
    <font>
      <i/>
      <sz val="9"/>
      <name val="Times New Roman"/>
      <family val="1"/>
    </font>
    <font>
      <b/>
      <u/>
      <sz val="9"/>
      <name val="Times New Roman"/>
      <family val="1"/>
    </font>
    <font>
      <b/>
      <sz val="8"/>
      <name val="Times New Roman"/>
      <family val="1"/>
    </font>
    <font>
      <b/>
      <i/>
      <u val="singleAccounting"/>
      <sz val="12"/>
      <name val="Times New Roman"/>
      <family val="1"/>
    </font>
    <font>
      <b/>
      <i/>
      <u/>
      <sz val="12"/>
      <name val="Times New Roman"/>
      <family val="1"/>
    </font>
    <font>
      <sz val="10"/>
      <color theme="0"/>
      <name val="Times New Roman"/>
      <family val="1"/>
    </font>
    <font>
      <b/>
      <sz val="1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1">
    <xf numFmtId="0" fontId="0" fillId="0" borderId="0"/>
    <xf numFmtId="164" fontId="1" fillId="0" borderId="0" applyFont="0" applyFill="0" applyBorder="0" applyAlignment="0" applyProtection="0"/>
    <xf numFmtId="164" fontId="6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4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168" fontId="24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6" fillId="0" borderId="0" applyFont="0" applyFill="0" applyBorder="0" applyAlignment="0" applyProtection="0"/>
  </cellStyleXfs>
  <cellXfs count="257">
    <xf numFmtId="0" fontId="0" fillId="0" borderId="0" xfId="0"/>
    <xf numFmtId="0" fontId="2" fillId="2" borderId="0" xfId="0" applyFont="1" applyFill="1"/>
    <xf numFmtId="165" fontId="2" fillId="2" borderId="0" xfId="1" applyNumberFormat="1" applyFont="1" applyFill="1"/>
    <xf numFmtId="0" fontId="2" fillId="2" borderId="0" xfId="0" applyFont="1" applyFill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5" fillId="2" borderId="0" xfId="0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66" fontId="2" fillId="2" borderId="0" xfId="0" applyNumberFormat="1" applyFont="1" applyFill="1" applyAlignment="1">
      <alignment horizontal="center" vertical="center"/>
    </xf>
    <xf numFmtId="0" fontId="2" fillId="2" borderId="7" xfId="0" applyFont="1" applyFill="1" applyBorder="1"/>
    <xf numFmtId="0" fontId="2" fillId="2" borderId="9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5" xfId="1" applyNumberFormat="1" applyFont="1" applyFill="1" applyBorder="1" applyAlignment="1">
      <alignment horizontal="center" vertical="center"/>
    </xf>
    <xf numFmtId="0" fontId="11" fillId="2" borderId="0" xfId="0" applyFont="1" applyFill="1"/>
    <xf numFmtId="0" fontId="12" fillId="2" borderId="0" xfId="0" applyFont="1" applyFill="1"/>
    <xf numFmtId="165" fontId="5" fillId="2" borderId="0" xfId="0" applyNumberFormat="1" applyFont="1" applyFill="1"/>
    <xf numFmtId="3" fontId="2" fillId="2" borderId="0" xfId="0" applyNumberFormat="1" applyFont="1" applyFill="1"/>
    <xf numFmtId="0" fontId="4" fillId="2" borderId="0" xfId="0" applyFont="1" applyFill="1" applyAlignment="1">
      <alignment horizontal="center"/>
    </xf>
    <xf numFmtId="165" fontId="2" fillId="2" borderId="0" xfId="0" applyNumberFormat="1" applyFont="1" applyFill="1"/>
    <xf numFmtId="1" fontId="2" fillId="2" borderId="0" xfId="0" applyNumberFormat="1" applyFont="1" applyFill="1"/>
    <xf numFmtId="1" fontId="13" fillId="2" borderId="0" xfId="0" applyNumberFormat="1" applyFont="1" applyFill="1"/>
    <xf numFmtId="1" fontId="16" fillId="2" borderId="1" xfId="0" applyNumberFormat="1" applyFont="1" applyFill="1" applyBorder="1" applyAlignment="1">
      <alignment horizontal="center" vertical="center" wrapText="1"/>
    </xf>
    <xf numFmtId="165" fontId="16" fillId="2" borderId="1" xfId="1" applyNumberFormat="1" applyFont="1" applyFill="1" applyBorder="1" applyAlignment="1">
      <alignment horizontal="center" vertical="center" wrapText="1"/>
    </xf>
    <xf numFmtId="1" fontId="17" fillId="2" borderId="1" xfId="0" applyNumberFormat="1" applyFont="1" applyFill="1" applyBorder="1" applyAlignment="1">
      <alignment horizontal="center" vertical="center" wrapText="1"/>
    </xf>
    <xf numFmtId="165" fontId="16" fillId="2" borderId="1" xfId="2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vertical="center" shrinkToFit="1"/>
    </xf>
    <xf numFmtId="166" fontId="8" fillId="2" borderId="1" xfId="0" applyNumberFormat="1" applyFont="1" applyFill="1" applyBorder="1" applyAlignment="1">
      <alignment vertical="center" shrinkToFit="1"/>
    </xf>
    <xf numFmtId="166" fontId="8" fillId="0" borderId="1" xfId="0" applyNumberFormat="1" applyFont="1" applyBorder="1" applyAlignment="1">
      <alignment vertical="center" shrinkToFit="1"/>
    </xf>
    <xf numFmtId="164" fontId="8" fillId="2" borderId="1" xfId="1" applyFont="1" applyFill="1" applyBorder="1" applyAlignment="1">
      <alignment vertical="center" shrinkToFit="1"/>
    </xf>
    <xf numFmtId="165" fontId="8" fillId="2" borderId="1" xfId="1" applyNumberFormat="1" applyFont="1" applyFill="1" applyBorder="1" applyAlignment="1">
      <alignment vertical="center" shrinkToFit="1"/>
    </xf>
    <xf numFmtId="1" fontId="18" fillId="2" borderId="1" xfId="0" applyNumberFormat="1" applyFont="1" applyFill="1" applyBorder="1" applyAlignment="1">
      <alignment vertical="center" shrinkToFit="1"/>
    </xf>
    <xf numFmtId="166" fontId="3" fillId="3" borderId="8" xfId="0" applyNumberFormat="1" applyFont="1" applyFill="1" applyBorder="1"/>
    <xf numFmtId="0" fontId="3" fillId="3" borderId="8" xfId="0" applyFont="1" applyFill="1" applyBorder="1"/>
    <xf numFmtId="0" fontId="3" fillId="4" borderId="8" xfId="0" applyFont="1" applyFill="1" applyBorder="1"/>
    <xf numFmtId="2" fontId="3" fillId="4" borderId="8" xfId="0" applyNumberFormat="1" applyFont="1" applyFill="1" applyBorder="1"/>
    <xf numFmtId="1" fontId="8" fillId="2" borderId="3" xfId="0" applyNumberFormat="1" applyFont="1" applyFill="1" applyBorder="1" applyAlignment="1">
      <alignment vertical="center" shrinkToFit="1"/>
    </xf>
    <xf numFmtId="3" fontId="8" fillId="2" borderId="3" xfId="0" applyNumberFormat="1" applyFont="1" applyFill="1" applyBorder="1" applyAlignment="1">
      <alignment vertical="center" shrinkToFit="1"/>
    </xf>
    <xf numFmtId="3" fontId="18" fillId="2" borderId="3" xfId="1" applyNumberFormat="1" applyFont="1" applyFill="1" applyBorder="1" applyAlignment="1">
      <alignment vertical="center" shrinkToFit="1"/>
    </xf>
    <xf numFmtId="3" fontId="8" fillId="0" borderId="3" xfId="2" applyNumberFormat="1" applyFont="1" applyFill="1" applyBorder="1" applyAlignment="1">
      <alignment vertical="center" shrinkToFit="1"/>
    </xf>
    <xf numFmtId="3" fontId="8" fillId="2" borderId="3" xfId="1" applyNumberFormat="1" applyFont="1" applyFill="1" applyBorder="1" applyAlignment="1">
      <alignment vertical="center" shrinkToFit="1"/>
    </xf>
    <xf numFmtId="3" fontId="8" fillId="2" borderId="3" xfId="2" applyNumberFormat="1" applyFont="1" applyFill="1" applyBorder="1" applyAlignment="1">
      <alignment vertical="center" shrinkToFit="1"/>
    </xf>
    <xf numFmtId="1" fontId="8" fillId="2" borderId="3" xfId="1" applyNumberFormat="1" applyFont="1" applyFill="1" applyBorder="1" applyAlignment="1">
      <alignment vertical="center" shrinkToFit="1"/>
    </xf>
    <xf numFmtId="3" fontId="17" fillId="0" borderId="3" xfId="2" applyNumberFormat="1" applyFont="1" applyFill="1" applyBorder="1" applyAlignment="1">
      <alignment vertical="center" shrinkToFit="1"/>
    </xf>
    <xf numFmtId="165" fontId="8" fillId="2" borderId="3" xfId="1" applyNumberFormat="1" applyFont="1" applyFill="1" applyBorder="1" applyAlignment="1">
      <alignment vertical="center" shrinkToFit="1"/>
    </xf>
    <xf numFmtId="3" fontId="8" fillId="0" borderId="3" xfId="0" applyNumberFormat="1" applyFont="1" applyBorder="1" applyAlignment="1">
      <alignment vertical="center" shrinkToFit="1"/>
    </xf>
    <xf numFmtId="165" fontId="3" fillId="3" borderId="8" xfId="2" applyNumberFormat="1" applyFont="1" applyFill="1" applyBorder="1"/>
    <xf numFmtId="0" fontId="8" fillId="2" borderId="1" xfId="0" applyFont="1" applyFill="1" applyBorder="1" applyAlignment="1">
      <alignment vertical="center" shrinkToFit="1"/>
    </xf>
    <xf numFmtId="3" fontId="17" fillId="2" borderId="3" xfId="2" applyNumberFormat="1" applyFont="1" applyFill="1" applyBorder="1" applyAlignment="1">
      <alignment vertical="center" shrinkToFit="1"/>
    </xf>
    <xf numFmtId="3" fontId="21" fillId="2" borderId="8" xfId="1" applyNumberFormat="1" applyFont="1" applyFill="1" applyBorder="1" applyAlignment="1">
      <alignment vertical="center" shrinkToFit="1"/>
    </xf>
    <xf numFmtId="1" fontId="22" fillId="2" borderId="0" xfId="0" applyNumberFormat="1" applyFont="1" applyFill="1" applyAlignment="1">
      <alignment horizontal="right"/>
    </xf>
    <xf numFmtId="1" fontId="9" fillId="2" borderId="0" xfId="0" applyNumberFormat="1" applyFont="1" applyFill="1"/>
    <xf numFmtId="1" fontId="5" fillId="2" borderId="0" xfId="0" applyNumberFormat="1" applyFont="1" applyFill="1"/>
    <xf numFmtId="165" fontId="8" fillId="2" borderId="0" xfId="1" applyNumberFormat="1" applyFont="1" applyFill="1" applyBorder="1" applyAlignment="1">
      <alignment vertical="center"/>
    </xf>
    <xf numFmtId="165" fontId="22" fillId="2" borderId="0" xfId="1" applyNumberFormat="1" applyFont="1" applyFill="1" applyAlignment="1">
      <alignment horizontal="center"/>
    </xf>
    <xf numFmtId="3" fontId="5" fillId="2" borderId="0" xfId="1" applyNumberFormat="1" applyFont="1" applyFill="1"/>
    <xf numFmtId="1" fontId="12" fillId="2" borderId="0" xfId="0" applyNumberFormat="1" applyFont="1" applyFill="1"/>
    <xf numFmtId="165" fontId="5" fillId="2" borderId="0" xfId="1" applyNumberFormat="1" applyFont="1" applyFill="1"/>
    <xf numFmtId="165" fontId="5" fillId="2" borderId="0" xfId="1" applyNumberFormat="1" applyFont="1" applyFill="1" applyAlignment="1">
      <alignment horizontal="center"/>
    </xf>
    <xf numFmtId="1" fontId="2" fillId="2" borderId="0" xfId="1" applyNumberFormat="1" applyFont="1" applyFill="1"/>
    <xf numFmtId="165" fontId="2" fillId="2" borderId="0" xfId="1" applyNumberFormat="1" applyFont="1" applyFill="1" applyBorder="1"/>
    <xf numFmtId="1" fontId="8" fillId="2" borderId="0" xfId="0" applyNumberFormat="1" applyFont="1" applyFill="1" applyAlignment="1">
      <alignment vertical="center" shrinkToFit="1"/>
    </xf>
    <xf numFmtId="0" fontId="4" fillId="2" borderId="0" xfId="0" applyFont="1" applyFill="1"/>
    <xf numFmtId="2" fontId="18" fillId="2" borderId="1" xfId="0" applyNumberFormat="1" applyFont="1" applyFill="1" applyBorder="1" applyAlignment="1">
      <alignment vertical="center" shrinkToFit="1"/>
    </xf>
    <xf numFmtId="1" fontId="16" fillId="2" borderId="0" xfId="0" applyNumberFormat="1" applyFont="1" applyFill="1"/>
    <xf numFmtId="165" fontId="2" fillId="2" borderId="1" xfId="1" applyNumberFormat="1" applyFont="1" applyFill="1" applyBorder="1" applyAlignment="1">
      <alignment horizontal="center" vertical="center"/>
    </xf>
    <xf numFmtId="0" fontId="23" fillId="2" borderId="0" xfId="0" applyFont="1" applyFill="1"/>
    <xf numFmtId="165" fontId="14" fillId="2" borderId="0" xfId="0" applyNumberFormat="1" applyFont="1" applyFill="1"/>
    <xf numFmtId="0" fontId="16" fillId="0" borderId="0" xfId="4" applyFont="1"/>
    <xf numFmtId="0" fontId="6" fillId="0" borderId="0" xfId="5"/>
    <xf numFmtId="0" fontId="25" fillId="0" borderId="22" xfId="6" applyFont="1" applyBorder="1"/>
    <xf numFmtId="167" fontId="5" fillId="0" borderId="0" xfId="7" applyNumberFormat="1" applyFont="1" applyBorder="1" applyAlignment="1">
      <alignment horizontal="right"/>
    </xf>
    <xf numFmtId="3" fontId="2" fillId="2" borderId="0" xfId="4" applyNumberFormat="1" applyFont="1" applyFill="1" applyAlignment="1">
      <alignment vertical="center" shrinkToFit="1"/>
    </xf>
    <xf numFmtId="0" fontId="16" fillId="0" borderId="0" xfId="6" applyFont="1"/>
    <xf numFmtId="0" fontId="16" fillId="0" borderId="0" xfId="6" applyFont="1" applyAlignment="1">
      <alignment horizontal="left"/>
    </xf>
    <xf numFmtId="0" fontId="25" fillId="0" borderId="0" xfId="6" applyFont="1"/>
    <xf numFmtId="2" fontId="16" fillId="0" borderId="13" xfId="6" applyNumberFormat="1" applyFont="1" applyBorder="1" applyAlignment="1">
      <alignment horizontal="right"/>
    </xf>
    <xf numFmtId="0" fontId="11" fillId="0" borderId="23" xfId="6" applyFont="1" applyBorder="1"/>
    <xf numFmtId="0" fontId="16" fillId="0" borderId="22" xfId="6" applyFont="1" applyBorder="1"/>
    <xf numFmtId="0" fontId="11" fillId="0" borderId="24" xfId="6" applyFont="1" applyBorder="1" applyAlignment="1">
      <alignment horizontal="center"/>
    </xf>
    <xf numFmtId="0" fontId="11" fillId="0" borderId="0" xfId="6" applyFont="1" applyAlignment="1">
      <alignment horizontal="center"/>
    </xf>
    <xf numFmtId="0" fontId="11" fillId="3" borderId="23" xfId="6" applyFont="1" applyFill="1" applyBorder="1" applyAlignment="1">
      <alignment horizontal="center"/>
    </xf>
    <xf numFmtId="0" fontId="16" fillId="0" borderId="29" xfId="6" applyFont="1" applyBorder="1"/>
    <xf numFmtId="0" fontId="16" fillId="0" borderId="30" xfId="6" applyFont="1" applyBorder="1"/>
    <xf numFmtId="0" fontId="16" fillId="0" borderId="23" xfId="6" applyFont="1" applyBorder="1"/>
    <xf numFmtId="0" fontId="16" fillId="0" borderId="31" xfId="6" applyFont="1" applyBorder="1"/>
    <xf numFmtId="2" fontId="16" fillId="0" borderId="32" xfId="6" applyNumberFormat="1" applyFont="1" applyBorder="1"/>
    <xf numFmtId="0" fontId="16" fillId="0" borderId="33" xfId="6" applyFont="1" applyBorder="1"/>
    <xf numFmtId="0" fontId="25" fillId="0" borderId="38" xfId="6" applyFont="1" applyBorder="1"/>
    <xf numFmtId="0" fontId="16" fillId="0" borderId="17" xfId="6" applyFont="1" applyBorder="1"/>
    <xf numFmtId="0" fontId="16" fillId="0" borderId="39" xfId="6" applyFont="1" applyBorder="1"/>
    <xf numFmtId="169" fontId="16" fillId="0" borderId="0" xfId="8" applyNumberFormat="1" applyFont="1"/>
    <xf numFmtId="0" fontId="16" fillId="0" borderId="13" xfId="6" applyFont="1" applyBorder="1"/>
    <xf numFmtId="0" fontId="11" fillId="0" borderId="43" xfId="6" applyFont="1" applyBorder="1"/>
    <xf numFmtId="0" fontId="11" fillId="0" borderId="0" xfId="6" applyFont="1" applyAlignment="1">
      <alignment horizontal="left"/>
    </xf>
    <xf numFmtId="0" fontId="27" fillId="0" borderId="23" xfId="6" applyFont="1" applyBorder="1"/>
    <xf numFmtId="2" fontId="16" fillId="0" borderId="0" xfId="6" applyNumberFormat="1" applyFont="1"/>
    <xf numFmtId="0" fontId="16" fillId="0" borderId="0" xfId="6" applyFont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170" fontId="2" fillId="2" borderId="1" xfId="1" applyNumberFormat="1" applyFont="1" applyFill="1" applyBorder="1"/>
    <xf numFmtId="0" fontId="3" fillId="0" borderId="8" xfId="5" applyFont="1" applyBorder="1"/>
    <xf numFmtId="165" fontId="16" fillId="2" borderId="1" xfId="9" applyNumberFormat="1" applyFont="1" applyFill="1" applyBorder="1" applyAlignment="1">
      <alignment horizontal="center" vertical="center" wrapText="1"/>
    </xf>
    <xf numFmtId="165" fontId="3" fillId="4" borderId="8" xfId="9" applyNumberFormat="1" applyFont="1" applyFill="1" applyBorder="1"/>
    <xf numFmtId="9" fontId="3" fillId="4" borderId="8" xfId="3" applyFont="1" applyFill="1" applyBorder="1"/>
    <xf numFmtId="0" fontId="16" fillId="0" borderId="8" xfId="5" applyFont="1" applyBorder="1" applyAlignment="1">
      <alignment horizontal="center" vertical="center"/>
    </xf>
    <xf numFmtId="3" fontId="3" fillId="0" borderId="8" xfId="5" applyNumberFormat="1" applyFont="1" applyBorder="1"/>
    <xf numFmtId="165" fontId="28" fillId="2" borderId="0" xfId="1" applyNumberFormat="1" applyFont="1" applyFill="1"/>
    <xf numFmtId="1" fontId="29" fillId="2" borderId="0" xfId="0" applyNumberFormat="1" applyFont="1" applyFill="1"/>
    <xf numFmtId="165" fontId="30" fillId="2" borderId="1" xfId="1" applyNumberFormat="1" applyFont="1" applyFill="1" applyBorder="1" applyAlignment="1">
      <alignment vertical="center" shrinkToFit="1"/>
    </xf>
    <xf numFmtId="165" fontId="30" fillId="2" borderId="3" xfId="1" applyNumberFormat="1" applyFont="1" applyFill="1" applyBorder="1" applyAlignment="1">
      <alignment vertical="center" shrinkToFit="1"/>
    </xf>
    <xf numFmtId="0" fontId="5" fillId="2" borderId="8" xfId="0" applyFont="1" applyFill="1" applyBorder="1" applyAlignment="1">
      <alignment horizontal="center" vertical="center" wrapText="1"/>
    </xf>
    <xf numFmtId="0" fontId="2" fillId="2" borderId="8" xfId="0" applyFont="1" applyFill="1" applyBorder="1"/>
    <xf numFmtId="14" fontId="2" fillId="2" borderId="8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0" fontId="2" fillId="0" borderId="8" xfId="0" applyFont="1" applyBorder="1"/>
    <xf numFmtId="14" fontId="3" fillId="2" borderId="8" xfId="0" applyNumberFormat="1" applyFont="1" applyFill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wrapText="1"/>
    </xf>
    <xf numFmtId="0" fontId="2" fillId="2" borderId="8" xfId="0" applyFont="1" applyFill="1" applyBorder="1" applyAlignment="1">
      <alignment wrapText="1"/>
    </xf>
    <xf numFmtId="165" fontId="2" fillId="2" borderId="8" xfId="1" applyNumberFormat="1" applyFont="1" applyFill="1" applyBorder="1"/>
    <xf numFmtId="0" fontId="5" fillId="2" borderId="0" xfId="0" applyFont="1" applyFill="1" applyAlignment="1">
      <alignment horizontal="center"/>
    </xf>
    <xf numFmtId="1" fontId="5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4" fontId="2" fillId="2" borderId="8" xfId="0" applyNumberFormat="1" applyFont="1" applyFill="1" applyBorder="1" applyAlignment="1">
      <alignment horizontal="center"/>
    </xf>
    <xf numFmtId="171" fontId="16" fillId="2" borderId="1" xfId="2" applyNumberFormat="1" applyFont="1" applyFill="1" applyBorder="1" applyAlignment="1">
      <alignment horizontal="center" vertical="center" wrapText="1"/>
    </xf>
    <xf numFmtId="171" fontId="3" fillId="3" borderId="8" xfId="2" applyNumberFormat="1" applyFont="1" applyFill="1" applyBorder="1"/>
    <xf numFmtId="1" fontId="16" fillId="2" borderId="11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2" xfId="0" applyFont="1" applyFill="1" applyBorder="1" applyAlignment="1">
      <alignment horizontal="center" vertical="center" shrinkToFit="1"/>
    </xf>
    <xf numFmtId="165" fontId="8" fillId="2" borderId="12" xfId="1" applyNumberFormat="1" applyFont="1" applyFill="1" applyBorder="1" applyAlignment="1">
      <alignment horizontal="center" vertical="center" shrinkToFit="1"/>
    </xf>
    <xf numFmtId="165" fontId="2" fillId="2" borderId="0" xfId="1" applyNumberFormat="1" applyFont="1" applyFill="1" applyAlignment="1">
      <alignment horizontal="center" vertical="center"/>
    </xf>
    <xf numFmtId="165" fontId="2" fillId="2" borderId="0" xfId="1" applyNumberFormat="1" applyFont="1" applyFill="1" applyAlignment="1">
      <alignment horizontal="center" vertical="center" wrapText="1"/>
    </xf>
    <xf numFmtId="165" fontId="3" fillId="2" borderId="8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/>
    </xf>
    <xf numFmtId="166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170" fontId="2" fillId="2" borderId="8" xfId="1" applyNumberFormat="1" applyFont="1" applyFill="1" applyBorder="1"/>
    <xf numFmtId="166" fontId="2" fillId="2" borderId="8" xfId="0" applyNumberFormat="1" applyFont="1" applyFill="1" applyBorder="1" applyAlignment="1">
      <alignment horizontal="center" vertical="center"/>
    </xf>
    <xf numFmtId="2" fontId="2" fillId="2" borderId="8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171" fontId="31" fillId="2" borderId="8" xfId="1" applyNumberFormat="1" applyFont="1" applyFill="1" applyBorder="1" applyAlignment="1">
      <alignment vertical="center" shrinkToFit="1"/>
    </xf>
    <xf numFmtId="0" fontId="2" fillId="3" borderId="1" xfId="5" applyFont="1" applyFill="1" applyBorder="1" applyAlignment="1">
      <alignment horizontal="center" wrapText="1"/>
    </xf>
    <xf numFmtId="0" fontId="2" fillId="3" borderId="5" xfId="5" applyFont="1" applyFill="1" applyBorder="1" applyAlignment="1">
      <alignment horizontal="center" wrapText="1"/>
    </xf>
    <xf numFmtId="0" fontId="2" fillId="3" borderId="44" xfId="5" applyFont="1" applyFill="1" applyBorder="1" applyAlignment="1">
      <alignment horizont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1" fontId="2" fillId="3" borderId="8" xfId="0" applyNumberFormat="1" applyFont="1" applyFill="1" applyBorder="1" applyAlignment="1">
      <alignment horizontal="center" vertical="center" wrapText="1"/>
    </xf>
    <xf numFmtId="165" fontId="2" fillId="3" borderId="8" xfId="1" applyNumberFormat="1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3" fillId="5" borderId="1" xfId="5" applyFont="1" applyFill="1" applyBorder="1" applyAlignment="1">
      <alignment horizontal="center" vertical="center" wrapText="1"/>
    </xf>
    <xf numFmtId="0" fontId="3" fillId="5" borderId="5" xfId="5" applyFont="1" applyFill="1" applyBorder="1" applyAlignment="1">
      <alignment horizontal="center" vertical="center" wrapText="1"/>
    </xf>
    <xf numFmtId="0" fontId="3" fillId="5" borderId="45" xfId="5" applyFont="1" applyFill="1" applyBorder="1" applyAlignment="1">
      <alignment horizontal="center" vertical="center" wrapText="1"/>
    </xf>
    <xf numFmtId="171" fontId="3" fillId="3" borderId="8" xfId="2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5" xfId="0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2" fontId="3" fillId="4" borderId="5" xfId="0" applyNumberFormat="1" applyFont="1" applyFill="1" applyBorder="1" applyAlignment="1">
      <alignment horizontal="center" vertical="center"/>
    </xf>
    <xf numFmtId="2" fontId="3" fillId="4" borderId="45" xfId="0" applyNumberFormat="1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165" fontId="11" fillId="2" borderId="1" xfId="0" applyNumberFormat="1" applyFont="1" applyFill="1" applyBorder="1" applyAlignment="1">
      <alignment horizontal="center" vertical="center" wrapText="1"/>
    </xf>
    <xf numFmtId="165" fontId="11" fillId="2" borderId="5" xfId="0" applyNumberFormat="1" applyFont="1" applyFill="1" applyBorder="1" applyAlignment="1">
      <alignment horizontal="center" vertical="center" wrapText="1"/>
    </xf>
    <xf numFmtId="165" fontId="11" fillId="2" borderId="3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45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1" fontId="16" fillId="2" borderId="14" xfId="0" applyNumberFormat="1" applyFont="1" applyFill="1" applyBorder="1" applyAlignment="1">
      <alignment horizontal="center" vertical="center" wrapText="1"/>
    </xf>
    <xf numFmtId="1" fontId="16" fillId="2" borderId="16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3" xfId="0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left" vertical="center" wrapText="1"/>
    </xf>
    <xf numFmtId="1" fontId="8" fillId="2" borderId="3" xfId="0" applyNumberFormat="1" applyFont="1" applyFill="1" applyBorder="1" applyAlignment="1">
      <alignment horizontal="left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8" fillId="2" borderId="3" xfId="0" applyNumberFormat="1" applyFont="1" applyFill="1" applyBorder="1" applyAlignment="1">
      <alignment horizontal="center" vertical="center" wrapText="1"/>
    </xf>
    <xf numFmtId="14" fontId="8" fillId="2" borderId="18" xfId="0" applyNumberFormat="1" applyFont="1" applyFill="1" applyBorder="1" applyAlignment="1">
      <alignment horizontal="center" vertical="center" shrinkToFit="1"/>
    </xf>
    <xf numFmtId="0" fontId="8" fillId="2" borderId="19" xfId="0" applyFont="1" applyFill="1" applyBorder="1" applyAlignment="1">
      <alignment horizontal="center" vertical="center" shrinkToFit="1"/>
    </xf>
    <xf numFmtId="0" fontId="8" fillId="2" borderId="20" xfId="0" applyFont="1" applyFill="1" applyBorder="1" applyAlignment="1">
      <alignment horizontal="center" vertical="center" shrinkToFit="1"/>
    </xf>
    <xf numFmtId="0" fontId="8" fillId="2" borderId="21" xfId="0" applyFont="1" applyFill="1" applyBorder="1" applyAlignment="1">
      <alignment horizontal="center" vertical="center" shrinkToFit="1"/>
    </xf>
    <xf numFmtId="1" fontId="11" fillId="2" borderId="1" xfId="0" applyNumberFormat="1" applyFont="1" applyFill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2" borderId="3" xfId="0" applyNumberFormat="1" applyFont="1" applyFill="1" applyBorder="1" applyAlignment="1">
      <alignment horizontal="center" vertical="center"/>
    </xf>
    <xf numFmtId="165" fontId="11" fillId="2" borderId="8" xfId="1" applyNumberFormat="1" applyFont="1" applyFill="1" applyBorder="1" applyAlignment="1">
      <alignment horizontal="center" vertical="center" wrapText="1"/>
    </xf>
    <xf numFmtId="0" fontId="15" fillId="2" borderId="8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shrinkToFit="1"/>
    </xf>
    <xf numFmtId="165" fontId="5" fillId="2" borderId="0" xfId="1" applyNumberFormat="1" applyFont="1" applyFill="1" applyAlignment="1">
      <alignment horizontal="center"/>
    </xf>
    <xf numFmtId="165" fontId="9" fillId="2" borderId="0" xfId="1" applyNumberFormat="1" applyFont="1" applyFill="1" applyAlignment="1">
      <alignment horizontal="center"/>
    </xf>
    <xf numFmtId="1" fontId="19" fillId="2" borderId="18" xfId="0" applyNumberFormat="1" applyFont="1" applyFill="1" applyBorder="1" applyAlignment="1">
      <alignment horizontal="center" vertical="center"/>
    </xf>
    <xf numFmtId="1" fontId="19" fillId="2" borderId="20" xfId="0" applyNumberFormat="1" applyFont="1" applyFill="1" applyBorder="1" applyAlignment="1">
      <alignment horizontal="center" vertical="center"/>
    </xf>
    <xf numFmtId="1" fontId="21" fillId="2" borderId="9" xfId="0" applyNumberFormat="1" applyFont="1" applyFill="1" applyBorder="1" applyAlignment="1">
      <alignment horizontal="center" vertical="center" wrapText="1"/>
    </xf>
    <xf numFmtId="1" fontId="21" fillId="2" borderId="17" xfId="0" applyNumberFormat="1" applyFont="1" applyFill="1" applyBorder="1" applyAlignment="1">
      <alignment horizontal="center" vertical="center" wrapText="1"/>
    </xf>
    <xf numFmtId="1" fontId="20" fillId="2" borderId="8" xfId="0" applyNumberFormat="1" applyFont="1" applyFill="1" applyBorder="1" applyAlignment="1">
      <alignment horizontal="center" vertical="center"/>
    </xf>
    <xf numFmtId="1" fontId="5" fillId="2" borderId="0" xfId="0" applyNumberFormat="1" applyFont="1" applyFill="1" applyAlignment="1">
      <alignment horizontal="center"/>
    </xf>
    <xf numFmtId="1" fontId="7" fillId="2" borderId="1" xfId="0" applyNumberFormat="1" applyFont="1" applyFill="1" applyBorder="1" applyAlignment="1">
      <alignment horizontal="left" vertical="center" wrapText="1"/>
    </xf>
    <xf numFmtId="1" fontId="7" fillId="2" borderId="3" xfId="0" applyNumberFormat="1" applyFont="1" applyFill="1" applyBorder="1" applyAlignment="1">
      <alignment horizontal="left" vertical="center" wrapText="1"/>
    </xf>
    <xf numFmtId="1" fontId="9" fillId="2" borderId="0" xfId="0" applyNumberFormat="1" applyFont="1" applyFill="1" applyAlignment="1">
      <alignment horizontal="center"/>
    </xf>
    <xf numFmtId="0" fontId="6" fillId="0" borderId="0" xfId="5"/>
    <xf numFmtId="0" fontId="11" fillId="0" borderId="23" xfId="6" applyFont="1" applyBorder="1" applyAlignment="1">
      <alignment horizontal="left"/>
    </xf>
    <xf numFmtId="0" fontId="11" fillId="0" borderId="0" xfId="6" applyFont="1" applyAlignment="1">
      <alignment horizontal="left"/>
    </xf>
    <xf numFmtId="1" fontId="11" fillId="0" borderId="0" xfId="6" applyNumberFormat="1" applyFont="1" applyAlignment="1">
      <alignment horizontal="left"/>
    </xf>
    <xf numFmtId="1" fontId="11" fillId="0" borderId="24" xfId="6" applyNumberFormat="1" applyFont="1" applyBorder="1" applyAlignment="1">
      <alignment horizontal="left"/>
    </xf>
    <xf numFmtId="0" fontId="11" fillId="0" borderId="24" xfId="6" applyFont="1" applyBorder="1" applyAlignment="1">
      <alignment horizontal="left"/>
    </xf>
    <xf numFmtId="0" fontId="11" fillId="0" borderId="23" xfId="6" applyFont="1" applyBorder="1" applyAlignment="1">
      <alignment horizontal="center"/>
    </xf>
    <xf numFmtId="0" fontId="11" fillId="0" borderId="0" xfId="6" applyFont="1" applyAlignment="1">
      <alignment horizontal="center"/>
    </xf>
    <xf numFmtId="0" fontId="11" fillId="0" borderId="24" xfId="6" applyFont="1" applyBorder="1" applyAlignment="1">
      <alignment horizontal="center"/>
    </xf>
    <xf numFmtId="167" fontId="11" fillId="0" borderId="0" xfId="6" applyNumberFormat="1" applyFont="1" applyAlignment="1">
      <alignment horizontal="left"/>
    </xf>
    <xf numFmtId="0" fontId="16" fillId="0" borderId="0" xfId="4" applyFont="1"/>
    <xf numFmtId="0" fontId="11" fillId="0" borderId="23" xfId="6" applyFont="1" applyBorder="1"/>
    <xf numFmtId="0" fontId="11" fillId="0" borderId="0" xfId="6" applyFont="1"/>
    <xf numFmtId="37" fontId="11" fillId="0" borderId="17" xfId="7" applyNumberFormat="1" applyFont="1" applyBorder="1" applyAlignment="1">
      <alignment horizontal="right"/>
    </xf>
    <xf numFmtId="0" fontId="16" fillId="0" borderId="0" xfId="6" applyFont="1" applyAlignment="1">
      <alignment horizontal="center"/>
    </xf>
    <xf numFmtId="0" fontId="16" fillId="0" borderId="22" xfId="6" applyFont="1" applyBorder="1" applyAlignment="1">
      <alignment horizontal="center"/>
    </xf>
    <xf numFmtId="0" fontId="16" fillId="0" borderId="29" xfId="6" applyFont="1" applyBorder="1" applyAlignment="1">
      <alignment horizontal="center"/>
    </xf>
    <xf numFmtId="0" fontId="16" fillId="0" borderId="28" xfId="6" applyFont="1" applyBorder="1" applyAlignment="1">
      <alignment horizontal="center"/>
    </xf>
    <xf numFmtId="0" fontId="11" fillId="0" borderId="27" xfId="6" applyFont="1" applyBorder="1" applyAlignment="1">
      <alignment horizontal="center"/>
    </xf>
    <xf numFmtId="0" fontId="11" fillId="0" borderId="26" xfId="6" applyFont="1" applyBorder="1" applyAlignment="1">
      <alignment horizontal="center"/>
    </xf>
    <xf numFmtId="0" fontId="11" fillId="0" borderId="25" xfId="6" applyFont="1" applyBorder="1" applyAlignment="1">
      <alignment horizontal="center"/>
    </xf>
    <xf numFmtId="167" fontId="11" fillId="0" borderId="36" xfId="7" applyNumberFormat="1" applyFont="1" applyBorder="1" applyAlignment="1">
      <alignment horizontal="right"/>
    </xf>
    <xf numFmtId="167" fontId="11" fillId="0" borderId="35" xfId="7" applyNumberFormat="1" applyFont="1" applyBorder="1" applyAlignment="1">
      <alignment horizontal="right"/>
    </xf>
    <xf numFmtId="0" fontId="26" fillId="0" borderId="23" xfId="6" applyFont="1" applyBorder="1"/>
    <xf numFmtId="0" fontId="26" fillId="0" borderId="0" xfId="6" applyFont="1"/>
    <xf numFmtId="167" fontId="11" fillId="0" borderId="34" xfId="7" applyNumberFormat="1" applyFont="1" applyBorder="1" applyAlignment="1">
      <alignment horizontal="right"/>
    </xf>
    <xf numFmtId="167" fontId="11" fillId="0" borderId="7" xfId="7" applyNumberFormat="1" applyFont="1" applyBorder="1" applyAlignment="1">
      <alignment horizontal="right"/>
    </xf>
    <xf numFmtId="0" fontId="11" fillId="0" borderId="42" xfId="6" applyFont="1" applyBorder="1" applyAlignment="1">
      <alignment horizontal="left"/>
    </xf>
    <xf numFmtId="0" fontId="11" fillId="0" borderId="41" xfId="6" applyFont="1" applyBorder="1" applyAlignment="1">
      <alignment horizontal="left"/>
    </xf>
    <xf numFmtId="0" fontId="26" fillId="0" borderId="42" xfId="6" applyFont="1" applyBorder="1" applyAlignment="1">
      <alignment horizontal="left"/>
    </xf>
    <xf numFmtId="0" fontId="26" fillId="0" borderId="41" xfId="6" applyFont="1" applyBorder="1" applyAlignment="1">
      <alignment horizontal="left"/>
    </xf>
    <xf numFmtId="167" fontId="11" fillId="0" borderId="40" xfId="7" applyNumberFormat="1" applyFont="1" applyBorder="1" applyAlignment="1">
      <alignment horizontal="right"/>
    </xf>
    <xf numFmtId="0" fontId="26" fillId="0" borderId="37" xfId="6" applyFont="1" applyBorder="1"/>
    <xf numFmtId="0" fontId="26" fillId="0" borderId="9" xfId="6" applyFont="1" applyBorder="1"/>
    <xf numFmtId="167" fontId="11" fillId="0" borderId="13" xfId="7" applyNumberFormat="1" applyFont="1" applyBorder="1" applyAlignment="1">
      <alignment horizontal="right"/>
    </xf>
    <xf numFmtId="0" fontId="11" fillId="2" borderId="0" xfId="6" applyFont="1" applyFill="1" applyAlignment="1">
      <alignment horizontal="left"/>
    </xf>
  </cellXfs>
  <cellStyles count="11">
    <cellStyle name="Comma" xfId="1" builtinId="3"/>
    <cellStyle name="Comma 2 2" xfId="9" xr:uid="{00000000-0005-0000-0000-000001000000}"/>
    <cellStyle name="Comma 4" xfId="2" xr:uid="{00000000-0005-0000-0000-000002000000}"/>
    <cellStyle name="Comma 4 2" xfId="10" xr:uid="{74451E25-3BA8-485C-BE19-096889FEDF35}"/>
    <cellStyle name="Comma 5" xfId="8" xr:uid="{00000000-0005-0000-0000-000003000000}"/>
    <cellStyle name="Comma_Sheet1" xfId="7" xr:uid="{00000000-0005-0000-0000-000004000000}"/>
    <cellStyle name="Normal" xfId="0" builtinId="0"/>
    <cellStyle name="Normal 2" xfId="5" xr:uid="{00000000-0005-0000-0000-000006000000}"/>
    <cellStyle name="Normal 3" xfId="4" xr:uid="{00000000-0005-0000-0000-000007000000}"/>
    <cellStyle name="Normal_Sheet1 2" xfId="6" xr:uid="{00000000-0005-0000-0000-000008000000}"/>
    <cellStyle name="Percent 2" xfId="3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B&#7871;p%20Cv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&#7890;%20S&#416;+L&#431;&#416;NG%20SD/L&#431;&#416;NG/L&#431;&#416;NG%20+%20C&#212;NG%202023/Th&#225;ng%2010-2023/CK%20th&#225;ng%2010-2023.xlsx" TargetMode="External"/><Relationship Id="rId2" Type="http://schemas.openxmlformats.org/officeDocument/2006/relationships/externalLinkPath" Target="file:///D:\H&#7890;%20S&#416;+L&#431;&#416;NG%20SD\L&#431;&#416;NG\L&#431;&#416;NG%20+%20C&#212;NG%202023\Th&#225;ng%2010-2023\CK%20th&#225;ng%2010-2023.xlsx" TargetMode="External"/><Relationship Id="rId1" Type="http://schemas.openxmlformats.org/officeDocument/2006/relationships/externalLinkPath" Target="/H&#7890;%20S&#416;+L&#431;&#416;NG%20SD/L&#431;&#416;NG/L&#431;&#416;NG%20+%20C&#212;NG%202023/Th&#225;ng%2010-2023/CK%20th&#225;ng%2010-2023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Gi&#225;n%20ti&#7871;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ảng TH nộp"/>
      <sheetName val="LUONG T7"/>
      <sheetName val="CĐ"/>
      <sheetName val="Phieu lương"/>
    </sheetNames>
    <sheetDataSet>
      <sheetData sheetId="0">
        <row r="8">
          <cell r="AO8">
            <v>26</v>
          </cell>
        </row>
      </sheetData>
      <sheetData sheetId="1">
        <row r="9">
          <cell r="B9" t="str">
            <v>Trịnh Thị Duyên</v>
          </cell>
          <cell r="C9">
            <v>50169</v>
          </cell>
        </row>
        <row r="11">
          <cell r="B11" t="str">
            <v>Trần Thị Yến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"/>
      <sheetName val="Bản cô Liên"/>
      <sheetName val="Nháp"/>
      <sheetName val="VTB"/>
      <sheetName val="TM"/>
      <sheetName val="TM C Nga"/>
      <sheetName val="Bổ sung 1"/>
      <sheetName val="Bổ sung 2"/>
      <sheetName val="Con nhỏ"/>
    </sheetNames>
    <sheetDataSet>
      <sheetData sheetId="0"/>
      <sheetData sheetId="1"/>
      <sheetData sheetId="2">
        <row r="1">
          <cell r="C1" t="str">
            <v>MÃ SỐ</v>
          </cell>
          <cell r="D1" t="str">
            <v>BÙ LƯƠNG</v>
          </cell>
          <cell r="E1">
            <v>2</v>
          </cell>
          <cell r="F1" t="str">
            <v>TỔNG LƯƠNG</v>
          </cell>
          <cell r="G1" t="str">
            <v>BHXH</v>
          </cell>
          <cell r="H1">
            <v>1</v>
          </cell>
          <cell r="I1" t="str">
            <v>THỰC LĨNH</v>
          </cell>
          <cell r="J1" t="str">
            <v>CÔNG</v>
          </cell>
        </row>
        <row r="2">
          <cell r="C2" t="str">
            <v>Phó GĐ</v>
          </cell>
          <cell r="F2">
            <v>7000000</v>
          </cell>
          <cell r="I2">
            <v>7000000</v>
          </cell>
        </row>
        <row r="3">
          <cell r="C3" t="str">
            <v>PGĐ Thiên nam Hà Trung</v>
          </cell>
          <cell r="F3">
            <v>5000000</v>
          </cell>
          <cell r="I3">
            <v>5000000</v>
          </cell>
        </row>
        <row r="4">
          <cell r="C4" t="str">
            <v>Kế toán</v>
          </cell>
          <cell r="F4">
            <v>3000000</v>
          </cell>
          <cell r="I4">
            <v>3000000</v>
          </cell>
        </row>
        <row r="5">
          <cell r="C5" t="str">
            <v>Phó GĐ</v>
          </cell>
          <cell r="F5">
            <v>2200000</v>
          </cell>
          <cell r="I5">
            <v>2200000</v>
          </cell>
        </row>
        <row r="6">
          <cell r="C6" t="str">
            <v>In</v>
          </cell>
          <cell r="F6">
            <v>2200000</v>
          </cell>
          <cell r="I6">
            <v>2200000</v>
          </cell>
        </row>
        <row r="7">
          <cell r="C7" t="str">
            <v>Nhóm trưởng</v>
          </cell>
          <cell r="F7">
            <v>700000</v>
          </cell>
          <cell r="I7">
            <v>700000</v>
          </cell>
        </row>
        <row r="8">
          <cell r="C8" t="str">
            <v>IE</v>
          </cell>
          <cell r="F8">
            <v>500000</v>
          </cell>
          <cell r="I8">
            <v>500000</v>
          </cell>
        </row>
        <row r="9">
          <cell r="C9" t="str">
            <v>IE</v>
          </cell>
          <cell r="F9">
            <v>500000</v>
          </cell>
          <cell r="I9">
            <v>500000</v>
          </cell>
        </row>
        <row r="10">
          <cell r="C10" t="str">
            <v>IE</v>
          </cell>
          <cell r="F10">
            <v>500000</v>
          </cell>
          <cell r="I10">
            <v>500000</v>
          </cell>
        </row>
        <row r="11">
          <cell r="C11" t="str">
            <v>Căt 888</v>
          </cell>
          <cell r="F11">
            <v>1757700</v>
          </cell>
          <cell r="I11">
            <v>1757700</v>
          </cell>
        </row>
        <row r="12">
          <cell r="C12" t="str">
            <v>Căt 888</v>
          </cell>
          <cell r="F12">
            <v>1757700</v>
          </cell>
          <cell r="I12">
            <v>1757700</v>
          </cell>
        </row>
        <row r="13">
          <cell r="C13" t="str">
            <v>Q.trị 1</v>
          </cell>
          <cell r="F13">
            <v>2000000</v>
          </cell>
          <cell r="I13">
            <v>2000000</v>
          </cell>
        </row>
        <row r="14">
          <cell r="C14" t="str">
            <v>Q.trị 7</v>
          </cell>
          <cell r="F14">
            <v>7000000</v>
          </cell>
          <cell r="I14">
            <v>7000000</v>
          </cell>
        </row>
        <row r="15">
          <cell r="C15" t="str">
            <v>Q.trị 9</v>
          </cell>
          <cell r="F15">
            <v>3000000</v>
          </cell>
          <cell r="I15">
            <v>3000000</v>
          </cell>
        </row>
        <row r="16">
          <cell r="C16">
            <v>51537</v>
          </cell>
          <cell r="D16">
            <v>0</v>
          </cell>
          <cell r="E16">
            <v>0</v>
          </cell>
          <cell r="F16">
            <v>8286424.8149624364</v>
          </cell>
          <cell r="I16">
            <v>8286400</v>
          </cell>
          <cell r="J16">
            <v>26</v>
          </cell>
        </row>
        <row r="17">
          <cell r="C17">
            <v>51575</v>
          </cell>
          <cell r="D17">
            <v>134827.86967907028</v>
          </cell>
          <cell r="E17">
            <v>0</v>
          </cell>
          <cell r="F17">
            <v>1570180.6399363144</v>
          </cell>
          <cell r="G17">
            <v>0</v>
          </cell>
          <cell r="I17">
            <v>1570200</v>
          </cell>
          <cell r="J17">
            <v>10</v>
          </cell>
        </row>
        <row r="18">
          <cell r="C18">
            <v>51593</v>
          </cell>
          <cell r="D18">
            <v>0</v>
          </cell>
          <cell r="E18">
            <v>0</v>
          </cell>
          <cell r="F18">
            <v>2438357.2642080421</v>
          </cell>
          <cell r="G18">
            <v>0</v>
          </cell>
          <cell r="I18">
            <v>2438400</v>
          </cell>
          <cell r="J18">
            <v>13</v>
          </cell>
        </row>
        <row r="19">
          <cell r="C19">
            <v>51594</v>
          </cell>
          <cell r="D19">
            <v>188214.43223080886</v>
          </cell>
          <cell r="E19">
            <v>0</v>
          </cell>
          <cell r="F19">
            <v>2566646.7216153452</v>
          </cell>
          <cell r="G19">
            <v>0</v>
          </cell>
          <cell r="I19">
            <v>2566600</v>
          </cell>
          <cell r="J19">
            <v>14</v>
          </cell>
        </row>
        <row r="20">
          <cell r="C20">
            <v>51610</v>
          </cell>
          <cell r="D20">
            <v>0</v>
          </cell>
          <cell r="E20">
            <v>0</v>
          </cell>
          <cell r="F20">
            <v>133769</v>
          </cell>
          <cell r="G20">
            <v>0</v>
          </cell>
          <cell r="I20">
            <v>133800</v>
          </cell>
          <cell r="J20">
            <v>1</v>
          </cell>
        </row>
        <row r="21">
          <cell r="C21">
            <v>51114</v>
          </cell>
          <cell r="D21">
            <v>0</v>
          </cell>
          <cell r="E21">
            <v>0</v>
          </cell>
          <cell r="F21">
            <v>6536217.5322020939</v>
          </cell>
          <cell r="G21">
            <v>385665</v>
          </cell>
          <cell r="I21">
            <v>6150600</v>
          </cell>
          <cell r="J21">
            <v>24</v>
          </cell>
        </row>
        <row r="22">
          <cell r="C22">
            <v>51606</v>
          </cell>
          <cell r="D22">
            <v>0</v>
          </cell>
          <cell r="E22">
            <v>0</v>
          </cell>
          <cell r="F22">
            <v>1303843.75</v>
          </cell>
          <cell r="G22">
            <v>0</v>
          </cell>
          <cell r="I22">
            <v>1303800</v>
          </cell>
          <cell r="J22">
            <v>6</v>
          </cell>
        </row>
        <row r="23">
          <cell r="C23">
            <v>10034</v>
          </cell>
          <cell r="D23">
            <v>0</v>
          </cell>
          <cell r="E23">
            <v>0</v>
          </cell>
          <cell r="F23">
            <v>2642603.365384616</v>
          </cell>
          <cell r="G23">
            <v>0</v>
          </cell>
          <cell r="I23">
            <v>2642600</v>
          </cell>
          <cell r="J23">
            <v>12.5</v>
          </cell>
        </row>
        <row r="24">
          <cell r="C24">
            <v>51566</v>
          </cell>
          <cell r="F24">
            <v>5805703.9350273162</v>
          </cell>
          <cell r="I24">
            <v>5805700</v>
          </cell>
          <cell r="J24">
            <v>22</v>
          </cell>
        </row>
        <row r="25">
          <cell r="C25">
            <v>51570</v>
          </cell>
          <cell r="F25">
            <v>5064939.481969499</v>
          </cell>
          <cell r="I25">
            <v>5064900</v>
          </cell>
          <cell r="J25">
            <v>22</v>
          </cell>
        </row>
        <row r="26">
          <cell r="C26">
            <v>51584</v>
          </cell>
          <cell r="F26">
            <v>3993192.1394914072</v>
          </cell>
          <cell r="I26">
            <v>3993200</v>
          </cell>
          <cell r="J26">
            <v>17</v>
          </cell>
        </row>
        <row r="27">
          <cell r="C27">
            <v>51604</v>
          </cell>
          <cell r="F27">
            <v>1557961.6025641025</v>
          </cell>
          <cell r="G27">
            <v>0</v>
          </cell>
          <cell r="I27">
            <v>1558000</v>
          </cell>
          <cell r="J27">
            <v>7</v>
          </cell>
        </row>
        <row r="28">
          <cell r="C28">
            <v>51049</v>
          </cell>
          <cell r="D28">
            <v>0</v>
          </cell>
          <cell r="E28">
            <v>0</v>
          </cell>
          <cell r="F28">
            <v>7734588.9576976961</v>
          </cell>
          <cell r="G28">
            <v>385665</v>
          </cell>
          <cell r="I28">
            <v>7348900</v>
          </cell>
          <cell r="J28">
            <v>24</v>
          </cell>
        </row>
        <row r="29">
          <cell r="C29">
            <v>51569</v>
          </cell>
          <cell r="D29">
            <v>295999.4762322309</v>
          </cell>
          <cell r="E29">
            <v>0</v>
          </cell>
          <cell r="F29">
            <v>3599375.5237677703</v>
          </cell>
          <cell r="I29">
            <v>3599400</v>
          </cell>
          <cell r="J29">
            <v>20</v>
          </cell>
        </row>
        <row r="30">
          <cell r="C30">
            <v>51596</v>
          </cell>
          <cell r="D30">
            <v>0</v>
          </cell>
          <cell r="E30">
            <v>0</v>
          </cell>
          <cell r="F30">
            <v>3909010.8340046769</v>
          </cell>
          <cell r="G30">
            <v>0</v>
          </cell>
          <cell r="I30">
            <v>3909000</v>
          </cell>
          <cell r="J30">
            <v>14</v>
          </cell>
        </row>
        <row r="31">
          <cell r="C31">
            <v>51598</v>
          </cell>
          <cell r="D31">
            <v>0</v>
          </cell>
          <cell r="E31">
            <v>0</v>
          </cell>
          <cell r="F31">
            <v>2208312.7723132945</v>
          </cell>
          <cell r="G31">
            <v>0</v>
          </cell>
          <cell r="I31">
            <v>2208300</v>
          </cell>
          <cell r="J31">
            <v>10</v>
          </cell>
        </row>
        <row r="32">
          <cell r="C32">
            <v>51599</v>
          </cell>
          <cell r="D32">
            <v>0</v>
          </cell>
          <cell r="E32">
            <v>0</v>
          </cell>
          <cell r="F32">
            <v>2120708.3169716876</v>
          </cell>
          <cell r="G32">
            <v>0</v>
          </cell>
          <cell r="I32">
            <v>2120700</v>
          </cell>
          <cell r="J32">
            <v>10</v>
          </cell>
        </row>
        <row r="33">
          <cell r="C33">
            <v>51607</v>
          </cell>
          <cell r="D33">
            <v>0</v>
          </cell>
          <cell r="E33">
            <v>0</v>
          </cell>
          <cell r="F33">
            <v>2058108.0962597961</v>
          </cell>
          <cell r="G33">
            <v>0</v>
          </cell>
          <cell r="I33">
            <v>2058100</v>
          </cell>
          <cell r="J33">
            <v>7</v>
          </cell>
        </row>
        <row r="34">
          <cell r="C34">
            <v>51524</v>
          </cell>
          <cell r="E34">
            <v>0</v>
          </cell>
          <cell r="F34">
            <v>205380.59471069943</v>
          </cell>
          <cell r="G34">
            <v>0</v>
          </cell>
          <cell r="I34">
            <v>205400</v>
          </cell>
          <cell r="J34">
            <v>2</v>
          </cell>
        </row>
        <row r="35">
          <cell r="C35">
            <v>51565</v>
          </cell>
          <cell r="E35">
            <v>0</v>
          </cell>
          <cell r="F35">
            <v>588747.70385315956</v>
          </cell>
          <cell r="G35">
            <v>0</v>
          </cell>
          <cell r="I35">
            <v>588700</v>
          </cell>
          <cell r="J35">
            <v>4</v>
          </cell>
        </row>
        <row r="36">
          <cell r="C36">
            <v>51501</v>
          </cell>
          <cell r="E36">
            <v>0</v>
          </cell>
          <cell r="F36">
            <v>205750.21367521366</v>
          </cell>
          <cell r="G36">
            <v>0</v>
          </cell>
          <cell r="I36">
            <v>205800</v>
          </cell>
          <cell r="J36">
            <v>2</v>
          </cell>
        </row>
        <row r="37">
          <cell r="C37">
            <v>51476</v>
          </cell>
          <cell r="E37">
            <v>0</v>
          </cell>
          <cell r="F37">
            <v>598506.24470018176</v>
          </cell>
          <cell r="G37">
            <v>0</v>
          </cell>
          <cell r="I37">
            <v>598500</v>
          </cell>
          <cell r="J37">
            <v>6</v>
          </cell>
        </row>
        <row r="38">
          <cell r="C38">
            <v>51567</v>
          </cell>
          <cell r="E38">
            <v>0</v>
          </cell>
          <cell r="F38">
            <v>303619.3356643357</v>
          </cell>
          <cell r="G38">
            <v>0</v>
          </cell>
          <cell r="I38">
            <v>303600</v>
          </cell>
          <cell r="J38">
            <v>3</v>
          </cell>
        </row>
        <row r="39">
          <cell r="C39">
            <v>51576</v>
          </cell>
          <cell r="E39">
            <v>0</v>
          </cell>
          <cell r="F39">
            <v>1011474.0786616424</v>
          </cell>
          <cell r="G39">
            <v>0</v>
          </cell>
          <cell r="I39">
            <v>1011500</v>
          </cell>
          <cell r="J39">
            <v>8</v>
          </cell>
        </row>
        <row r="40">
          <cell r="C40">
            <v>51577</v>
          </cell>
          <cell r="E40">
            <v>0</v>
          </cell>
          <cell r="F40">
            <v>1012922.7787042474</v>
          </cell>
          <cell r="G40">
            <v>0</v>
          </cell>
          <cell r="I40">
            <v>1012900</v>
          </cell>
          <cell r="J40">
            <v>8</v>
          </cell>
        </row>
        <row r="41">
          <cell r="C41">
            <v>51579</v>
          </cell>
          <cell r="E41">
            <v>0</v>
          </cell>
          <cell r="F41">
            <v>916331.81164976512</v>
          </cell>
          <cell r="G41">
            <v>0</v>
          </cell>
          <cell r="I41">
            <v>916300</v>
          </cell>
          <cell r="J41">
            <v>7.5</v>
          </cell>
        </row>
        <row r="42">
          <cell r="C42">
            <v>51578</v>
          </cell>
          <cell r="E42">
            <v>0</v>
          </cell>
          <cell r="F42">
            <v>1134002.0970308008</v>
          </cell>
          <cell r="G42">
            <v>0</v>
          </cell>
          <cell r="I42">
            <v>1134000</v>
          </cell>
          <cell r="J42">
            <v>7</v>
          </cell>
        </row>
        <row r="43">
          <cell r="C43">
            <v>51595</v>
          </cell>
          <cell r="E43">
            <v>0</v>
          </cell>
          <cell r="F43">
            <v>1436048.8596862534</v>
          </cell>
          <cell r="G43">
            <v>0</v>
          </cell>
          <cell r="I43">
            <v>1436000</v>
          </cell>
          <cell r="J43">
            <v>14</v>
          </cell>
        </row>
        <row r="44">
          <cell r="C44">
            <v>51556</v>
          </cell>
          <cell r="E44">
            <v>0</v>
          </cell>
          <cell r="F44">
            <v>3255347.524541351</v>
          </cell>
          <cell r="I44">
            <v>3255300</v>
          </cell>
          <cell r="J44">
            <v>15</v>
          </cell>
        </row>
        <row r="45">
          <cell r="C45">
            <v>51568</v>
          </cell>
          <cell r="E45">
            <v>0</v>
          </cell>
          <cell r="F45">
            <v>506434.62747943879</v>
          </cell>
          <cell r="G45">
            <v>0</v>
          </cell>
          <cell r="I45">
            <v>506400</v>
          </cell>
          <cell r="J45">
            <v>5</v>
          </cell>
        </row>
        <row r="46">
          <cell r="C46">
            <v>50362</v>
          </cell>
          <cell r="E46">
            <v>0</v>
          </cell>
          <cell r="F46">
            <v>330001.76282051281</v>
          </cell>
          <cell r="G46">
            <v>0</v>
          </cell>
          <cell r="I46">
            <v>330000</v>
          </cell>
          <cell r="J46">
            <v>3.5</v>
          </cell>
        </row>
        <row r="47">
          <cell r="C47">
            <v>51486</v>
          </cell>
          <cell r="E47">
            <v>0</v>
          </cell>
          <cell r="F47">
            <v>1719357.8147694648</v>
          </cell>
          <cell r="G47">
            <v>0</v>
          </cell>
          <cell r="I47">
            <v>1719400</v>
          </cell>
          <cell r="J47">
            <v>11.5</v>
          </cell>
        </row>
        <row r="48">
          <cell r="C48">
            <v>51605</v>
          </cell>
          <cell r="E48">
            <v>0</v>
          </cell>
          <cell r="F48">
            <v>317249.86595329834</v>
          </cell>
          <cell r="G48">
            <v>0</v>
          </cell>
          <cell r="I48">
            <v>317200</v>
          </cell>
          <cell r="J48">
            <v>3</v>
          </cell>
        </row>
        <row r="49">
          <cell r="C49">
            <v>51608</v>
          </cell>
          <cell r="E49">
            <v>0</v>
          </cell>
          <cell r="F49">
            <v>324989.11331956636</v>
          </cell>
          <cell r="G49">
            <v>0</v>
          </cell>
          <cell r="I49">
            <v>325000</v>
          </cell>
          <cell r="J49">
            <v>3</v>
          </cell>
        </row>
        <row r="50">
          <cell r="C50">
            <v>51597</v>
          </cell>
          <cell r="E50">
            <v>0</v>
          </cell>
          <cell r="F50">
            <v>1248696.3149943724</v>
          </cell>
          <cell r="G50">
            <v>0</v>
          </cell>
          <cell r="I50">
            <v>1248700</v>
          </cell>
          <cell r="J50">
            <v>10</v>
          </cell>
        </row>
        <row r="51">
          <cell r="C51">
            <v>51571</v>
          </cell>
          <cell r="E51">
            <v>0</v>
          </cell>
          <cell r="F51">
            <v>3993745.8480244451</v>
          </cell>
          <cell r="I51">
            <v>3993700</v>
          </cell>
          <cell r="J51">
            <v>22</v>
          </cell>
        </row>
        <row r="52">
          <cell r="C52">
            <v>50969</v>
          </cell>
          <cell r="E52">
            <v>0</v>
          </cell>
          <cell r="F52">
            <v>1633482.2424361934</v>
          </cell>
          <cell r="I52">
            <v>1633500</v>
          </cell>
          <cell r="J52">
            <v>10</v>
          </cell>
        </row>
        <row r="53">
          <cell r="C53" t="str">
            <v>TV1</v>
          </cell>
          <cell r="E53">
            <v>0</v>
          </cell>
          <cell r="F53">
            <v>961834.61538461538</v>
          </cell>
          <cell r="G53">
            <v>0</v>
          </cell>
          <cell r="I53">
            <v>961800</v>
          </cell>
          <cell r="J53">
            <v>4</v>
          </cell>
        </row>
        <row r="54">
          <cell r="C54" t="str">
            <v>TV2</v>
          </cell>
          <cell r="E54">
            <v>0</v>
          </cell>
          <cell r="F54">
            <v>2391209.6153846155</v>
          </cell>
          <cell r="G54">
            <v>0</v>
          </cell>
          <cell r="I54">
            <v>2391200</v>
          </cell>
          <cell r="J54">
            <v>10</v>
          </cell>
        </row>
        <row r="55">
          <cell r="C55">
            <v>51496</v>
          </cell>
          <cell r="D55">
            <v>185330.68957293982</v>
          </cell>
          <cell r="E55">
            <v>0</v>
          </cell>
          <cell r="F55">
            <v>4780905.8488885984</v>
          </cell>
          <cell r="I55">
            <v>4780905.8488885984</v>
          </cell>
          <cell r="J55">
            <v>25</v>
          </cell>
        </row>
        <row r="56">
          <cell r="C56">
            <v>51580</v>
          </cell>
          <cell r="D56">
            <v>0</v>
          </cell>
          <cell r="E56">
            <v>0</v>
          </cell>
          <cell r="F56">
            <v>5370361.8467040826</v>
          </cell>
          <cell r="I56">
            <v>5370361.8467040826</v>
          </cell>
          <cell r="J56">
            <v>20</v>
          </cell>
        </row>
        <row r="57">
          <cell r="C57">
            <v>51602</v>
          </cell>
          <cell r="D57">
            <v>137622.15755735489</v>
          </cell>
          <cell r="E57">
            <v>0</v>
          </cell>
          <cell r="F57">
            <v>705796.11167341424</v>
          </cell>
          <cell r="G57">
            <v>0</v>
          </cell>
          <cell r="I57">
            <v>705800</v>
          </cell>
          <cell r="J57">
            <v>5</v>
          </cell>
        </row>
        <row r="58">
          <cell r="C58">
            <v>51560</v>
          </cell>
          <cell r="D58">
            <v>0</v>
          </cell>
          <cell r="E58">
            <v>0</v>
          </cell>
          <cell r="F58">
            <v>4530152.8852122789</v>
          </cell>
          <cell r="I58">
            <v>4530200</v>
          </cell>
          <cell r="J58">
            <v>24</v>
          </cell>
        </row>
        <row r="59">
          <cell r="C59">
            <v>51562</v>
          </cell>
          <cell r="D59">
            <v>76738.356117650226</v>
          </cell>
          <cell r="E59">
            <v>0</v>
          </cell>
          <cell r="F59">
            <v>5073433.2784977341</v>
          </cell>
          <cell r="I59">
            <v>5073400</v>
          </cell>
          <cell r="J59">
            <v>25</v>
          </cell>
        </row>
        <row r="60">
          <cell r="C60">
            <v>51574</v>
          </cell>
          <cell r="D60">
            <v>0</v>
          </cell>
          <cell r="E60">
            <v>0</v>
          </cell>
          <cell r="F60">
            <v>2370119.8713377817</v>
          </cell>
          <cell r="I60">
            <v>2370100</v>
          </cell>
          <cell r="J60">
            <v>15</v>
          </cell>
        </row>
        <row r="61">
          <cell r="C61">
            <v>51587</v>
          </cell>
          <cell r="D61">
            <v>18203.773469614098</v>
          </cell>
          <cell r="E61">
            <v>0</v>
          </cell>
          <cell r="F61">
            <v>2696001.5149919251</v>
          </cell>
          <cell r="G61">
            <v>0</v>
          </cell>
          <cell r="I61">
            <v>2696000</v>
          </cell>
          <cell r="J61">
            <v>14.5</v>
          </cell>
        </row>
        <row r="62">
          <cell r="C62">
            <v>51583</v>
          </cell>
          <cell r="D62">
            <v>0</v>
          </cell>
          <cell r="E62">
            <v>0</v>
          </cell>
          <cell r="F62">
            <v>2793390.4455607198</v>
          </cell>
          <cell r="I62">
            <v>2793400</v>
          </cell>
          <cell r="J62">
            <v>15.5</v>
          </cell>
        </row>
        <row r="63">
          <cell r="C63">
            <v>51561</v>
          </cell>
          <cell r="D63">
            <v>0</v>
          </cell>
          <cell r="E63">
            <v>0</v>
          </cell>
          <cell r="F63">
            <v>4306549.7372327652</v>
          </cell>
          <cell r="I63">
            <v>4306500</v>
          </cell>
          <cell r="J63">
            <v>23</v>
          </cell>
        </row>
        <row r="64">
          <cell r="C64">
            <v>51609</v>
          </cell>
          <cell r="D64">
            <v>34172.678694358998</v>
          </cell>
          <cell r="E64">
            <v>0</v>
          </cell>
          <cell r="F64">
            <v>368610.97515179485</v>
          </cell>
          <cell r="G64">
            <v>0</v>
          </cell>
          <cell r="I64">
            <v>368600</v>
          </cell>
          <cell r="J64">
            <v>2</v>
          </cell>
        </row>
        <row r="65">
          <cell r="C65">
            <v>51572</v>
          </cell>
          <cell r="D65">
            <v>239080.91028529161</v>
          </cell>
          <cell r="E65">
            <v>0</v>
          </cell>
          <cell r="F65">
            <v>3291354.9070224012</v>
          </cell>
          <cell r="I65">
            <v>3291400</v>
          </cell>
          <cell r="J65">
            <v>20</v>
          </cell>
        </row>
        <row r="66">
          <cell r="C66">
            <v>51573</v>
          </cell>
          <cell r="D66">
            <v>0</v>
          </cell>
          <cell r="E66">
            <v>0</v>
          </cell>
          <cell r="F66">
            <v>3276559.9449538072</v>
          </cell>
          <cell r="I66">
            <v>3276600</v>
          </cell>
          <cell r="J66">
            <v>18.5</v>
          </cell>
        </row>
        <row r="67">
          <cell r="C67">
            <v>51581</v>
          </cell>
          <cell r="D67">
            <v>48755.588778097474</v>
          </cell>
          <cell r="E67">
            <v>0</v>
          </cell>
          <cell r="F67">
            <v>3162132.9689142103</v>
          </cell>
          <cell r="I67">
            <v>3162100</v>
          </cell>
          <cell r="J67">
            <v>18.5</v>
          </cell>
        </row>
        <row r="68">
          <cell r="C68">
            <v>51586</v>
          </cell>
          <cell r="D68">
            <v>88297.919537174865</v>
          </cell>
          <cell r="E68">
            <v>0</v>
          </cell>
          <cell r="F68">
            <v>3432719.003539748</v>
          </cell>
          <cell r="I68">
            <v>3432700</v>
          </cell>
          <cell r="J68">
            <v>20</v>
          </cell>
        </row>
        <row r="69">
          <cell r="C69">
            <v>51588</v>
          </cell>
          <cell r="D69">
            <v>9656.8967567239888</v>
          </cell>
          <cell r="E69">
            <v>0</v>
          </cell>
          <cell r="F69">
            <v>2914646.468627891</v>
          </cell>
          <cell r="I69">
            <v>2914600</v>
          </cell>
          <cell r="J69">
            <v>15.5</v>
          </cell>
        </row>
        <row r="70">
          <cell r="C70">
            <v>51592</v>
          </cell>
          <cell r="D70">
            <v>0</v>
          </cell>
          <cell r="E70">
            <v>0</v>
          </cell>
          <cell r="F70">
            <v>2569537.032635055</v>
          </cell>
          <cell r="G70">
            <v>0</v>
          </cell>
          <cell r="I70">
            <v>2569500</v>
          </cell>
          <cell r="J70">
            <v>14</v>
          </cell>
        </row>
        <row r="71">
          <cell r="C71">
            <v>10132</v>
          </cell>
          <cell r="D71">
            <v>0</v>
          </cell>
          <cell r="E71">
            <v>0</v>
          </cell>
          <cell r="F71">
            <v>6249425.2991990307</v>
          </cell>
          <cell r="I71">
            <v>6249400</v>
          </cell>
          <cell r="J71">
            <v>25</v>
          </cell>
        </row>
        <row r="72">
          <cell r="C72">
            <v>51563</v>
          </cell>
          <cell r="D72">
            <v>0</v>
          </cell>
          <cell r="E72">
            <v>0</v>
          </cell>
          <cell r="F72">
            <v>3327767.3037034585</v>
          </cell>
          <cell r="I72">
            <v>3327800</v>
          </cell>
          <cell r="J72">
            <v>20</v>
          </cell>
        </row>
        <row r="73">
          <cell r="C73">
            <v>51564</v>
          </cell>
          <cell r="D73">
            <v>535661.6432962236</v>
          </cell>
          <cell r="E73">
            <v>0</v>
          </cell>
          <cell r="F73">
            <v>2289741.9624730074</v>
          </cell>
          <cell r="I73">
            <v>2289700</v>
          </cell>
          <cell r="J73">
            <v>18.5</v>
          </cell>
        </row>
        <row r="74">
          <cell r="C74">
            <v>51613</v>
          </cell>
          <cell r="D74">
            <v>12397.794087179496</v>
          </cell>
          <cell r="E74">
            <v>0</v>
          </cell>
          <cell r="F74">
            <v>197354.60975897437</v>
          </cell>
          <cell r="G74">
            <v>0</v>
          </cell>
          <cell r="I74">
            <v>197400</v>
          </cell>
          <cell r="J74">
            <v>1</v>
          </cell>
        </row>
        <row r="75">
          <cell r="C75">
            <v>50845</v>
          </cell>
          <cell r="D75">
            <v>0</v>
          </cell>
          <cell r="E75">
            <v>375000</v>
          </cell>
          <cell r="F75">
            <v>6778697.2983194822</v>
          </cell>
          <cell r="G75">
            <v>385665</v>
          </cell>
          <cell r="I75">
            <v>6393000</v>
          </cell>
          <cell r="J75">
            <v>25.5</v>
          </cell>
        </row>
        <row r="76">
          <cell r="C76">
            <v>50871</v>
          </cell>
          <cell r="D76">
            <v>0</v>
          </cell>
          <cell r="E76">
            <v>0</v>
          </cell>
          <cell r="F76">
            <v>6663345.5622955263</v>
          </cell>
          <cell r="G76">
            <v>385665</v>
          </cell>
          <cell r="I76">
            <v>6277700</v>
          </cell>
          <cell r="J76">
            <v>24.5</v>
          </cell>
        </row>
        <row r="77">
          <cell r="C77">
            <v>51166</v>
          </cell>
          <cell r="D77">
            <v>0</v>
          </cell>
          <cell r="E77">
            <v>0</v>
          </cell>
          <cell r="F77">
            <v>7616212.0550398082</v>
          </cell>
          <cell r="G77">
            <v>385665</v>
          </cell>
          <cell r="I77">
            <v>7230500</v>
          </cell>
          <cell r="J77">
            <v>25</v>
          </cell>
        </row>
        <row r="78">
          <cell r="C78">
            <v>51582</v>
          </cell>
          <cell r="D78">
            <v>0</v>
          </cell>
          <cell r="E78">
            <v>0</v>
          </cell>
          <cell r="F78">
            <v>2097888.4270279505</v>
          </cell>
          <cell r="G78">
            <v>0</v>
          </cell>
          <cell r="I78">
            <v>2097900</v>
          </cell>
          <cell r="J78">
            <v>11.5</v>
          </cell>
        </row>
        <row r="79">
          <cell r="C79">
            <v>51585</v>
          </cell>
          <cell r="D79">
            <v>0</v>
          </cell>
          <cell r="E79">
            <v>0</v>
          </cell>
          <cell r="F79">
            <v>3978629.3829522594</v>
          </cell>
          <cell r="I79">
            <v>3978600</v>
          </cell>
          <cell r="J79">
            <v>17</v>
          </cell>
        </row>
        <row r="80">
          <cell r="C80">
            <v>51292</v>
          </cell>
          <cell r="D80">
            <v>0</v>
          </cell>
          <cell r="E80">
            <v>0</v>
          </cell>
          <cell r="F80">
            <v>6565975.8132900503</v>
          </cell>
          <cell r="G80">
            <v>385665</v>
          </cell>
          <cell r="I80">
            <v>6180300</v>
          </cell>
          <cell r="J80">
            <v>25.5</v>
          </cell>
        </row>
        <row r="81">
          <cell r="C81">
            <v>10102</v>
          </cell>
          <cell r="D81">
            <v>84857.716181257274</v>
          </cell>
          <cell r="E81">
            <v>0</v>
          </cell>
          <cell r="F81">
            <v>5140974.7357418202</v>
          </cell>
          <cell r="I81">
            <v>5141000</v>
          </cell>
          <cell r="J81">
            <v>25</v>
          </cell>
        </row>
        <row r="82">
          <cell r="C82">
            <v>50382</v>
          </cell>
          <cell r="D82">
            <v>0</v>
          </cell>
          <cell r="E82">
            <v>0</v>
          </cell>
          <cell r="F82">
            <v>5986902.2963988287</v>
          </cell>
          <cell r="G82">
            <v>385665</v>
          </cell>
          <cell r="I82">
            <v>5601200</v>
          </cell>
          <cell r="J82">
            <v>25</v>
          </cell>
        </row>
        <row r="83">
          <cell r="C83">
            <v>50616</v>
          </cell>
          <cell r="D83">
            <v>0</v>
          </cell>
          <cell r="E83">
            <v>0</v>
          </cell>
          <cell r="F83">
            <v>5792698.7320622122</v>
          </cell>
          <cell r="G83">
            <v>385665</v>
          </cell>
          <cell r="I83">
            <v>5407000</v>
          </cell>
          <cell r="J83">
            <v>25</v>
          </cell>
        </row>
        <row r="84">
          <cell r="C84">
            <v>51317</v>
          </cell>
          <cell r="D84">
            <v>0</v>
          </cell>
          <cell r="E84">
            <v>0</v>
          </cell>
          <cell r="F84">
            <v>7005854.8243064852</v>
          </cell>
          <cell r="G84">
            <v>385665</v>
          </cell>
          <cell r="I84">
            <v>6620200</v>
          </cell>
          <cell r="J84">
            <v>25</v>
          </cell>
        </row>
        <row r="85">
          <cell r="C85">
            <v>51245</v>
          </cell>
          <cell r="D85">
            <v>24736.380902313278</v>
          </cell>
          <cell r="E85">
            <v>0</v>
          </cell>
          <cell r="F85">
            <v>5449309.1960207643</v>
          </cell>
          <cell r="G85">
            <v>385665</v>
          </cell>
          <cell r="I85">
            <v>5063600</v>
          </cell>
          <cell r="J85">
            <v>25.5</v>
          </cell>
        </row>
        <row r="86">
          <cell r="C86">
            <v>51500</v>
          </cell>
          <cell r="D86">
            <v>134545.80872612575</v>
          </cell>
          <cell r="E86">
            <v>0</v>
          </cell>
          <cell r="F86">
            <v>4084346.7393507971</v>
          </cell>
          <cell r="I86">
            <v>4084300</v>
          </cell>
          <cell r="J86">
            <v>24</v>
          </cell>
        </row>
        <row r="87">
          <cell r="C87">
            <v>51559</v>
          </cell>
          <cell r="D87">
            <v>0</v>
          </cell>
          <cell r="E87">
            <v>0</v>
          </cell>
          <cell r="F87">
            <v>5378806.0667342478</v>
          </cell>
          <cell r="I87">
            <v>5378800</v>
          </cell>
          <cell r="J87">
            <v>25</v>
          </cell>
        </row>
        <row r="88">
          <cell r="C88" t="str">
            <v>TV</v>
          </cell>
          <cell r="F88">
            <v>9100000</v>
          </cell>
          <cell r="I88">
            <v>9100000</v>
          </cell>
          <cell r="J88">
            <v>26</v>
          </cell>
        </row>
        <row r="89">
          <cell r="C89">
            <v>51280</v>
          </cell>
          <cell r="D89">
            <v>0</v>
          </cell>
          <cell r="E89">
            <v>0</v>
          </cell>
          <cell r="F89">
            <v>6092389.312314895</v>
          </cell>
          <cell r="G89">
            <v>385665</v>
          </cell>
          <cell r="I89">
            <v>5706700</v>
          </cell>
          <cell r="J89">
            <v>25</v>
          </cell>
        </row>
        <row r="90">
          <cell r="C90">
            <v>50788</v>
          </cell>
          <cell r="D90">
            <v>0</v>
          </cell>
          <cell r="E90">
            <v>0</v>
          </cell>
          <cell r="F90">
            <v>6787777.3659223123</v>
          </cell>
          <cell r="G90">
            <v>385665</v>
          </cell>
          <cell r="I90">
            <v>6402100</v>
          </cell>
          <cell r="J90">
            <v>25</v>
          </cell>
        </row>
        <row r="91">
          <cell r="C91">
            <v>50404</v>
          </cell>
          <cell r="D91">
            <v>592871.32835927815</v>
          </cell>
          <cell r="E91">
            <v>0</v>
          </cell>
          <cell r="F91">
            <v>4558000.0754868751</v>
          </cell>
          <cell r="G91">
            <v>385665</v>
          </cell>
          <cell r="I91">
            <v>4172300</v>
          </cell>
          <cell r="J91">
            <v>25</v>
          </cell>
        </row>
        <row r="92">
          <cell r="C92">
            <v>50482</v>
          </cell>
          <cell r="D92">
            <v>0</v>
          </cell>
          <cell r="E92">
            <v>0</v>
          </cell>
          <cell r="F92">
            <v>6824068.8608529028</v>
          </cell>
          <cell r="G92">
            <v>385665</v>
          </cell>
          <cell r="I92">
            <v>6438400</v>
          </cell>
          <cell r="J92">
            <v>24</v>
          </cell>
        </row>
        <row r="93">
          <cell r="C93">
            <v>51286</v>
          </cell>
          <cell r="D93">
            <v>75472.085453078151</v>
          </cell>
          <cell r="E93">
            <v>0</v>
          </cell>
          <cell r="F93">
            <v>3240229.8376238458</v>
          </cell>
          <cell r="I93">
            <v>3240229.8376238458</v>
          </cell>
          <cell r="J93">
            <v>20</v>
          </cell>
        </row>
        <row r="94">
          <cell r="C94">
            <v>51282</v>
          </cell>
          <cell r="D94">
            <v>0</v>
          </cell>
          <cell r="E94">
            <v>0</v>
          </cell>
          <cell r="F94">
            <v>6345542.1474738093</v>
          </cell>
          <cell r="G94">
            <v>385665</v>
          </cell>
          <cell r="I94">
            <v>5959900</v>
          </cell>
          <cell r="J94">
            <v>25</v>
          </cell>
        </row>
        <row r="95">
          <cell r="C95">
            <v>51394</v>
          </cell>
          <cell r="F95">
            <v>7350949.175316806</v>
          </cell>
          <cell r="G95">
            <v>385665</v>
          </cell>
          <cell r="H95"/>
          <cell r="I95">
            <v>6965300</v>
          </cell>
          <cell r="J95">
            <v>25</v>
          </cell>
        </row>
        <row r="96">
          <cell r="C96">
            <v>51467</v>
          </cell>
          <cell r="D96">
            <v>0</v>
          </cell>
          <cell r="E96">
            <v>0</v>
          </cell>
          <cell r="F96">
            <v>6395550.508968344</v>
          </cell>
          <cell r="G96">
            <v>385665</v>
          </cell>
          <cell r="I96">
            <v>6009900</v>
          </cell>
          <cell r="J96">
            <v>25</v>
          </cell>
        </row>
        <row r="97">
          <cell r="C97">
            <v>50965</v>
          </cell>
          <cell r="D97">
            <v>0</v>
          </cell>
          <cell r="E97">
            <v>0</v>
          </cell>
          <cell r="F97">
            <v>6710159.3125867574</v>
          </cell>
          <cell r="G97">
            <v>385665</v>
          </cell>
          <cell r="I97">
            <v>6324500</v>
          </cell>
          <cell r="J97">
            <v>21.5</v>
          </cell>
        </row>
        <row r="98">
          <cell r="C98">
            <v>51171</v>
          </cell>
          <cell r="D98">
            <v>11924.989011980128</v>
          </cell>
          <cell r="E98">
            <v>0</v>
          </cell>
          <cell r="F98">
            <v>5783152.1840649433</v>
          </cell>
          <cell r="G98">
            <v>385665</v>
          </cell>
          <cell r="I98">
            <v>5397500</v>
          </cell>
          <cell r="J98">
            <v>25</v>
          </cell>
        </row>
        <row r="99">
          <cell r="C99">
            <v>50038</v>
          </cell>
          <cell r="F99">
            <v>7720303.4754602108</v>
          </cell>
          <cell r="G99">
            <v>385665</v>
          </cell>
          <cell r="I99">
            <v>7334600</v>
          </cell>
          <cell r="J99">
            <v>26</v>
          </cell>
        </row>
        <row r="100">
          <cell r="C100">
            <v>50091</v>
          </cell>
          <cell r="F100">
            <v>7716993.7346545123</v>
          </cell>
          <cell r="G100">
            <v>385665</v>
          </cell>
          <cell r="I100">
            <v>7331300</v>
          </cell>
          <cell r="J100">
            <v>26</v>
          </cell>
        </row>
        <row r="101">
          <cell r="C101">
            <v>50198</v>
          </cell>
          <cell r="D101">
            <v>0</v>
          </cell>
          <cell r="E101">
            <v>0</v>
          </cell>
          <cell r="F101">
            <v>6796791.3962520948</v>
          </cell>
          <cell r="G101">
            <v>385665</v>
          </cell>
          <cell r="I101">
            <v>6411100</v>
          </cell>
          <cell r="J101">
            <v>25</v>
          </cell>
        </row>
        <row r="102">
          <cell r="C102">
            <v>50145</v>
          </cell>
          <cell r="F102">
            <v>7225201.0400693724</v>
          </cell>
          <cell r="G102">
            <v>385665</v>
          </cell>
          <cell r="I102">
            <v>6839500</v>
          </cell>
          <cell r="J102">
            <v>22</v>
          </cell>
        </row>
        <row r="103">
          <cell r="C103">
            <v>51337</v>
          </cell>
          <cell r="D103">
            <v>0</v>
          </cell>
          <cell r="E103">
            <v>0</v>
          </cell>
          <cell r="F103">
            <v>7785069.480769231</v>
          </cell>
          <cell r="G103">
            <v>385665</v>
          </cell>
          <cell r="I103">
            <v>7399400</v>
          </cell>
          <cell r="J103">
            <v>26</v>
          </cell>
        </row>
        <row r="104">
          <cell r="C104">
            <v>50954</v>
          </cell>
          <cell r="D104">
            <v>0</v>
          </cell>
          <cell r="E104">
            <v>0</v>
          </cell>
          <cell r="F104">
            <v>6999590.792145934</v>
          </cell>
          <cell r="G104">
            <v>385665</v>
          </cell>
          <cell r="I104">
            <v>6613900</v>
          </cell>
          <cell r="J104">
            <v>24.5</v>
          </cell>
        </row>
        <row r="105">
          <cell r="C105">
            <v>50793</v>
          </cell>
          <cell r="D105">
            <v>0</v>
          </cell>
          <cell r="E105">
            <v>0</v>
          </cell>
          <cell r="F105">
            <v>7639944.9693663372</v>
          </cell>
          <cell r="G105">
            <v>385665</v>
          </cell>
          <cell r="I105">
            <v>7254300</v>
          </cell>
          <cell r="J105">
            <v>25</v>
          </cell>
        </row>
        <row r="106">
          <cell r="C106">
            <v>50338</v>
          </cell>
          <cell r="D106">
            <v>0</v>
          </cell>
          <cell r="E106">
            <v>0</v>
          </cell>
          <cell r="F106">
            <v>7057312.4959798055</v>
          </cell>
          <cell r="G106">
            <v>385665</v>
          </cell>
          <cell r="I106">
            <v>6671600</v>
          </cell>
          <cell r="J106">
            <v>25</v>
          </cell>
        </row>
        <row r="107">
          <cell r="C107">
            <v>50097</v>
          </cell>
          <cell r="D107">
            <v>0</v>
          </cell>
          <cell r="E107">
            <v>315000</v>
          </cell>
          <cell r="F107">
            <v>6182919.9813213069</v>
          </cell>
          <cell r="G107">
            <v>385665</v>
          </cell>
          <cell r="I107">
            <v>5797300</v>
          </cell>
          <cell r="J107">
            <v>21</v>
          </cell>
        </row>
        <row r="108">
          <cell r="C108">
            <v>51253</v>
          </cell>
          <cell r="D108">
            <v>0</v>
          </cell>
          <cell r="E108">
            <v>0</v>
          </cell>
          <cell r="F108">
            <v>6046791.3752019331</v>
          </cell>
          <cell r="G108">
            <v>385665</v>
          </cell>
          <cell r="I108">
            <v>5661100</v>
          </cell>
          <cell r="J108">
            <v>24.5</v>
          </cell>
        </row>
        <row r="109">
          <cell r="C109">
            <v>51375</v>
          </cell>
          <cell r="E109">
            <v>0</v>
          </cell>
          <cell r="F109">
            <v>4846178.1280035069</v>
          </cell>
          <cell r="G109">
            <v>385665</v>
          </cell>
          <cell r="I109">
            <v>4460500</v>
          </cell>
          <cell r="J109">
            <v>19</v>
          </cell>
        </row>
        <row r="110">
          <cell r="C110">
            <v>50791</v>
          </cell>
          <cell r="D110">
            <v>0</v>
          </cell>
          <cell r="E110">
            <v>0</v>
          </cell>
          <cell r="F110">
            <v>9633643.0162221715</v>
          </cell>
          <cell r="G110">
            <v>385665</v>
          </cell>
          <cell r="I110">
            <v>9248000</v>
          </cell>
          <cell r="J110">
            <v>24</v>
          </cell>
        </row>
        <row r="111">
          <cell r="C111">
            <v>51252</v>
          </cell>
          <cell r="D111">
            <v>225030.59430989739</v>
          </cell>
          <cell r="E111">
            <v>0</v>
          </cell>
          <cell r="F111">
            <v>5442188.8864593329</v>
          </cell>
          <cell r="G111">
            <v>385665</v>
          </cell>
          <cell r="I111">
            <v>5056500</v>
          </cell>
          <cell r="J111">
            <v>25</v>
          </cell>
        </row>
        <row r="112">
          <cell r="C112">
            <v>50342</v>
          </cell>
          <cell r="D112">
            <v>0</v>
          </cell>
          <cell r="E112">
            <v>0</v>
          </cell>
          <cell r="F112">
            <v>6594432.4438148681</v>
          </cell>
          <cell r="G112">
            <v>385665</v>
          </cell>
          <cell r="I112">
            <v>6208800</v>
          </cell>
          <cell r="J112">
            <v>25</v>
          </cell>
        </row>
        <row r="113">
          <cell r="C113">
            <v>50265</v>
          </cell>
          <cell r="D113">
            <v>0</v>
          </cell>
          <cell r="E113">
            <v>0</v>
          </cell>
          <cell r="F113">
            <v>7451154.7792285029</v>
          </cell>
          <cell r="G113">
            <v>385665</v>
          </cell>
          <cell r="I113">
            <v>7065500</v>
          </cell>
          <cell r="J113">
            <v>25</v>
          </cell>
        </row>
        <row r="114">
          <cell r="C114">
            <v>50289</v>
          </cell>
          <cell r="D114">
            <v>0</v>
          </cell>
          <cell r="E114">
            <v>0</v>
          </cell>
          <cell r="F114">
            <v>6356270.8718472412</v>
          </cell>
          <cell r="G114">
            <v>385665</v>
          </cell>
          <cell r="I114">
            <v>5970600</v>
          </cell>
          <cell r="J114">
            <v>25</v>
          </cell>
        </row>
        <row r="115">
          <cell r="C115">
            <v>50313</v>
          </cell>
          <cell r="D115">
            <v>0</v>
          </cell>
          <cell r="E115">
            <v>0</v>
          </cell>
          <cell r="F115">
            <v>5861579.7034493685</v>
          </cell>
          <cell r="G115">
            <v>385665</v>
          </cell>
          <cell r="I115">
            <v>5475900</v>
          </cell>
          <cell r="J115">
            <v>25</v>
          </cell>
        </row>
        <row r="116">
          <cell r="C116">
            <v>50101</v>
          </cell>
          <cell r="D116">
            <v>0</v>
          </cell>
          <cell r="E116">
            <v>0</v>
          </cell>
          <cell r="F116">
            <v>6380879.0255503273</v>
          </cell>
          <cell r="G116">
            <v>385665</v>
          </cell>
          <cell r="I116">
            <v>5995200</v>
          </cell>
          <cell r="J116">
            <v>25</v>
          </cell>
        </row>
        <row r="117">
          <cell r="C117">
            <v>50735</v>
          </cell>
          <cell r="D117">
            <v>259657.51468684792</v>
          </cell>
          <cell r="E117">
            <v>0</v>
          </cell>
          <cell r="F117">
            <v>5125906.437236229</v>
          </cell>
          <cell r="G117">
            <v>385665</v>
          </cell>
          <cell r="I117">
            <v>4740200</v>
          </cell>
          <cell r="J117">
            <v>25</v>
          </cell>
        </row>
        <row r="118">
          <cell r="C118">
            <v>51254</v>
          </cell>
          <cell r="D118">
            <v>32405.523010347737</v>
          </cell>
          <cell r="E118">
            <v>0</v>
          </cell>
          <cell r="F118">
            <v>5953363.3361130049</v>
          </cell>
          <cell r="G118">
            <v>385665</v>
          </cell>
          <cell r="I118">
            <v>5567700</v>
          </cell>
          <cell r="J118">
            <v>24.5</v>
          </cell>
        </row>
        <row r="119">
          <cell r="C119">
            <v>51451</v>
          </cell>
          <cell r="D119">
            <v>247065.82456081611</v>
          </cell>
          <cell r="E119">
            <v>0</v>
          </cell>
          <cell r="F119">
            <v>4709348.2571699535</v>
          </cell>
          <cell r="G119">
            <v>385665</v>
          </cell>
          <cell r="I119">
            <v>4323700</v>
          </cell>
          <cell r="J119">
            <v>24</v>
          </cell>
        </row>
        <row r="120">
          <cell r="C120">
            <v>51487</v>
          </cell>
          <cell r="D120">
            <v>200626.26111577684</v>
          </cell>
          <cell r="E120">
            <v>0</v>
          </cell>
          <cell r="F120">
            <v>4043448.4984996081</v>
          </cell>
          <cell r="I120">
            <v>4043400</v>
          </cell>
          <cell r="J120">
            <v>23</v>
          </cell>
        </row>
        <row r="121">
          <cell r="C121">
            <v>10094</v>
          </cell>
          <cell r="D121">
            <v>0</v>
          </cell>
          <cell r="E121">
            <v>0</v>
          </cell>
          <cell r="F121">
            <v>4862745.1951805484</v>
          </cell>
          <cell r="I121">
            <v>4862700</v>
          </cell>
          <cell r="J121">
            <v>24</v>
          </cell>
        </row>
        <row r="122">
          <cell r="C122">
            <v>51480</v>
          </cell>
          <cell r="F122">
            <v>7442780.483902026</v>
          </cell>
          <cell r="G122">
            <v>385665</v>
          </cell>
          <cell r="I122">
            <v>7057100</v>
          </cell>
          <cell r="J122">
            <v>26</v>
          </cell>
        </row>
        <row r="123">
          <cell r="C123">
            <v>51498</v>
          </cell>
          <cell r="D123">
            <v>177710.40169167431</v>
          </cell>
          <cell r="E123">
            <v>0</v>
          </cell>
          <cell r="F123">
            <v>4902232.3867698638</v>
          </cell>
          <cell r="I123">
            <v>4902200</v>
          </cell>
          <cell r="J123">
            <v>25</v>
          </cell>
        </row>
        <row r="124">
          <cell r="C124">
            <v>51549</v>
          </cell>
          <cell r="D124">
            <v>0</v>
          </cell>
          <cell r="E124">
            <v>0</v>
          </cell>
          <cell r="F124">
            <v>5182753.8072099797</v>
          </cell>
          <cell r="I124">
            <v>5182800</v>
          </cell>
          <cell r="J124">
            <v>24</v>
          </cell>
        </row>
        <row r="125">
          <cell r="C125">
            <v>51521</v>
          </cell>
          <cell r="D125">
            <v>0</v>
          </cell>
          <cell r="E125">
            <v>0</v>
          </cell>
          <cell r="F125">
            <v>5633907.7010656055</v>
          </cell>
          <cell r="I125">
            <v>5633900</v>
          </cell>
          <cell r="J125">
            <v>24.5</v>
          </cell>
        </row>
        <row r="126">
          <cell r="C126">
            <v>51518</v>
          </cell>
          <cell r="F126">
            <v>8004207.178051075</v>
          </cell>
          <cell r="I126">
            <v>8004200</v>
          </cell>
          <cell r="J126">
            <v>25</v>
          </cell>
        </row>
        <row r="127">
          <cell r="C127">
            <v>50004</v>
          </cell>
          <cell r="F127">
            <v>10278134.615384616</v>
          </cell>
          <cell r="G127">
            <v>426615</v>
          </cell>
          <cell r="I127">
            <v>9851519.615384616</v>
          </cell>
          <cell r="J127">
            <v>25.5</v>
          </cell>
        </row>
        <row r="128">
          <cell r="C128">
            <v>50907</v>
          </cell>
          <cell r="D128">
            <v>0</v>
          </cell>
          <cell r="E128">
            <v>0</v>
          </cell>
          <cell r="F128">
            <v>7594276.006248977</v>
          </cell>
          <cell r="G128">
            <v>385665</v>
          </cell>
          <cell r="I128">
            <v>7208600</v>
          </cell>
          <cell r="J128">
            <v>26</v>
          </cell>
        </row>
        <row r="129">
          <cell r="C129">
            <v>51140</v>
          </cell>
          <cell r="D129">
            <v>0</v>
          </cell>
          <cell r="E129">
            <v>0</v>
          </cell>
          <cell r="F129">
            <v>7456511.8034997704</v>
          </cell>
          <cell r="G129">
            <v>385665</v>
          </cell>
          <cell r="H129"/>
          <cell r="I129">
            <v>7070800</v>
          </cell>
          <cell r="J129">
            <v>25.5</v>
          </cell>
        </row>
        <row r="130">
          <cell r="C130">
            <v>51238</v>
          </cell>
          <cell r="D130">
            <v>101356.48584069521</v>
          </cell>
          <cell r="E130">
            <v>0</v>
          </cell>
          <cell r="F130">
            <v>5535590.172813151</v>
          </cell>
          <cell r="G130">
            <v>385665</v>
          </cell>
          <cell r="I130">
            <v>5149900</v>
          </cell>
          <cell r="J130">
            <v>25.5</v>
          </cell>
        </row>
        <row r="131">
          <cell r="C131">
            <v>50312</v>
          </cell>
          <cell r="D131">
            <v>0</v>
          </cell>
          <cell r="E131">
            <v>0</v>
          </cell>
          <cell r="F131">
            <v>6617093.3990384629</v>
          </cell>
          <cell r="G131">
            <v>385665</v>
          </cell>
          <cell r="I131">
            <v>6231400</v>
          </cell>
          <cell r="J131">
            <v>26.5</v>
          </cell>
        </row>
        <row r="132">
          <cell r="C132">
            <v>50263</v>
          </cell>
          <cell r="D132">
            <v>0</v>
          </cell>
          <cell r="E132">
            <v>0</v>
          </cell>
          <cell r="F132">
            <v>7240433.5157612842</v>
          </cell>
          <cell r="G132">
            <v>385665</v>
          </cell>
          <cell r="I132">
            <v>6854800</v>
          </cell>
          <cell r="J132">
            <v>25.5</v>
          </cell>
        </row>
        <row r="133">
          <cell r="C133">
            <v>50225</v>
          </cell>
          <cell r="D133">
            <v>0</v>
          </cell>
          <cell r="E133">
            <v>0</v>
          </cell>
          <cell r="F133">
            <v>3314379.7366243489</v>
          </cell>
          <cell r="G133">
            <v>385665</v>
          </cell>
          <cell r="I133">
            <v>2928700</v>
          </cell>
          <cell r="J133">
            <v>16</v>
          </cell>
        </row>
        <row r="134">
          <cell r="C134">
            <v>50287</v>
          </cell>
          <cell r="D134">
            <v>0</v>
          </cell>
          <cell r="E134">
            <v>0</v>
          </cell>
          <cell r="F134">
            <v>7740688.3441002034</v>
          </cell>
          <cell r="G134">
            <v>385665</v>
          </cell>
          <cell r="I134">
            <v>7355000</v>
          </cell>
          <cell r="J134">
            <v>25</v>
          </cell>
        </row>
        <row r="135">
          <cell r="C135">
            <v>50294</v>
          </cell>
          <cell r="D135">
            <v>0</v>
          </cell>
          <cell r="E135">
            <v>0</v>
          </cell>
          <cell r="F135">
            <v>6721580.30594067</v>
          </cell>
          <cell r="G135">
            <v>385665</v>
          </cell>
          <cell r="I135">
            <v>6335900</v>
          </cell>
          <cell r="J135">
            <v>25</v>
          </cell>
        </row>
        <row r="136">
          <cell r="C136">
            <v>50253</v>
          </cell>
          <cell r="F136">
            <v>8717399.7103712782</v>
          </cell>
          <cell r="G136">
            <v>385665</v>
          </cell>
          <cell r="I136">
            <v>8331700</v>
          </cell>
          <cell r="J136">
            <v>26</v>
          </cell>
        </row>
        <row r="137">
          <cell r="C137">
            <v>50528</v>
          </cell>
          <cell r="D137">
            <v>0</v>
          </cell>
          <cell r="E137">
            <v>0</v>
          </cell>
          <cell r="F137">
            <v>5562635.2661410533</v>
          </cell>
          <cell r="G137">
            <v>385665</v>
          </cell>
          <cell r="I137">
            <v>5177000</v>
          </cell>
          <cell r="J137">
            <v>24.5</v>
          </cell>
        </row>
        <row r="138">
          <cell r="C138">
            <v>51383</v>
          </cell>
          <cell r="D138">
            <v>0</v>
          </cell>
          <cell r="E138">
            <v>0</v>
          </cell>
          <cell r="F138">
            <v>6381611.201923077</v>
          </cell>
          <cell r="I138">
            <v>6381600</v>
          </cell>
          <cell r="J138">
            <v>24</v>
          </cell>
        </row>
        <row r="139">
          <cell r="C139">
            <v>50222</v>
          </cell>
          <cell r="D139">
            <v>0</v>
          </cell>
          <cell r="E139">
            <v>0</v>
          </cell>
          <cell r="F139">
            <v>9281814.5937328637</v>
          </cell>
          <cell r="G139">
            <v>385665</v>
          </cell>
          <cell r="I139">
            <v>8896100</v>
          </cell>
          <cell r="J139">
            <v>26</v>
          </cell>
        </row>
        <row r="140">
          <cell r="C140">
            <v>51474</v>
          </cell>
          <cell r="D140">
            <v>629138.45994968154</v>
          </cell>
          <cell r="E140">
            <v>0</v>
          </cell>
          <cell r="F140">
            <v>4324397.4871657025</v>
          </cell>
          <cell r="G140">
            <v>385665</v>
          </cell>
          <cell r="I140">
            <v>3938700</v>
          </cell>
          <cell r="J140">
            <v>25</v>
          </cell>
        </row>
        <row r="141">
          <cell r="C141">
            <v>51509</v>
          </cell>
          <cell r="D141">
            <v>164636.32722455554</v>
          </cell>
          <cell r="E141">
            <v>0</v>
          </cell>
          <cell r="F141">
            <v>5294211.0381600596</v>
          </cell>
          <cell r="G141">
            <v>385665</v>
          </cell>
          <cell r="I141">
            <v>4908500</v>
          </cell>
          <cell r="J141">
            <v>25</v>
          </cell>
        </row>
        <row r="142">
          <cell r="C142">
            <v>51519</v>
          </cell>
          <cell r="E142">
            <v>0</v>
          </cell>
          <cell r="F142">
            <v>1073295.7717012337</v>
          </cell>
          <cell r="G142">
            <v>0</v>
          </cell>
          <cell r="I142">
            <v>1073300</v>
          </cell>
          <cell r="J142">
            <v>13</v>
          </cell>
        </row>
        <row r="143">
          <cell r="C143">
            <v>51523</v>
          </cell>
          <cell r="D143">
            <v>0</v>
          </cell>
          <cell r="E143">
            <v>0</v>
          </cell>
          <cell r="F143">
            <v>4866822.0329592871</v>
          </cell>
          <cell r="I143">
            <v>4866800</v>
          </cell>
          <cell r="J143">
            <v>24</v>
          </cell>
        </row>
        <row r="144">
          <cell r="C144">
            <v>51002</v>
          </cell>
          <cell r="D144">
            <v>0</v>
          </cell>
          <cell r="E144">
            <v>25</v>
          </cell>
          <cell r="F144">
            <v>6604959.7147754356</v>
          </cell>
          <cell r="G144">
            <v>385665</v>
          </cell>
          <cell r="I144">
            <v>6219300</v>
          </cell>
          <cell r="J144">
            <v>25</v>
          </cell>
        </row>
        <row r="145">
          <cell r="C145">
            <v>50203</v>
          </cell>
          <cell r="F145">
            <v>7837312.5</v>
          </cell>
          <cell r="I145">
            <v>7837300</v>
          </cell>
          <cell r="J145">
            <v>31</v>
          </cell>
        </row>
        <row r="146">
          <cell r="C146">
            <v>50212</v>
          </cell>
          <cell r="F146">
            <v>8909110.6473622769</v>
          </cell>
          <cell r="G146">
            <v>385665</v>
          </cell>
          <cell r="I146">
            <v>8523400</v>
          </cell>
          <cell r="J146">
            <v>25.5</v>
          </cell>
        </row>
        <row r="147">
          <cell r="C147">
            <v>51603</v>
          </cell>
          <cell r="D147">
            <v>0</v>
          </cell>
          <cell r="E147">
            <v>0</v>
          </cell>
          <cell r="F147">
            <v>1314694.1911384615</v>
          </cell>
          <cell r="G147">
            <v>0</v>
          </cell>
          <cell r="I147">
            <v>1314700</v>
          </cell>
          <cell r="J147">
            <v>6</v>
          </cell>
        </row>
        <row r="148">
          <cell r="C148">
            <v>51504</v>
          </cell>
          <cell r="D148">
            <v>0</v>
          </cell>
          <cell r="E148">
            <v>0</v>
          </cell>
          <cell r="F148">
            <v>5581202.8710776912</v>
          </cell>
          <cell r="I148">
            <v>5581200</v>
          </cell>
          <cell r="J148">
            <v>25</v>
          </cell>
        </row>
        <row r="149">
          <cell r="C149">
            <v>51099</v>
          </cell>
          <cell r="D149">
            <v>0</v>
          </cell>
          <cell r="E149">
            <v>0</v>
          </cell>
          <cell r="F149">
            <v>6861805.863227224</v>
          </cell>
          <cell r="G149">
            <v>385665</v>
          </cell>
          <cell r="I149">
            <v>6476100</v>
          </cell>
          <cell r="J149">
            <v>23.5</v>
          </cell>
        </row>
        <row r="150">
          <cell r="C150">
            <v>51230</v>
          </cell>
          <cell r="D150">
            <v>0</v>
          </cell>
          <cell r="E150">
            <v>0</v>
          </cell>
          <cell r="F150">
            <v>6236933.3451092895</v>
          </cell>
          <cell r="G150">
            <v>385665</v>
          </cell>
          <cell r="I150">
            <v>5851300</v>
          </cell>
          <cell r="J150">
            <v>25</v>
          </cell>
        </row>
        <row r="151">
          <cell r="C151">
            <v>51377</v>
          </cell>
          <cell r="D151">
            <v>0</v>
          </cell>
          <cell r="E151">
            <v>0</v>
          </cell>
          <cell r="F151">
            <v>7643789.0023559127</v>
          </cell>
          <cell r="G151">
            <v>385665</v>
          </cell>
          <cell r="I151">
            <v>7258100</v>
          </cell>
          <cell r="J151">
            <v>26</v>
          </cell>
        </row>
        <row r="152">
          <cell r="C152">
            <v>51466</v>
          </cell>
          <cell r="D152">
            <v>0</v>
          </cell>
          <cell r="E152">
            <v>0</v>
          </cell>
          <cell r="F152">
            <v>4733255.7586407186</v>
          </cell>
          <cell r="I152">
            <v>4733300</v>
          </cell>
          <cell r="J152">
            <v>23</v>
          </cell>
        </row>
        <row r="153">
          <cell r="C153">
            <v>51321</v>
          </cell>
          <cell r="D153">
            <v>0</v>
          </cell>
          <cell r="E153">
            <v>0</v>
          </cell>
          <cell r="F153">
            <v>5748116.812194814</v>
          </cell>
          <cell r="I153">
            <v>5748100</v>
          </cell>
          <cell r="J153">
            <v>24</v>
          </cell>
        </row>
        <row r="154">
          <cell r="C154">
            <v>51458</v>
          </cell>
          <cell r="E154">
            <v>0</v>
          </cell>
          <cell r="F154">
            <v>416508.97435897449</v>
          </cell>
          <cell r="G154">
            <v>0</v>
          </cell>
          <cell r="I154">
            <v>416500</v>
          </cell>
          <cell r="J154">
            <v>6</v>
          </cell>
        </row>
        <row r="155">
          <cell r="C155">
            <v>51463</v>
          </cell>
          <cell r="F155">
            <v>5644509.5153599083</v>
          </cell>
          <cell r="G155">
            <v>385665</v>
          </cell>
          <cell r="I155">
            <v>5258800</v>
          </cell>
          <cell r="J155">
            <v>23</v>
          </cell>
        </row>
        <row r="156">
          <cell r="C156">
            <v>51528</v>
          </cell>
          <cell r="D156">
            <v>0</v>
          </cell>
          <cell r="E156">
            <v>0</v>
          </cell>
          <cell r="F156">
            <v>5926275.3307991382</v>
          </cell>
          <cell r="I156">
            <v>5926300</v>
          </cell>
          <cell r="J156">
            <v>24.5</v>
          </cell>
        </row>
        <row r="157">
          <cell r="C157">
            <v>51520</v>
          </cell>
          <cell r="D157">
            <v>0</v>
          </cell>
          <cell r="E157">
            <v>0</v>
          </cell>
          <cell r="F157">
            <v>5696284.8751161918</v>
          </cell>
          <cell r="I157">
            <v>5696300</v>
          </cell>
          <cell r="J157">
            <v>25</v>
          </cell>
        </row>
        <row r="158">
          <cell r="C158">
            <v>82450</v>
          </cell>
          <cell r="F158">
            <v>6995170.9401709381</v>
          </cell>
          <cell r="I158">
            <v>6995170.9401709381</v>
          </cell>
          <cell r="J158">
            <v>26.5</v>
          </cell>
        </row>
        <row r="159">
          <cell r="C159">
            <v>51600</v>
          </cell>
          <cell r="F159">
            <v>3050095.2760067689</v>
          </cell>
          <cell r="G159">
            <v>0</v>
          </cell>
          <cell r="I159">
            <v>3050100</v>
          </cell>
          <cell r="J159">
            <v>10.5</v>
          </cell>
        </row>
        <row r="160">
          <cell r="C160">
            <v>51117</v>
          </cell>
          <cell r="D160">
            <v>0</v>
          </cell>
          <cell r="E160">
            <v>0</v>
          </cell>
          <cell r="F160">
            <v>5919850.9016831815</v>
          </cell>
          <cell r="G160">
            <v>385665</v>
          </cell>
          <cell r="I160">
            <v>5534200</v>
          </cell>
          <cell r="J160">
            <v>25</v>
          </cell>
        </row>
        <row r="161">
          <cell r="C161">
            <v>51404</v>
          </cell>
          <cell r="D161">
            <v>94871.246581368148</v>
          </cell>
          <cell r="E161">
            <v>0</v>
          </cell>
          <cell r="F161">
            <v>5442831.0466878628</v>
          </cell>
          <cell r="G161">
            <v>385665</v>
          </cell>
          <cell r="I161">
            <v>5057200</v>
          </cell>
          <cell r="J161">
            <v>25</v>
          </cell>
        </row>
        <row r="162">
          <cell r="C162">
            <v>50367</v>
          </cell>
          <cell r="D162">
            <v>0</v>
          </cell>
          <cell r="E162">
            <v>0</v>
          </cell>
          <cell r="F162">
            <v>7762791.206515763</v>
          </cell>
          <cell r="G162">
            <v>385665</v>
          </cell>
          <cell r="I162">
            <v>7377100</v>
          </cell>
          <cell r="J162">
            <v>20</v>
          </cell>
        </row>
        <row r="163">
          <cell r="C163">
            <v>50292</v>
          </cell>
          <cell r="D163">
            <v>0</v>
          </cell>
          <cell r="E163">
            <v>0</v>
          </cell>
          <cell r="F163">
            <v>7007245.2218026612</v>
          </cell>
          <cell r="G163">
            <v>385665</v>
          </cell>
          <cell r="I163">
            <v>6621600</v>
          </cell>
          <cell r="J163">
            <v>25</v>
          </cell>
        </row>
        <row r="164">
          <cell r="C164">
            <v>50485</v>
          </cell>
          <cell r="D164">
            <v>0</v>
          </cell>
          <cell r="E164">
            <v>0</v>
          </cell>
          <cell r="F164">
            <v>5533542.2125507221</v>
          </cell>
          <cell r="G164">
            <v>385665</v>
          </cell>
          <cell r="I164">
            <v>5147900</v>
          </cell>
          <cell r="J164">
            <v>23.5</v>
          </cell>
        </row>
        <row r="165">
          <cell r="C165">
            <v>51553</v>
          </cell>
          <cell r="D165">
            <v>6524.4503987909411</v>
          </cell>
          <cell r="E165">
            <v>0</v>
          </cell>
          <cell r="F165">
            <v>4767937.3284473633</v>
          </cell>
          <cell r="I165">
            <v>4767900</v>
          </cell>
          <cell r="J165">
            <v>24</v>
          </cell>
        </row>
        <row r="166">
          <cell r="C166">
            <v>51441</v>
          </cell>
          <cell r="D166">
            <v>0</v>
          </cell>
          <cell r="E166">
            <v>0</v>
          </cell>
          <cell r="F166">
            <v>6154447.1867981385</v>
          </cell>
          <cell r="G166">
            <v>385665</v>
          </cell>
          <cell r="I166">
            <v>5768800</v>
          </cell>
          <cell r="J166">
            <v>25.5</v>
          </cell>
        </row>
        <row r="167">
          <cell r="C167">
            <v>51438</v>
          </cell>
          <cell r="D167">
            <v>82141.343303200323</v>
          </cell>
          <cell r="E167">
            <v>0</v>
          </cell>
          <cell r="F167">
            <v>5912920.0845814142</v>
          </cell>
          <cell r="G167">
            <v>385665</v>
          </cell>
          <cell r="I167">
            <v>5527300</v>
          </cell>
          <cell r="J167">
            <v>25</v>
          </cell>
        </row>
        <row r="168">
          <cell r="C168">
            <v>51396</v>
          </cell>
          <cell r="D168">
            <v>0</v>
          </cell>
          <cell r="E168">
            <v>0</v>
          </cell>
          <cell r="F168">
            <v>5506765.7807307765</v>
          </cell>
          <cell r="G168">
            <v>385665</v>
          </cell>
          <cell r="I168">
            <v>5121100</v>
          </cell>
          <cell r="J168">
            <v>23</v>
          </cell>
        </row>
        <row r="169">
          <cell r="C169">
            <v>51511</v>
          </cell>
          <cell r="D169">
            <v>98582.922946080565</v>
          </cell>
          <cell r="E169">
            <v>0</v>
          </cell>
          <cell r="F169">
            <v>4600287.5097462274</v>
          </cell>
          <cell r="I169">
            <v>4600300</v>
          </cell>
          <cell r="J169">
            <v>24.5</v>
          </cell>
        </row>
        <row r="170">
          <cell r="C170">
            <v>51456</v>
          </cell>
          <cell r="D170">
            <v>0</v>
          </cell>
          <cell r="E170">
            <v>0</v>
          </cell>
          <cell r="F170">
            <v>5537625.0527543724</v>
          </cell>
          <cell r="G170">
            <v>385665</v>
          </cell>
          <cell r="I170">
            <v>5152000</v>
          </cell>
          <cell r="J170">
            <v>24</v>
          </cell>
        </row>
        <row r="171">
          <cell r="C171">
            <v>51457</v>
          </cell>
          <cell r="D171">
            <v>312434.35660923313</v>
          </cell>
          <cell r="E171">
            <v>0</v>
          </cell>
          <cell r="F171">
            <v>4826032.4703138433</v>
          </cell>
          <cell r="I171">
            <v>4826000</v>
          </cell>
          <cell r="J171">
            <v>25</v>
          </cell>
        </row>
        <row r="172">
          <cell r="C172">
            <v>51490</v>
          </cell>
          <cell r="D172">
            <v>15610.845782228396</v>
          </cell>
          <cell r="E172">
            <v>0</v>
          </cell>
          <cell r="F172">
            <v>5168052.1349870032</v>
          </cell>
          <cell r="I172">
            <v>5168100</v>
          </cell>
          <cell r="J172">
            <v>24.5</v>
          </cell>
        </row>
        <row r="173">
          <cell r="C173">
            <v>51492</v>
          </cell>
          <cell r="F173">
            <v>10113672.769230768</v>
          </cell>
          <cell r="G173">
            <v>385665</v>
          </cell>
          <cell r="I173">
            <v>9728000</v>
          </cell>
          <cell r="J173">
            <v>24</v>
          </cell>
        </row>
        <row r="174">
          <cell r="C174">
            <v>51536</v>
          </cell>
          <cell r="D174">
            <v>43592.463387920812</v>
          </cell>
          <cell r="E174">
            <v>0</v>
          </cell>
          <cell r="F174">
            <v>4909785.6616120795</v>
          </cell>
          <cell r="I174">
            <v>4909800</v>
          </cell>
          <cell r="J174">
            <v>24</v>
          </cell>
        </row>
        <row r="175">
          <cell r="C175">
            <v>51526</v>
          </cell>
          <cell r="D175">
            <v>0</v>
          </cell>
          <cell r="E175">
            <v>0</v>
          </cell>
          <cell r="F175">
            <v>6254213.7981098657</v>
          </cell>
          <cell r="I175">
            <v>6254200</v>
          </cell>
          <cell r="J175">
            <v>26</v>
          </cell>
        </row>
        <row r="176">
          <cell r="C176">
            <v>51555</v>
          </cell>
          <cell r="D176">
            <v>0</v>
          </cell>
          <cell r="E176">
            <v>0</v>
          </cell>
          <cell r="F176">
            <v>6071190.0567884445</v>
          </cell>
          <cell r="I176">
            <v>6071200</v>
          </cell>
          <cell r="J176">
            <v>25</v>
          </cell>
        </row>
        <row r="177">
          <cell r="C177">
            <v>50467</v>
          </cell>
          <cell r="F177">
            <v>8992025.865384616</v>
          </cell>
          <cell r="G177">
            <v>385665</v>
          </cell>
          <cell r="I177">
            <v>8606400</v>
          </cell>
          <cell r="J177">
            <v>25</v>
          </cell>
        </row>
        <row r="178">
          <cell r="C178">
            <v>50814</v>
          </cell>
          <cell r="F178">
            <v>6875748.8495361432</v>
          </cell>
          <cell r="G178">
            <v>385665</v>
          </cell>
          <cell r="I178">
            <v>6490100</v>
          </cell>
          <cell r="J178">
            <v>25</v>
          </cell>
        </row>
        <row r="179">
          <cell r="C179">
            <v>50584</v>
          </cell>
          <cell r="F179">
            <v>7631288.18086325</v>
          </cell>
          <cell r="G179">
            <v>385665</v>
          </cell>
          <cell r="I179">
            <v>7245600</v>
          </cell>
          <cell r="J179">
            <v>26</v>
          </cell>
        </row>
        <row r="180">
          <cell r="C180">
            <v>50587</v>
          </cell>
          <cell r="F180">
            <v>11660000</v>
          </cell>
          <cell r="G180">
            <v>385665</v>
          </cell>
          <cell r="I180">
            <v>11274335</v>
          </cell>
          <cell r="J180">
            <v>26.5</v>
          </cell>
        </row>
        <row r="181">
          <cell r="C181">
            <v>50794</v>
          </cell>
          <cell r="D181">
            <v>0</v>
          </cell>
          <cell r="E181">
            <v>0</v>
          </cell>
          <cell r="F181">
            <v>7117572.365384615</v>
          </cell>
          <cell r="G181">
            <v>385665</v>
          </cell>
          <cell r="I181">
            <v>6731900</v>
          </cell>
          <cell r="J181">
            <v>26</v>
          </cell>
        </row>
        <row r="182">
          <cell r="C182">
            <v>51237</v>
          </cell>
          <cell r="D182">
            <v>98859.524175428669</v>
          </cell>
          <cell r="E182">
            <v>0</v>
          </cell>
          <cell r="F182">
            <v>5478925.3508245712</v>
          </cell>
          <cell r="G182">
            <v>385665</v>
          </cell>
          <cell r="I182">
            <v>5093300</v>
          </cell>
          <cell r="J182">
            <v>24</v>
          </cell>
        </row>
        <row r="183">
          <cell r="C183">
            <v>51172</v>
          </cell>
          <cell r="F183">
            <v>6782103.9708893122</v>
          </cell>
          <cell r="G183">
            <v>385665</v>
          </cell>
          <cell r="I183">
            <v>6396400</v>
          </cell>
          <cell r="J183">
            <v>23</v>
          </cell>
        </row>
        <row r="184">
          <cell r="C184">
            <v>51423</v>
          </cell>
          <cell r="D184">
            <v>0</v>
          </cell>
          <cell r="E184">
            <v>0</v>
          </cell>
          <cell r="F184">
            <v>5977458.6736244941</v>
          </cell>
          <cell r="G184">
            <v>385665</v>
          </cell>
          <cell r="I184">
            <v>5591800</v>
          </cell>
          <cell r="J184">
            <v>19</v>
          </cell>
        </row>
        <row r="185">
          <cell r="C185">
            <v>51330</v>
          </cell>
          <cell r="D185">
            <v>20765.309756325441</v>
          </cell>
          <cell r="E185">
            <v>0</v>
          </cell>
          <cell r="F185">
            <v>5857749.0027436735</v>
          </cell>
          <cell r="G185">
            <v>385665</v>
          </cell>
          <cell r="I185">
            <v>5472100</v>
          </cell>
          <cell r="J185">
            <v>25</v>
          </cell>
        </row>
        <row r="186">
          <cell r="C186">
            <v>50366</v>
          </cell>
          <cell r="D186">
            <v>0</v>
          </cell>
          <cell r="E186">
            <v>0</v>
          </cell>
          <cell r="F186">
            <v>6209652.0602337252</v>
          </cell>
          <cell r="G186">
            <v>385665</v>
          </cell>
          <cell r="I186">
            <v>5824000</v>
          </cell>
          <cell r="J186">
            <v>20</v>
          </cell>
        </row>
        <row r="187">
          <cell r="C187">
            <v>50288</v>
          </cell>
          <cell r="F187">
            <v>10295962.495004971</v>
          </cell>
          <cell r="G187">
            <v>385665</v>
          </cell>
          <cell r="I187">
            <v>9910300</v>
          </cell>
          <cell r="J187">
            <v>24.5</v>
          </cell>
        </row>
        <row r="188">
          <cell r="C188">
            <v>50139</v>
          </cell>
          <cell r="D188">
            <v>0</v>
          </cell>
          <cell r="E188">
            <v>0</v>
          </cell>
          <cell r="F188">
            <v>6053338.7466908209</v>
          </cell>
          <cell r="G188">
            <v>385665</v>
          </cell>
          <cell r="I188">
            <v>5667700</v>
          </cell>
          <cell r="J188">
            <v>25</v>
          </cell>
        </row>
        <row r="189">
          <cell r="C189">
            <v>50364</v>
          </cell>
          <cell r="D189">
            <v>0</v>
          </cell>
          <cell r="E189">
            <v>0</v>
          </cell>
          <cell r="F189">
            <v>6823564.641744459</v>
          </cell>
          <cell r="G189">
            <v>385665</v>
          </cell>
          <cell r="I189">
            <v>6437900</v>
          </cell>
          <cell r="J189">
            <v>25</v>
          </cell>
        </row>
        <row r="190">
          <cell r="C190">
            <v>50581</v>
          </cell>
          <cell r="D190">
            <v>0</v>
          </cell>
          <cell r="E190">
            <v>0</v>
          </cell>
          <cell r="F190">
            <v>9624508.0789344907</v>
          </cell>
          <cell r="G190">
            <v>385665</v>
          </cell>
          <cell r="I190">
            <v>9238800</v>
          </cell>
          <cell r="J190">
            <v>25.5</v>
          </cell>
        </row>
        <row r="191">
          <cell r="C191">
            <v>50888</v>
          </cell>
          <cell r="D191">
            <v>0</v>
          </cell>
          <cell r="E191">
            <v>0</v>
          </cell>
          <cell r="F191">
            <v>9642304.6855069306</v>
          </cell>
          <cell r="G191">
            <v>385665</v>
          </cell>
          <cell r="I191">
            <v>9256600</v>
          </cell>
          <cell r="J191">
            <v>22</v>
          </cell>
        </row>
        <row r="192">
          <cell r="C192">
            <v>51414</v>
          </cell>
          <cell r="D192">
            <v>0</v>
          </cell>
          <cell r="E192">
            <v>0</v>
          </cell>
          <cell r="F192">
            <v>5067613.20195489</v>
          </cell>
          <cell r="G192">
            <v>385665</v>
          </cell>
          <cell r="I192">
            <v>4681900</v>
          </cell>
          <cell r="J192">
            <v>23.5</v>
          </cell>
        </row>
        <row r="193">
          <cell r="C193">
            <v>50952</v>
          </cell>
          <cell r="D193">
            <v>0</v>
          </cell>
          <cell r="E193">
            <v>0</v>
          </cell>
          <cell r="F193">
            <v>6503065.117856903</v>
          </cell>
          <cell r="G193">
            <v>385665</v>
          </cell>
          <cell r="I193">
            <v>6117400</v>
          </cell>
          <cell r="J193">
            <v>25.5</v>
          </cell>
        </row>
        <row r="194">
          <cell r="C194">
            <v>51444</v>
          </cell>
          <cell r="D194">
            <v>0</v>
          </cell>
          <cell r="E194">
            <v>0</v>
          </cell>
          <cell r="F194">
            <v>4781690.0232887082</v>
          </cell>
          <cell r="I194">
            <v>4781700</v>
          </cell>
          <cell r="J194">
            <v>23.5</v>
          </cell>
        </row>
        <row r="195">
          <cell r="C195">
            <v>51398</v>
          </cell>
          <cell r="F195">
            <v>8204779.5509017045</v>
          </cell>
          <cell r="G195">
            <v>385665</v>
          </cell>
          <cell r="I195">
            <v>7819100</v>
          </cell>
          <cell r="J195">
            <v>22.5</v>
          </cell>
        </row>
        <row r="196">
          <cell r="C196">
            <v>51422</v>
          </cell>
          <cell r="D196">
            <v>0</v>
          </cell>
          <cell r="E196">
            <v>0</v>
          </cell>
          <cell r="F196">
            <v>5849141.9065425592</v>
          </cell>
          <cell r="G196">
            <v>385665</v>
          </cell>
          <cell r="I196">
            <v>5463500</v>
          </cell>
          <cell r="J196">
            <v>25</v>
          </cell>
        </row>
        <row r="197">
          <cell r="C197">
            <v>51507</v>
          </cell>
          <cell r="D197">
            <v>112537.94274107629</v>
          </cell>
          <cell r="E197">
            <v>0</v>
          </cell>
          <cell r="F197">
            <v>3701051.7207204625</v>
          </cell>
          <cell r="I197">
            <v>3701100</v>
          </cell>
          <cell r="J197">
            <v>23</v>
          </cell>
        </row>
        <row r="198">
          <cell r="C198">
            <v>51473</v>
          </cell>
          <cell r="D198">
            <v>0</v>
          </cell>
          <cell r="E198">
            <v>0</v>
          </cell>
          <cell r="F198">
            <v>7404298.8533451529</v>
          </cell>
          <cell r="G198">
            <v>385665</v>
          </cell>
          <cell r="I198">
            <v>7018600</v>
          </cell>
          <cell r="J198">
            <v>25</v>
          </cell>
        </row>
        <row r="199">
          <cell r="C199">
            <v>51489</v>
          </cell>
          <cell r="D199">
            <v>0</v>
          </cell>
          <cell r="E199">
            <v>0</v>
          </cell>
          <cell r="F199">
            <v>5771430.9900119631</v>
          </cell>
          <cell r="G199">
            <v>385665</v>
          </cell>
          <cell r="I199">
            <v>5385800</v>
          </cell>
          <cell r="J199">
            <v>25</v>
          </cell>
        </row>
        <row r="200">
          <cell r="C200">
            <v>51491</v>
          </cell>
          <cell r="D200">
            <v>312535.72686370922</v>
          </cell>
          <cell r="E200">
            <v>0</v>
          </cell>
          <cell r="F200">
            <v>4717161.7683285987</v>
          </cell>
          <cell r="G200">
            <v>385665</v>
          </cell>
          <cell r="I200">
            <v>4331500</v>
          </cell>
          <cell r="J200">
            <v>24</v>
          </cell>
        </row>
        <row r="201">
          <cell r="C201">
            <v>51531</v>
          </cell>
          <cell r="D201">
            <v>0</v>
          </cell>
          <cell r="E201">
            <v>0</v>
          </cell>
          <cell r="F201">
            <v>5697668.6770376228</v>
          </cell>
          <cell r="I201">
            <v>5697700</v>
          </cell>
          <cell r="J201">
            <v>25.5</v>
          </cell>
        </row>
        <row r="202">
          <cell r="C202">
            <v>51543</v>
          </cell>
          <cell r="D202">
            <v>25557.537293620408</v>
          </cell>
          <cell r="E202">
            <v>0</v>
          </cell>
          <cell r="F202">
            <v>3991279.9627063796</v>
          </cell>
          <cell r="I202">
            <v>3991300</v>
          </cell>
          <cell r="J202">
            <v>23</v>
          </cell>
        </row>
        <row r="203">
          <cell r="C203">
            <v>51548</v>
          </cell>
          <cell r="D203">
            <v>0</v>
          </cell>
          <cell r="E203">
            <v>0</v>
          </cell>
          <cell r="F203">
            <v>5317042.3975436315</v>
          </cell>
          <cell r="I203">
            <v>5317000</v>
          </cell>
          <cell r="J203">
            <v>25</v>
          </cell>
        </row>
        <row r="204">
          <cell r="C204">
            <v>51141</v>
          </cell>
          <cell r="D204">
            <v>0</v>
          </cell>
          <cell r="E204">
            <v>0</v>
          </cell>
          <cell r="F204">
            <v>7011031.7376048174</v>
          </cell>
          <cell r="G204">
            <v>385665</v>
          </cell>
          <cell r="I204">
            <v>6625400</v>
          </cell>
          <cell r="J204">
            <v>25.5</v>
          </cell>
        </row>
        <row r="205">
          <cell r="C205">
            <v>82238</v>
          </cell>
          <cell r="F205">
            <v>7232153.846153846</v>
          </cell>
          <cell r="I205">
            <v>7232153.846153846</v>
          </cell>
          <cell r="J205">
            <v>27</v>
          </cell>
        </row>
        <row r="206">
          <cell r="C206">
            <v>50001</v>
          </cell>
          <cell r="F206">
            <v>11180000</v>
          </cell>
          <cell r="G206">
            <v>431970</v>
          </cell>
          <cell r="I206">
            <v>10748030</v>
          </cell>
          <cell r="J206">
            <v>26</v>
          </cell>
        </row>
        <row r="207">
          <cell r="C207">
            <v>50309</v>
          </cell>
          <cell r="F207">
            <v>7307312.5</v>
          </cell>
          <cell r="G207">
            <v>365000</v>
          </cell>
          <cell r="I207">
            <v>6942300</v>
          </cell>
          <cell r="J207">
            <v>31</v>
          </cell>
        </row>
        <row r="208">
          <cell r="C208">
            <v>50136</v>
          </cell>
          <cell r="D208">
            <v>0</v>
          </cell>
          <cell r="E208">
            <v>0</v>
          </cell>
          <cell r="F208">
            <v>6538226.003645611</v>
          </cell>
          <cell r="G208">
            <v>385665</v>
          </cell>
          <cell r="I208">
            <v>6152600</v>
          </cell>
          <cell r="J208">
            <v>25.5</v>
          </cell>
        </row>
        <row r="209">
          <cell r="C209">
            <v>50703</v>
          </cell>
          <cell r="D209">
            <v>0</v>
          </cell>
          <cell r="E209">
            <v>0</v>
          </cell>
          <cell r="F209">
            <v>6401148.9760260126</v>
          </cell>
          <cell r="G209">
            <v>385665</v>
          </cell>
          <cell r="I209">
            <v>6015500</v>
          </cell>
          <cell r="J209">
            <v>25</v>
          </cell>
        </row>
        <row r="210">
          <cell r="C210">
            <v>50524</v>
          </cell>
          <cell r="F210">
            <v>6302635</v>
          </cell>
          <cell r="G210">
            <v>365190</v>
          </cell>
          <cell r="I210">
            <v>5937400</v>
          </cell>
          <cell r="J210">
            <v>27</v>
          </cell>
        </row>
        <row r="211">
          <cell r="C211">
            <v>50615</v>
          </cell>
          <cell r="D211">
            <v>0</v>
          </cell>
          <cell r="E211">
            <v>0</v>
          </cell>
          <cell r="F211">
            <v>7274866.9978691349</v>
          </cell>
          <cell r="G211">
            <v>385665</v>
          </cell>
          <cell r="I211">
            <v>6889200</v>
          </cell>
          <cell r="J211">
            <v>25</v>
          </cell>
        </row>
        <row r="212">
          <cell r="C212">
            <v>51120</v>
          </cell>
          <cell r="D212">
            <v>0</v>
          </cell>
          <cell r="E212">
            <v>0</v>
          </cell>
          <cell r="F212">
            <v>5719082.4366067471</v>
          </cell>
          <cell r="G212">
            <v>385665</v>
          </cell>
          <cell r="I212">
            <v>5333400</v>
          </cell>
          <cell r="J212">
            <v>24</v>
          </cell>
        </row>
        <row r="213">
          <cell r="C213">
            <v>50254</v>
          </cell>
          <cell r="F213">
            <v>12641269.23076923</v>
          </cell>
          <cell r="G213">
            <v>385665</v>
          </cell>
          <cell r="I213">
            <v>12255604.23076923</v>
          </cell>
          <cell r="J213">
            <v>25</v>
          </cell>
        </row>
        <row r="214">
          <cell r="C214">
            <v>50628</v>
          </cell>
          <cell r="D214">
            <v>0</v>
          </cell>
          <cell r="E214">
            <v>0</v>
          </cell>
          <cell r="F214">
            <v>6996367.7168372804</v>
          </cell>
          <cell r="G214">
            <v>385665</v>
          </cell>
          <cell r="H214"/>
          <cell r="I214">
            <v>6610700</v>
          </cell>
          <cell r="J214">
            <v>22.5</v>
          </cell>
        </row>
        <row r="215">
          <cell r="C215">
            <v>51544</v>
          </cell>
          <cell r="F215">
            <v>5939203.928231773</v>
          </cell>
          <cell r="I215">
            <v>5939200</v>
          </cell>
          <cell r="J215">
            <v>25</v>
          </cell>
        </row>
        <row r="216">
          <cell r="C216">
            <v>51432</v>
          </cell>
          <cell r="D216">
            <v>0</v>
          </cell>
          <cell r="E216">
            <v>0</v>
          </cell>
          <cell r="F216">
            <v>5466932.9195701284</v>
          </cell>
          <cell r="G216"/>
          <cell r="H216"/>
          <cell r="I216">
            <v>5466900</v>
          </cell>
          <cell r="J216">
            <v>23</v>
          </cell>
        </row>
        <row r="217">
          <cell r="C217">
            <v>51426</v>
          </cell>
          <cell r="D217">
            <v>0</v>
          </cell>
          <cell r="E217">
            <v>0</v>
          </cell>
          <cell r="F217">
            <v>5858611.3651971044</v>
          </cell>
          <cell r="G217">
            <v>385665</v>
          </cell>
          <cell r="I217">
            <v>5472900</v>
          </cell>
          <cell r="J217">
            <v>26</v>
          </cell>
        </row>
        <row r="218">
          <cell r="C218">
            <v>51421</v>
          </cell>
          <cell r="D218">
            <v>0</v>
          </cell>
          <cell r="E218">
            <v>0</v>
          </cell>
          <cell r="F218">
            <v>6626949.5288461549</v>
          </cell>
          <cell r="G218">
            <v>385665</v>
          </cell>
          <cell r="H218"/>
          <cell r="I218">
            <v>6241300</v>
          </cell>
          <cell r="J218">
            <v>26</v>
          </cell>
        </row>
        <row r="219">
          <cell r="C219">
            <v>50928</v>
          </cell>
          <cell r="F219">
            <v>7288497.8950611232</v>
          </cell>
          <cell r="G219">
            <v>385665</v>
          </cell>
          <cell r="H219"/>
          <cell r="I219">
            <v>6902800</v>
          </cell>
          <cell r="J219">
            <v>24</v>
          </cell>
        </row>
        <row r="220">
          <cell r="C220">
            <v>51522</v>
          </cell>
          <cell r="D220">
            <v>0</v>
          </cell>
          <cell r="E220">
            <v>0</v>
          </cell>
          <cell r="F220">
            <v>7194910.9692916451</v>
          </cell>
          <cell r="G220">
            <v>385665</v>
          </cell>
          <cell r="H220"/>
          <cell r="I220">
            <v>6809200</v>
          </cell>
          <cell r="J220">
            <v>25</v>
          </cell>
        </row>
        <row r="221">
          <cell r="C221">
            <v>51547</v>
          </cell>
          <cell r="D221">
            <v>74539.530512069934</v>
          </cell>
          <cell r="E221">
            <v>0</v>
          </cell>
          <cell r="F221">
            <v>5355293.4021802386</v>
          </cell>
          <cell r="I221">
            <v>5355300</v>
          </cell>
          <cell r="J221">
            <v>25</v>
          </cell>
        </row>
        <row r="222">
          <cell r="C222">
            <v>51479</v>
          </cell>
          <cell r="D222"/>
          <cell r="E222"/>
          <cell r="F222">
            <v>5640966.5</v>
          </cell>
          <cell r="G222">
            <v>365190</v>
          </cell>
          <cell r="H222"/>
          <cell r="I222">
            <v>5275800</v>
          </cell>
          <cell r="J222">
            <v>25</v>
          </cell>
        </row>
        <row r="223">
          <cell r="C223">
            <v>51227</v>
          </cell>
          <cell r="D223">
            <v>0</v>
          </cell>
          <cell r="E223">
            <v>0</v>
          </cell>
          <cell r="F223">
            <v>6273640.2615802204</v>
          </cell>
          <cell r="G223">
            <v>385665</v>
          </cell>
          <cell r="I223">
            <v>5888000</v>
          </cell>
          <cell r="J223">
            <v>25</v>
          </cell>
        </row>
        <row r="224">
          <cell r="C224">
            <v>51304</v>
          </cell>
          <cell r="D224">
            <v>9038.1752186852973</v>
          </cell>
          <cell r="E224">
            <v>0</v>
          </cell>
          <cell r="F224">
            <v>5885368.9257428516</v>
          </cell>
          <cell r="G224">
            <v>385665</v>
          </cell>
          <cell r="H224"/>
          <cell r="I224">
            <v>5499700</v>
          </cell>
          <cell r="J224">
            <v>25</v>
          </cell>
        </row>
        <row r="225">
          <cell r="C225">
            <v>50205</v>
          </cell>
          <cell r="F225">
            <v>7340125</v>
          </cell>
          <cell r="I225">
            <v>7340100</v>
          </cell>
          <cell r="J225">
            <v>31</v>
          </cell>
        </row>
        <row r="226">
          <cell r="C226">
            <v>50137</v>
          </cell>
          <cell r="D226">
            <v>0</v>
          </cell>
          <cell r="E226">
            <v>0</v>
          </cell>
          <cell r="F226">
            <v>6761313.2071226705</v>
          </cell>
          <cell r="G226">
            <v>385665</v>
          </cell>
          <cell r="H226"/>
          <cell r="I226">
            <v>6375600</v>
          </cell>
          <cell r="J226">
            <v>24</v>
          </cell>
        </row>
        <row r="227">
          <cell r="C227">
            <v>50284</v>
          </cell>
          <cell r="D227">
            <v>46010.366400977131</v>
          </cell>
          <cell r="E227">
            <v>0</v>
          </cell>
          <cell r="F227">
            <v>5885038.4412913304</v>
          </cell>
          <cell r="G227">
            <v>385665</v>
          </cell>
          <cell r="I227">
            <v>5499400</v>
          </cell>
          <cell r="J227">
            <v>25</v>
          </cell>
        </row>
        <row r="228">
          <cell r="C228">
            <v>50393</v>
          </cell>
          <cell r="D228"/>
          <cell r="E228"/>
          <cell r="F228">
            <v>8374294.8498024456</v>
          </cell>
          <cell r="G228">
            <v>385665</v>
          </cell>
          <cell r="H228"/>
          <cell r="I228">
            <v>7988600</v>
          </cell>
          <cell r="J228">
            <v>25.5</v>
          </cell>
        </row>
        <row r="229">
          <cell r="C229">
            <v>51558</v>
          </cell>
          <cell r="D229">
            <v>0</v>
          </cell>
          <cell r="E229">
            <v>0</v>
          </cell>
          <cell r="F229">
            <v>5718041.0315374192</v>
          </cell>
          <cell r="I229">
            <v>5718000</v>
          </cell>
          <cell r="J229">
            <v>24</v>
          </cell>
        </row>
        <row r="230">
          <cell r="C230">
            <v>51510</v>
          </cell>
          <cell r="D230">
            <v>0</v>
          </cell>
          <cell r="E230">
            <v>0</v>
          </cell>
          <cell r="F230">
            <v>7446312.4885981316</v>
          </cell>
          <cell r="G230">
            <v>385665</v>
          </cell>
          <cell r="H230"/>
          <cell r="I230">
            <v>7060600</v>
          </cell>
          <cell r="J230">
            <v>26</v>
          </cell>
        </row>
        <row r="231">
          <cell r="C231">
            <v>51591</v>
          </cell>
          <cell r="F231">
            <v>3519316.0890927836</v>
          </cell>
          <cell r="G231">
            <v>0</v>
          </cell>
          <cell r="I231">
            <v>3519300</v>
          </cell>
          <cell r="J231">
            <v>14</v>
          </cell>
        </row>
        <row r="232">
          <cell r="C232">
            <v>51493</v>
          </cell>
          <cell r="D232">
            <v>0</v>
          </cell>
          <cell r="E232">
            <v>0</v>
          </cell>
          <cell r="F232">
            <v>6999049.4157428518</v>
          </cell>
          <cell r="G232">
            <v>385665</v>
          </cell>
          <cell r="I232">
            <v>6613400</v>
          </cell>
          <cell r="J232">
            <v>25</v>
          </cell>
        </row>
        <row r="233">
          <cell r="C233">
            <v>51452</v>
          </cell>
          <cell r="D233"/>
          <cell r="E233"/>
          <cell r="F233">
            <v>7721560.3910849504</v>
          </cell>
          <cell r="G233">
            <v>385665</v>
          </cell>
          <cell r="H233"/>
          <cell r="I233">
            <v>7335900</v>
          </cell>
          <cell r="J233">
            <v>25</v>
          </cell>
        </row>
        <row r="234">
          <cell r="C234">
            <v>51389</v>
          </cell>
          <cell r="D234">
            <v>501531.69525917736</v>
          </cell>
          <cell r="E234">
            <v>0</v>
          </cell>
          <cell r="F234">
            <v>1896868.3047408229</v>
          </cell>
          <cell r="I234">
            <v>1896900</v>
          </cell>
          <cell r="J234">
            <v>16</v>
          </cell>
        </row>
        <row r="235">
          <cell r="C235">
            <v>51419</v>
          </cell>
          <cell r="D235"/>
          <cell r="E235"/>
          <cell r="F235">
            <v>6622155.7591247456</v>
          </cell>
          <cell r="G235">
            <v>385665</v>
          </cell>
          <cell r="H235"/>
          <cell r="I235">
            <v>6236500</v>
          </cell>
          <cell r="J235">
            <v>26</v>
          </cell>
        </row>
        <row r="236">
          <cell r="C236">
            <v>51393</v>
          </cell>
          <cell r="F236">
            <v>7465335.1955589112</v>
          </cell>
          <cell r="G236">
            <v>385665</v>
          </cell>
          <cell r="I236">
            <v>7079700</v>
          </cell>
          <cell r="J236">
            <v>26</v>
          </cell>
        </row>
        <row r="237">
          <cell r="C237">
            <v>51420</v>
          </cell>
          <cell r="D237"/>
          <cell r="E237"/>
          <cell r="F237">
            <v>6271192.307692308</v>
          </cell>
          <cell r="G237">
            <v>385665</v>
          </cell>
          <cell r="H237"/>
          <cell r="I237">
            <v>5885500</v>
          </cell>
          <cell r="J237">
            <v>25</v>
          </cell>
        </row>
        <row r="238">
          <cell r="C238">
            <v>51484</v>
          </cell>
          <cell r="F238">
            <v>6809020.7716923878</v>
          </cell>
          <cell r="G238">
            <v>385665</v>
          </cell>
          <cell r="I238">
            <v>6423400</v>
          </cell>
          <cell r="J238">
            <v>25</v>
          </cell>
        </row>
        <row r="239">
          <cell r="C239">
            <v>51503</v>
          </cell>
          <cell r="D239"/>
          <cell r="E239"/>
          <cell r="F239">
            <v>2960900.5402752981</v>
          </cell>
          <cell r="G239">
            <v>0</v>
          </cell>
          <cell r="H239"/>
          <cell r="I239">
            <v>2960900</v>
          </cell>
          <cell r="J239">
            <v>12</v>
          </cell>
        </row>
        <row r="240">
          <cell r="C240">
            <v>51552</v>
          </cell>
          <cell r="D240">
            <v>47581.812022168655</v>
          </cell>
          <cell r="E240">
            <v>0</v>
          </cell>
          <cell r="F240">
            <v>4033546.3129778323</v>
          </cell>
          <cell r="I240">
            <v>4033500</v>
          </cell>
          <cell r="J240">
            <v>23</v>
          </cell>
        </row>
        <row r="241">
          <cell r="C241">
            <v>51542</v>
          </cell>
          <cell r="D241">
            <v>367233.79662795179</v>
          </cell>
          <cell r="E241">
            <v>0</v>
          </cell>
          <cell r="F241">
            <v>2952564.5206797407</v>
          </cell>
          <cell r="G241"/>
          <cell r="H241"/>
          <cell r="I241">
            <v>2952600</v>
          </cell>
          <cell r="J241">
            <v>18.5</v>
          </cell>
        </row>
        <row r="242">
          <cell r="C242">
            <v>80665</v>
          </cell>
          <cell r="F242">
            <v>6071067.3523076922</v>
          </cell>
          <cell r="I242">
            <v>6071067.3523076922</v>
          </cell>
          <cell r="J242">
            <v>25.5</v>
          </cell>
        </row>
        <row r="243">
          <cell r="C243">
            <v>50191</v>
          </cell>
          <cell r="D243">
            <v>0</v>
          </cell>
          <cell r="E243">
            <v>0</v>
          </cell>
          <cell r="F243">
            <v>8014198.7236343408</v>
          </cell>
          <cell r="G243">
            <v>385665</v>
          </cell>
          <cell r="I243">
            <v>7628500</v>
          </cell>
          <cell r="J243">
            <v>26</v>
          </cell>
        </row>
        <row r="244">
          <cell r="C244">
            <v>50168</v>
          </cell>
          <cell r="D244">
            <v>0</v>
          </cell>
          <cell r="E244">
            <v>0</v>
          </cell>
          <cell r="F244">
            <v>6362420.8329761326</v>
          </cell>
          <cell r="G244">
            <v>385665</v>
          </cell>
          <cell r="I244">
            <v>5976800</v>
          </cell>
          <cell r="J244">
            <v>23</v>
          </cell>
        </row>
        <row r="245">
          <cell r="C245">
            <v>50329</v>
          </cell>
          <cell r="D245">
            <v>0</v>
          </cell>
          <cell r="E245">
            <v>0</v>
          </cell>
          <cell r="F245">
            <v>8785856.8584895432</v>
          </cell>
          <cell r="G245">
            <v>385665</v>
          </cell>
          <cell r="H245"/>
          <cell r="I245">
            <v>8400200</v>
          </cell>
          <cell r="J245">
            <v>25.5</v>
          </cell>
        </row>
        <row r="246">
          <cell r="C246">
            <v>50343</v>
          </cell>
          <cell r="D246">
            <v>0</v>
          </cell>
          <cell r="E246">
            <v>0</v>
          </cell>
          <cell r="F246">
            <v>5745733.8024646491</v>
          </cell>
          <cell r="G246">
            <v>385665</v>
          </cell>
          <cell r="I246">
            <v>5360100</v>
          </cell>
          <cell r="J246">
            <v>24</v>
          </cell>
        </row>
        <row r="247">
          <cell r="C247">
            <v>51546</v>
          </cell>
          <cell r="D247">
            <v>0</v>
          </cell>
          <cell r="E247">
            <v>0</v>
          </cell>
          <cell r="F247">
            <v>5164645.6977750584</v>
          </cell>
          <cell r="I247">
            <v>5164600</v>
          </cell>
          <cell r="J247">
            <v>25</v>
          </cell>
        </row>
        <row r="248">
          <cell r="C248">
            <v>51551</v>
          </cell>
          <cell r="D248">
            <v>0</v>
          </cell>
          <cell r="E248">
            <v>0</v>
          </cell>
          <cell r="F248">
            <v>4647567.5620729197</v>
          </cell>
          <cell r="G248"/>
          <cell r="H248"/>
          <cell r="I248">
            <v>4647600</v>
          </cell>
          <cell r="J248">
            <v>24</v>
          </cell>
        </row>
        <row r="249">
          <cell r="C249">
            <v>51066</v>
          </cell>
          <cell r="D249">
            <v>0</v>
          </cell>
          <cell r="E249">
            <v>0</v>
          </cell>
          <cell r="F249">
            <v>7040001.1030022381</v>
          </cell>
          <cell r="G249">
            <v>385665</v>
          </cell>
          <cell r="H249"/>
          <cell r="I249">
            <v>6654300</v>
          </cell>
          <cell r="J249">
            <v>24.5</v>
          </cell>
        </row>
        <row r="250">
          <cell r="C250">
            <v>51417</v>
          </cell>
          <cell r="D250"/>
          <cell r="E250"/>
          <cell r="F250">
            <v>6405192.307692308</v>
          </cell>
          <cell r="G250">
            <v>385665</v>
          </cell>
          <cell r="H250"/>
          <cell r="I250">
            <v>6019500</v>
          </cell>
          <cell r="J250">
            <v>25</v>
          </cell>
        </row>
        <row r="251">
          <cell r="C251">
            <v>51410</v>
          </cell>
          <cell r="D251">
            <v>221587.0990657761</v>
          </cell>
          <cell r="E251">
            <v>0</v>
          </cell>
          <cell r="F251">
            <v>3616468.9105496085</v>
          </cell>
          <cell r="G251"/>
          <cell r="H251"/>
          <cell r="I251">
            <v>3616500</v>
          </cell>
          <cell r="J251">
            <v>21.5</v>
          </cell>
        </row>
        <row r="252">
          <cell r="C252">
            <v>51589</v>
          </cell>
          <cell r="D252">
            <v>159177.49044327758</v>
          </cell>
          <cell r="E252">
            <v>0</v>
          </cell>
          <cell r="F252">
            <v>2786863.3749413374</v>
          </cell>
          <cell r="G252"/>
          <cell r="H252"/>
          <cell r="I252">
            <v>2786900</v>
          </cell>
          <cell r="J252">
            <v>15.5</v>
          </cell>
        </row>
        <row r="253">
          <cell r="C253">
            <v>51506</v>
          </cell>
          <cell r="D253"/>
          <cell r="E253">
            <v>0</v>
          </cell>
          <cell r="F253">
            <v>1984273.7384615387</v>
          </cell>
          <cell r="G253"/>
          <cell r="H253"/>
          <cell r="I253">
            <v>1984300</v>
          </cell>
          <cell r="J253">
            <v>17</v>
          </cell>
        </row>
        <row r="254">
          <cell r="C254">
            <v>51400</v>
          </cell>
          <cell r="D254">
            <v>0</v>
          </cell>
          <cell r="E254">
            <v>0</v>
          </cell>
          <cell r="F254">
            <v>5381435.3846153859</v>
          </cell>
          <cell r="G254"/>
          <cell r="H254"/>
          <cell r="I254">
            <v>5381400</v>
          </cell>
          <cell r="J254">
            <v>24</v>
          </cell>
        </row>
        <row r="255">
          <cell r="C255">
            <v>51464</v>
          </cell>
          <cell r="D255"/>
          <cell r="E255"/>
          <cell r="F255">
            <v>8263619.0315385442</v>
          </cell>
          <cell r="G255"/>
          <cell r="H255"/>
          <cell r="I255">
            <v>8263600</v>
          </cell>
          <cell r="J255">
            <v>25</v>
          </cell>
        </row>
        <row r="256">
          <cell r="C256">
            <v>51590</v>
          </cell>
          <cell r="D256">
            <v>0</v>
          </cell>
          <cell r="E256">
            <v>0</v>
          </cell>
          <cell r="F256">
            <v>2708729.5448292024</v>
          </cell>
          <cell r="I256">
            <v>2708700</v>
          </cell>
          <cell r="J256">
            <v>14.5</v>
          </cell>
        </row>
        <row r="257">
          <cell r="C257">
            <v>51557</v>
          </cell>
          <cell r="D257">
            <v>0</v>
          </cell>
          <cell r="E257">
            <v>0</v>
          </cell>
          <cell r="F257">
            <v>4942995.5624637427</v>
          </cell>
          <cell r="I257">
            <v>4943000</v>
          </cell>
          <cell r="J257">
            <v>22.5</v>
          </cell>
        </row>
        <row r="258">
          <cell r="C258">
            <v>51538</v>
          </cell>
          <cell r="D258">
            <v>0</v>
          </cell>
          <cell r="E258">
            <v>0</v>
          </cell>
          <cell r="F258">
            <v>5580771.5836922126</v>
          </cell>
          <cell r="I258">
            <v>5580800</v>
          </cell>
          <cell r="J258">
            <v>25</v>
          </cell>
        </row>
        <row r="259">
          <cell r="C259">
            <v>50220</v>
          </cell>
          <cell r="F259">
            <v>8000737.9487647871</v>
          </cell>
          <cell r="G259">
            <v>385665</v>
          </cell>
          <cell r="I259">
            <v>7615100</v>
          </cell>
          <cell r="J259">
            <v>24</v>
          </cell>
        </row>
        <row r="260">
          <cell r="C260">
            <v>50511</v>
          </cell>
          <cell r="F260">
            <v>7877199.885809714</v>
          </cell>
          <cell r="G260">
            <v>385665</v>
          </cell>
          <cell r="I260">
            <v>7491500</v>
          </cell>
          <cell r="J260">
            <v>25</v>
          </cell>
        </row>
        <row r="261">
          <cell r="C261">
            <v>50185</v>
          </cell>
          <cell r="D261">
            <v>0</v>
          </cell>
          <cell r="E261">
            <v>0</v>
          </cell>
          <cell r="F261">
            <v>7547580.1974288067</v>
          </cell>
          <cell r="G261">
            <v>385665</v>
          </cell>
          <cell r="I261">
            <v>7161900</v>
          </cell>
          <cell r="J261">
            <v>26</v>
          </cell>
        </row>
        <row r="262">
          <cell r="C262">
            <v>50089</v>
          </cell>
          <cell r="D262">
            <v>116570.76301568095</v>
          </cell>
          <cell r="E262">
            <v>0</v>
          </cell>
          <cell r="F262">
            <v>5734487.073522781</v>
          </cell>
          <cell r="G262">
            <v>385665</v>
          </cell>
          <cell r="I262">
            <v>5348800</v>
          </cell>
          <cell r="J262">
            <v>25.5</v>
          </cell>
        </row>
        <row r="263">
          <cell r="C263">
            <v>50247</v>
          </cell>
          <cell r="D263">
            <v>0</v>
          </cell>
          <cell r="E263">
            <v>0</v>
          </cell>
          <cell r="F263">
            <v>6431687.8492884757</v>
          </cell>
          <cell r="G263">
            <v>385665</v>
          </cell>
          <cell r="I263">
            <v>6046000</v>
          </cell>
          <cell r="J263">
            <v>24.5</v>
          </cell>
        </row>
        <row r="264">
          <cell r="C264">
            <v>50238</v>
          </cell>
          <cell r="D264">
            <v>0</v>
          </cell>
          <cell r="E264">
            <v>0</v>
          </cell>
          <cell r="F264">
            <v>9841934.5850213971</v>
          </cell>
          <cell r="G264">
            <v>385665</v>
          </cell>
          <cell r="I264">
            <v>9456300</v>
          </cell>
          <cell r="J264">
            <v>25.5</v>
          </cell>
        </row>
        <row r="265">
          <cell r="C265">
            <v>50226</v>
          </cell>
          <cell r="D265">
            <v>0</v>
          </cell>
          <cell r="E265">
            <v>0</v>
          </cell>
          <cell r="F265">
            <v>7845434.6647207327</v>
          </cell>
          <cell r="G265">
            <v>385665</v>
          </cell>
          <cell r="I265">
            <v>7459800</v>
          </cell>
          <cell r="J265">
            <v>25</v>
          </cell>
        </row>
        <row r="266">
          <cell r="C266">
            <v>50258</v>
          </cell>
          <cell r="D266">
            <v>0</v>
          </cell>
          <cell r="E266">
            <v>0</v>
          </cell>
          <cell r="F266">
            <v>6439571.644661299</v>
          </cell>
          <cell r="G266">
            <v>385665</v>
          </cell>
          <cell r="I266">
            <v>6053900</v>
          </cell>
          <cell r="J266">
            <v>25</v>
          </cell>
        </row>
        <row r="267">
          <cell r="C267">
            <v>50375</v>
          </cell>
          <cell r="F267">
            <v>7265125</v>
          </cell>
          <cell r="G267">
            <v>365000</v>
          </cell>
          <cell r="I267">
            <v>6900100</v>
          </cell>
          <cell r="J267">
            <v>31</v>
          </cell>
        </row>
        <row r="268">
          <cell r="C268">
            <v>50787</v>
          </cell>
          <cell r="D268">
            <v>0</v>
          </cell>
          <cell r="E268">
            <v>0</v>
          </cell>
          <cell r="F268">
            <v>8473443.9527502544</v>
          </cell>
          <cell r="G268">
            <v>385665</v>
          </cell>
          <cell r="I268">
            <v>8087800</v>
          </cell>
          <cell r="J268">
            <v>25</v>
          </cell>
        </row>
        <row r="269">
          <cell r="C269">
            <v>51232</v>
          </cell>
          <cell r="F269">
            <v>7650276.2227113694</v>
          </cell>
          <cell r="I269">
            <v>7650300</v>
          </cell>
          <cell r="J269">
            <v>26</v>
          </cell>
        </row>
        <row r="270">
          <cell r="C270">
            <v>51447</v>
          </cell>
          <cell r="D270">
            <v>0</v>
          </cell>
          <cell r="E270">
            <v>0</v>
          </cell>
          <cell r="F270">
            <v>6797201.8125000009</v>
          </cell>
          <cell r="G270">
            <v>385665</v>
          </cell>
          <cell r="I270">
            <v>6411500</v>
          </cell>
          <cell r="J270">
            <v>26</v>
          </cell>
        </row>
        <row r="271">
          <cell r="C271">
            <v>51416</v>
          </cell>
          <cell r="F271">
            <v>6629271.7399474652</v>
          </cell>
          <cell r="G271">
            <v>385665</v>
          </cell>
          <cell r="I271">
            <v>6243600</v>
          </cell>
          <cell r="J271">
            <v>26</v>
          </cell>
        </row>
        <row r="272">
          <cell r="C272">
            <v>51391</v>
          </cell>
          <cell r="E272">
            <v>0</v>
          </cell>
          <cell r="F272">
            <v>1056666.2421195344</v>
          </cell>
          <cell r="G272">
            <v>0</v>
          </cell>
          <cell r="I272">
            <v>1056700</v>
          </cell>
          <cell r="J272">
            <v>7</v>
          </cell>
        </row>
        <row r="273">
          <cell r="C273">
            <v>51433</v>
          </cell>
          <cell r="D273">
            <v>0</v>
          </cell>
          <cell r="E273">
            <v>0</v>
          </cell>
          <cell r="F273">
            <v>5600275.8244063985</v>
          </cell>
          <cell r="I273">
            <v>5600300</v>
          </cell>
          <cell r="J273">
            <v>23.5</v>
          </cell>
        </row>
        <row r="274">
          <cell r="C274">
            <v>51483</v>
          </cell>
          <cell r="D274">
            <v>0</v>
          </cell>
          <cell r="E274">
            <v>0</v>
          </cell>
          <cell r="F274">
            <v>5565724.4985015672</v>
          </cell>
          <cell r="I274">
            <v>5565700</v>
          </cell>
          <cell r="J274">
            <v>25.5</v>
          </cell>
        </row>
        <row r="275">
          <cell r="C275">
            <v>51554</v>
          </cell>
          <cell r="D275">
            <v>161779.12331521767</v>
          </cell>
          <cell r="E275">
            <v>0</v>
          </cell>
          <cell r="F275">
            <v>4934046.3574540131</v>
          </cell>
          <cell r="I275">
            <v>4934000</v>
          </cell>
          <cell r="J275">
            <v>25</v>
          </cell>
        </row>
        <row r="276">
          <cell r="C276">
            <v>51535</v>
          </cell>
          <cell r="D276">
            <v>561178.87619491073</v>
          </cell>
          <cell r="E276">
            <v>0</v>
          </cell>
          <cell r="F276">
            <v>2578932.4218820124</v>
          </cell>
          <cell r="I276">
            <v>2578900</v>
          </cell>
          <cell r="J276">
            <v>16.5</v>
          </cell>
        </row>
        <row r="277">
          <cell r="C277">
            <v>51508</v>
          </cell>
          <cell r="D277">
            <v>0</v>
          </cell>
          <cell r="E277">
            <v>0</v>
          </cell>
          <cell r="F277">
            <v>5768345.817484078</v>
          </cell>
          <cell r="G277">
            <v>385665</v>
          </cell>
          <cell r="I277">
            <v>5382700</v>
          </cell>
          <cell r="J277">
            <v>25</v>
          </cell>
        </row>
        <row r="278">
          <cell r="C278">
            <v>51525</v>
          </cell>
          <cell r="D278">
            <v>0</v>
          </cell>
          <cell r="E278">
            <v>0</v>
          </cell>
          <cell r="F278">
            <v>5379509.7662147321</v>
          </cell>
          <cell r="I278">
            <v>5379500</v>
          </cell>
          <cell r="J278">
            <v>25</v>
          </cell>
        </row>
        <row r="279">
          <cell r="C279">
            <v>50272</v>
          </cell>
          <cell r="D279">
            <v>0</v>
          </cell>
          <cell r="E279">
            <v>0</v>
          </cell>
          <cell r="F279">
            <v>7490924.7200873569</v>
          </cell>
          <cell r="G279">
            <v>385665</v>
          </cell>
          <cell r="I279">
            <v>7105300</v>
          </cell>
          <cell r="J279">
            <v>26</v>
          </cell>
        </row>
        <row r="280">
          <cell r="C280">
            <v>50268</v>
          </cell>
          <cell r="D280">
            <v>0</v>
          </cell>
          <cell r="E280">
            <v>360000</v>
          </cell>
          <cell r="F280">
            <v>7126521.3648592224</v>
          </cell>
          <cell r="G280">
            <v>385665</v>
          </cell>
          <cell r="I280">
            <v>6740900</v>
          </cell>
          <cell r="J280">
            <v>24.5</v>
          </cell>
        </row>
        <row r="281">
          <cell r="C281">
            <v>50290</v>
          </cell>
          <cell r="D281">
            <v>0</v>
          </cell>
          <cell r="E281">
            <v>0</v>
          </cell>
          <cell r="F281">
            <v>6367928.1026456244</v>
          </cell>
          <cell r="G281">
            <v>385665</v>
          </cell>
          <cell r="I281">
            <v>5982300</v>
          </cell>
          <cell r="J281">
            <v>24.5</v>
          </cell>
        </row>
        <row r="282">
          <cell r="C282">
            <v>50124</v>
          </cell>
          <cell r="F282">
            <v>8026818.765078214</v>
          </cell>
          <cell r="G282">
            <v>385665</v>
          </cell>
          <cell r="I282">
            <v>7641200</v>
          </cell>
          <cell r="J282">
            <v>26</v>
          </cell>
        </row>
        <row r="283">
          <cell r="C283">
            <v>51305</v>
          </cell>
          <cell r="D283">
            <v>6442.4674296019366</v>
          </cell>
          <cell r="E283">
            <v>0</v>
          </cell>
          <cell r="F283">
            <v>6021278.2296857825</v>
          </cell>
          <cell r="G283">
            <v>385665</v>
          </cell>
          <cell r="I283">
            <v>5635600</v>
          </cell>
          <cell r="J283">
            <v>25.5</v>
          </cell>
        </row>
        <row r="284">
          <cell r="C284">
            <v>51408</v>
          </cell>
          <cell r="E284">
            <v>0</v>
          </cell>
          <cell r="F284">
            <v>1559854.4776571947</v>
          </cell>
          <cell r="G284">
            <v>0</v>
          </cell>
          <cell r="I284">
            <v>1559900</v>
          </cell>
          <cell r="J284">
            <v>12</v>
          </cell>
        </row>
        <row r="285">
          <cell r="C285">
            <v>51402</v>
          </cell>
          <cell r="D285">
            <v>18994.134885880398</v>
          </cell>
          <cell r="E285">
            <v>0</v>
          </cell>
          <cell r="F285">
            <v>5748702.8843448879</v>
          </cell>
          <cell r="G285">
            <v>385665</v>
          </cell>
          <cell r="I285">
            <v>5363000</v>
          </cell>
          <cell r="J285">
            <v>25.5</v>
          </cell>
        </row>
        <row r="286">
          <cell r="C286">
            <v>51495</v>
          </cell>
          <cell r="F286">
            <v>5703373.166666666</v>
          </cell>
          <cell r="G286">
            <v>365190</v>
          </cell>
          <cell r="I286">
            <v>5338200</v>
          </cell>
          <cell r="J286">
            <v>25</v>
          </cell>
        </row>
        <row r="287">
          <cell r="C287">
            <v>51429</v>
          </cell>
          <cell r="D287">
            <v>0</v>
          </cell>
          <cell r="E287">
            <v>0</v>
          </cell>
          <cell r="F287">
            <v>5844582.6417177338</v>
          </cell>
          <cell r="I287">
            <v>5844600</v>
          </cell>
          <cell r="J287">
            <v>24</v>
          </cell>
        </row>
        <row r="288">
          <cell r="C288">
            <v>51481</v>
          </cell>
          <cell r="E288">
            <v>0</v>
          </cell>
          <cell r="F288">
            <v>83605.769230769234</v>
          </cell>
          <cell r="I288">
            <v>83600</v>
          </cell>
          <cell r="J288">
            <v>15</v>
          </cell>
        </row>
        <row r="289">
          <cell r="C289">
            <v>51505</v>
          </cell>
          <cell r="D289">
            <v>189657.79570778791</v>
          </cell>
          <cell r="E289">
            <v>0</v>
          </cell>
          <cell r="F289">
            <v>3322295.8100614431</v>
          </cell>
          <cell r="I289">
            <v>3322300</v>
          </cell>
          <cell r="J289">
            <v>22.5</v>
          </cell>
        </row>
        <row r="290">
          <cell r="C290">
            <v>51541</v>
          </cell>
          <cell r="D290">
            <v>413711.59135518421</v>
          </cell>
          <cell r="E290">
            <v>0</v>
          </cell>
          <cell r="F290">
            <v>2756899.4663371239</v>
          </cell>
          <cell r="I290">
            <v>2756900</v>
          </cell>
          <cell r="J290">
            <v>17</v>
          </cell>
        </row>
        <row r="291">
          <cell r="C291">
            <v>51550</v>
          </cell>
          <cell r="D291">
            <v>0</v>
          </cell>
          <cell r="E291">
            <v>0</v>
          </cell>
          <cell r="F291">
            <v>5271083.9843269745</v>
          </cell>
          <cell r="I291">
            <v>5271100</v>
          </cell>
          <cell r="J291">
            <v>25</v>
          </cell>
        </row>
        <row r="292">
          <cell r="C292">
            <v>51532</v>
          </cell>
          <cell r="D292">
            <v>88394.528224178473</v>
          </cell>
          <cell r="E292">
            <v>0</v>
          </cell>
          <cell r="F292">
            <v>5290856.9140835144</v>
          </cell>
          <cell r="I292">
            <v>5290900</v>
          </cell>
          <cell r="J292">
            <v>25</v>
          </cell>
        </row>
        <row r="293">
          <cell r="C293">
            <v>10133</v>
          </cell>
          <cell r="D293">
            <v>315854.48684609972</v>
          </cell>
          <cell r="E293">
            <v>0</v>
          </cell>
          <cell r="F293">
            <v>4704307.7727692854</v>
          </cell>
          <cell r="I293">
            <v>4704300</v>
          </cell>
          <cell r="J293">
            <v>25</v>
          </cell>
        </row>
        <row r="294">
          <cell r="C294">
            <v>50274</v>
          </cell>
          <cell r="D294">
            <v>0</v>
          </cell>
          <cell r="E294">
            <v>0</v>
          </cell>
          <cell r="F294">
            <v>6919793.1715056254</v>
          </cell>
          <cell r="G294">
            <v>385665</v>
          </cell>
          <cell r="I294">
            <v>6534100</v>
          </cell>
          <cell r="J294">
            <v>23</v>
          </cell>
        </row>
        <row r="295">
          <cell r="C295">
            <v>50073</v>
          </cell>
          <cell r="D295">
            <v>0</v>
          </cell>
          <cell r="E295">
            <v>0</v>
          </cell>
          <cell r="F295">
            <v>3411968.9456935297</v>
          </cell>
          <cell r="G295">
            <v>385665</v>
          </cell>
          <cell r="I295">
            <v>3026300</v>
          </cell>
          <cell r="J295">
            <v>18</v>
          </cell>
        </row>
        <row r="296">
          <cell r="C296">
            <v>50460</v>
          </cell>
          <cell r="F296">
            <v>7658311.0779228117</v>
          </cell>
          <cell r="G296">
            <v>385665</v>
          </cell>
          <cell r="I296">
            <v>7272600</v>
          </cell>
          <cell r="J296">
            <v>26</v>
          </cell>
        </row>
        <row r="297">
          <cell r="C297">
            <v>50417</v>
          </cell>
          <cell r="F297">
            <v>5384019</v>
          </cell>
          <cell r="G297">
            <v>365190</v>
          </cell>
          <cell r="I297">
            <v>5018800</v>
          </cell>
          <cell r="J297">
            <v>17</v>
          </cell>
        </row>
        <row r="298">
          <cell r="C298">
            <v>50446</v>
          </cell>
          <cell r="F298">
            <v>3619723.6602585632</v>
          </cell>
          <cell r="G298">
            <v>385665</v>
          </cell>
          <cell r="I298">
            <v>3234100</v>
          </cell>
          <cell r="J298">
            <v>20</v>
          </cell>
        </row>
        <row r="299">
          <cell r="C299">
            <v>50736</v>
          </cell>
          <cell r="F299">
            <v>7337312.5</v>
          </cell>
          <cell r="G299">
            <v>365000</v>
          </cell>
          <cell r="I299">
            <v>6972300</v>
          </cell>
          <cell r="J299">
            <v>31</v>
          </cell>
        </row>
        <row r="300">
          <cell r="C300">
            <v>50723</v>
          </cell>
          <cell r="D300">
            <v>0</v>
          </cell>
          <cell r="E300">
            <v>0</v>
          </cell>
          <cell r="F300">
            <v>8188584.9848389337</v>
          </cell>
          <cell r="G300">
            <v>385665</v>
          </cell>
          <cell r="I300">
            <v>7802900</v>
          </cell>
          <cell r="J300">
            <v>25</v>
          </cell>
        </row>
        <row r="301">
          <cell r="C301">
            <v>50854</v>
          </cell>
          <cell r="F301">
            <v>7290005.0232877349</v>
          </cell>
          <cell r="G301">
            <v>385665</v>
          </cell>
          <cell r="I301">
            <v>6904300</v>
          </cell>
          <cell r="J301">
            <v>25</v>
          </cell>
        </row>
        <row r="302">
          <cell r="C302">
            <v>50781</v>
          </cell>
          <cell r="F302">
            <v>8173866.6305196071</v>
          </cell>
          <cell r="G302">
            <v>385665</v>
          </cell>
          <cell r="I302">
            <v>7788200</v>
          </cell>
          <cell r="J302">
            <v>26</v>
          </cell>
        </row>
        <row r="303">
          <cell r="C303">
            <v>50319</v>
          </cell>
          <cell r="D303">
            <v>0</v>
          </cell>
          <cell r="E303">
            <v>0</v>
          </cell>
          <cell r="F303">
            <v>7614182.5999402804</v>
          </cell>
          <cell r="G303">
            <v>385665</v>
          </cell>
          <cell r="I303">
            <v>7228500</v>
          </cell>
          <cell r="J303">
            <v>26</v>
          </cell>
        </row>
        <row r="304">
          <cell r="C304">
            <v>50427</v>
          </cell>
          <cell r="D304">
            <v>0</v>
          </cell>
          <cell r="E304">
            <v>0</v>
          </cell>
          <cell r="F304">
            <v>5709402.4853488049</v>
          </cell>
          <cell r="G304">
            <v>385665</v>
          </cell>
          <cell r="I304">
            <v>5323700</v>
          </cell>
          <cell r="J304">
            <v>25</v>
          </cell>
        </row>
        <row r="305">
          <cell r="C305">
            <v>51369</v>
          </cell>
          <cell r="F305">
            <v>7498006.4854700491</v>
          </cell>
          <cell r="G305">
            <v>385665</v>
          </cell>
          <cell r="I305">
            <v>7112300</v>
          </cell>
          <cell r="J305">
            <v>25</v>
          </cell>
        </row>
        <row r="306">
          <cell r="C306">
            <v>50978</v>
          </cell>
          <cell r="D306">
            <v>0</v>
          </cell>
          <cell r="E306">
            <v>0</v>
          </cell>
          <cell r="F306">
            <v>5443990.587517703</v>
          </cell>
          <cell r="G306">
            <v>385665</v>
          </cell>
          <cell r="I306">
            <v>5058300</v>
          </cell>
          <cell r="J306">
            <v>21</v>
          </cell>
        </row>
        <row r="307">
          <cell r="C307">
            <v>50973</v>
          </cell>
          <cell r="D307">
            <v>0</v>
          </cell>
          <cell r="E307">
            <v>0</v>
          </cell>
          <cell r="F307">
            <v>7133200.9748884654</v>
          </cell>
          <cell r="G307">
            <v>385665</v>
          </cell>
          <cell r="I307">
            <v>6747500</v>
          </cell>
          <cell r="J307">
            <v>25</v>
          </cell>
        </row>
        <row r="308">
          <cell r="C308">
            <v>51250</v>
          </cell>
          <cell r="D308">
            <v>35368.512627059594</v>
          </cell>
          <cell r="E308">
            <v>0</v>
          </cell>
          <cell r="F308">
            <v>5811801.6892960174</v>
          </cell>
          <cell r="G308">
            <v>385665</v>
          </cell>
          <cell r="I308">
            <v>5426100</v>
          </cell>
          <cell r="J308">
            <v>25</v>
          </cell>
        </row>
        <row r="309">
          <cell r="C309">
            <v>51051</v>
          </cell>
          <cell r="D309">
            <v>0</v>
          </cell>
          <cell r="E309">
            <v>0</v>
          </cell>
          <cell r="F309">
            <v>5618361.8529169103</v>
          </cell>
          <cell r="G309">
            <v>385665</v>
          </cell>
          <cell r="I309">
            <v>5232700</v>
          </cell>
          <cell r="J309">
            <v>23</v>
          </cell>
        </row>
        <row r="310">
          <cell r="C310">
            <v>51130</v>
          </cell>
          <cell r="D310">
            <v>0</v>
          </cell>
          <cell r="E310">
            <v>0</v>
          </cell>
          <cell r="F310">
            <v>9755571.552521525</v>
          </cell>
          <cell r="G310">
            <v>385665</v>
          </cell>
          <cell r="I310">
            <v>9369900</v>
          </cell>
          <cell r="J310">
            <v>26</v>
          </cell>
        </row>
        <row r="311">
          <cell r="C311">
            <v>51364</v>
          </cell>
          <cell r="D311">
            <v>99932.612180358265</v>
          </cell>
          <cell r="E311">
            <v>0</v>
          </cell>
          <cell r="F311">
            <v>5440332.9166657962</v>
          </cell>
          <cell r="G311">
            <v>385665</v>
          </cell>
          <cell r="I311">
            <v>5054700</v>
          </cell>
          <cell r="J311">
            <v>25.5</v>
          </cell>
        </row>
        <row r="312">
          <cell r="C312">
            <v>51376</v>
          </cell>
          <cell r="D312">
            <v>0</v>
          </cell>
          <cell r="E312">
            <v>0</v>
          </cell>
          <cell r="F312">
            <v>5391950.1112482399</v>
          </cell>
          <cell r="I312">
            <v>5392000</v>
          </cell>
          <cell r="J312">
            <v>25</v>
          </cell>
        </row>
        <row r="313">
          <cell r="C313">
            <v>51279</v>
          </cell>
          <cell r="D313">
            <v>0</v>
          </cell>
          <cell r="E313">
            <v>0</v>
          </cell>
          <cell r="F313">
            <v>4590855.9162633689</v>
          </cell>
          <cell r="G313">
            <v>385665</v>
          </cell>
          <cell r="I313">
            <v>4205200</v>
          </cell>
          <cell r="J313">
            <v>20.5</v>
          </cell>
        </row>
        <row r="314">
          <cell r="C314">
            <v>50255</v>
          </cell>
          <cell r="D314">
            <v>0</v>
          </cell>
          <cell r="E314">
            <v>0</v>
          </cell>
          <cell r="F314">
            <v>7686239.7578101316</v>
          </cell>
          <cell r="G314">
            <v>385665</v>
          </cell>
          <cell r="I314">
            <v>7300600</v>
          </cell>
          <cell r="J314">
            <v>25.5</v>
          </cell>
        </row>
        <row r="315">
          <cell r="C315">
            <v>50024</v>
          </cell>
          <cell r="D315">
            <v>0</v>
          </cell>
          <cell r="E315">
            <v>0</v>
          </cell>
          <cell r="F315">
            <v>9826503.0267913602</v>
          </cell>
          <cell r="G315">
            <v>385665</v>
          </cell>
          <cell r="I315">
            <v>9440800</v>
          </cell>
          <cell r="J315">
            <v>22.5</v>
          </cell>
        </row>
        <row r="316">
          <cell r="C316">
            <v>50043</v>
          </cell>
          <cell r="D316">
            <v>0</v>
          </cell>
          <cell r="E316">
            <v>0</v>
          </cell>
          <cell r="F316">
            <v>8058104.7678286126</v>
          </cell>
          <cell r="G316">
            <v>385665</v>
          </cell>
          <cell r="I316">
            <v>7672400</v>
          </cell>
          <cell r="J316">
            <v>24</v>
          </cell>
        </row>
        <row r="317">
          <cell r="C317">
            <v>50071</v>
          </cell>
          <cell r="D317">
            <v>0</v>
          </cell>
          <cell r="E317">
            <v>0</v>
          </cell>
          <cell r="F317">
            <v>6255244.6785659706</v>
          </cell>
          <cell r="G317">
            <v>385665</v>
          </cell>
          <cell r="I317">
            <v>5869600</v>
          </cell>
          <cell r="J317">
            <v>23</v>
          </cell>
        </row>
        <row r="318">
          <cell r="C318">
            <v>50377</v>
          </cell>
          <cell r="D318">
            <v>0</v>
          </cell>
          <cell r="E318">
            <v>0</v>
          </cell>
          <cell r="F318">
            <v>8925492.6857064664</v>
          </cell>
          <cell r="G318">
            <v>385665</v>
          </cell>
          <cell r="I318">
            <v>8539800</v>
          </cell>
          <cell r="J318">
            <v>23</v>
          </cell>
        </row>
        <row r="319">
          <cell r="C319">
            <v>51288</v>
          </cell>
          <cell r="D319">
            <v>0</v>
          </cell>
          <cell r="E319">
            <v>0</v>
          </cell>
          <cell r="F319">
            <v>6312463.2097558677</v>
          </cell>
          <cell r="G319">
            <v>385665</v>
          </cell>
          <cell r="I319">
            <v>5926800</v>
          </cell>
          <cell r="J319">
            <v>25</v>
          </cell>
        </row>
        <row r="320">
          <cell r="C320">
            <v>50757</v>
          </cell>
          <cell r="D320">
            <v>0</v>
          </cell>
          <cell r="E320">
            <v>0</v>
          </cell>
          <cell r="F320">
            <v>7455258.3200107729</v>
          </cell>
          <cell r="G320">
            <v>385665</v>
          </cell>
          <cell r="I320">
            <v>7069600</v>
          </cell>
          <cell r="J320">
            <v>26</v>
          </cell>
        </row>
        <row r="321">
          <cell r="C321">
            <v>50783</v>
          </cell>
          <cell r="D321">
            <v>126435.81204902008</v>
          </cell>
          <cell r="E321">
            <v>0</v>
          </cell>
          <cell r="F321">
            <v>5185734.389874056</v>
          </cell>
          <cell r="G321">
            <v>385665</v>
          </cell>
          <cell r="I321">
            <v>4800100</v>
          </cell>
          <cell r="J321">
            <v>25</v>
          </cell>
        </row>
        <row r="322">
          <cell r="C322">
            <v>50863</v>
          </cell>
          <cell r="D322">
            <v>0</v>
          </cell>
          <cell r="E322">
            <v>0</v>
          </cell>
          <cell r="F322">
            <v>5857509.0829914492</v>
          </cell>
          <cell r="G322">
            <v>385665</v>
          </cell>
          <cell r="I322">
            <v>5471800</v>
          </cell>
          <cell r="J322">
            <v>25</v>
          </cell>
        </row>
        <row r="323">
          <cell r="C323">
            <v>50921</v>
          </cell>
          <cell r="F323">
            <v>6735331.730769231</v>
          </cell>
          <cell r="G323">
            <v>385665</v>
          </cell>
          <cell r="I323">
            <v>6349700</v>
          </cell>
          <cell r="J323">
            <v>25</v>
          </cell>
        </row>
        <row r="324">
          <cell r="C324">
            <v>50932</v>
          </cell>
          <cell r="D324">
            <v>0</v>
          </cell>
          <cell r="E324">
            <v>0</v>
          </cell>
          <cell r="F324">
            <v>6234533.0599767612</v>
          </cell>
          <cell r="G324">
            <v>385665</v>
          </cell>
          <cell r="I324">
            <v>5848900</v>
          </cell>
          <cell r="J324">
            <v>24.5</v>
          </cell>
        </row>
        <row r="325">
          <cell r="C325">
            <v>51040</v>
          </cell>
          <cell r="D325">
            <v>0</v>
          </cell>
          <cell r="E325">
            <v>0</v>
          </cell>
          <cell r="F325">
            <v>6079359.2304028757</v>
          </cell>
          <cell r="G325">
            <v>385665</v>
          </cell>
          <cell r="I325">
            <v>5693700</v>
          </cell>
          <cell r="J325">
            <v>25</v>
          </cell>
        </row>
        <row r="326">
          <cell r="C326">
            <v>51118</v>
          </cell>
          <cell r="D326">
            <v>0</v>
          </cell>
          <cell r="E326">
            <v>0</v>
          </cell>
          <cell r="F326">
            <v>7568083.0073847817</v>
          </cell>
          <cell r="G326">
            <v>385665</v>
          </cell>
          <cell r="I326">
            <v>7182400</v>
          </cell>
          <cell r="J326">
            <v>25</v>
          </cell>
        </row>
        <row r="327">
          <cell r="C327">
            <v>50656</v>
          </cell>
          <cell r="D327">
            <v>0</v>
          </cell>
          <cell r="E327">
            <v>0</v>
          </cell>
          <cell r="F327">
            <v>5556752.1630466878</v>
          </cell>
          <cell r="G327">
            <v>385665</v>
          </cell>
          <cell r="I327">
            <v>5171100</v>
          </cell>
          <cell r="J327">
            <v>20</v>
          </cell>
        </row>
        <row r="328">
          <cell r="C328">
            <v>51258</v>
          </cell>
          <cell r="D328">
            <v>0</v>
          </cell>
          <cell r="E328">
            <v>0</v>
          </cell>
          <cell r="F328">
            <v>6054752.848887966</v>
          </cell>
          <cell r="G328">
            <v>385665</v>
          </cell>
          <cell r="I328">
            <v>5669100</v>
          </cell>
          <cell r="J328">
            <v>25.5</v>
          </cell>
        </row>
        <row r="329">
          <cell r="C329">
            <v>51068</v>
          </cell>
          <cell r="D329">
            <v>360695.95032829937</v>
          </cell>
          <cell r="E329">
            <v>0</v>
          </cell>
          <cell r="F329">
            <v>4592374.7564024702</v>
          </cell>
          <cell r="G329">
            <v>385665</v>
          </cell>
          <cell r="I329">
            <v>4206700</v>
          </cell>
          <cell r="J329">
            <v>24.5</v>
          </cell>
        </row>
        <row r="330">
          <cell r="C330">
            <v>50974</v>
          </cell>
          <cell r="D330">
            <v>0</v>
          </cell>
          <cell r="E330">
            <v>0</v>
          </cell>
          <cell r="F330">
            <v>5675401.003093061</v>
          </cell>
          <cell r="G330">
            <v>385665</v>
          </cell>
          <cell r="I330">
            <v>5289700</v>
          </cell>
          <cell r="J330">
            <v>24.5</v>
          </cell>
        </row>
        <row r="331">
          <cell r="C331">
            <v>51372</v>
          </cell>
          <cell r="D331">
            <v>252250.08525370306</v>
          </cell>
          <cell r="E331">
            <v>0</v>
          </cell>
          <cell r="F331">
            <v>5719413.6262847595</v>
          </cell>
          <cell r="G331">
            <v>385665</v>
          </cell>
          <cell r="I331">
            <v>5333700</v>
          </cell>
          <cell r="J331">
            <v>25</v>
          </cell>
        </row>
        <row r="332">
          <cell r="C332">
            <v>51338</v>
          </cell>
          <cell r="D332">
            <v>113650.07414305257</v>
          </cell>
          <cell r="E332">
            <v>0</v>
          </cell>
          <cell r="F332">
            <v>5186303.2479723319</v>
          </cell>
          <cell r="G332">
            <v>385665</v>
          </cell>
          <cell r="I332">
            <v>4800600</v>
          </cell>
          <cell r="J332">
            <v>22</v>
          </cell>
        </row>
        <row r="333">
          <cell r="C333">
            <v>51346</v>
          </cell>
          <cell r="D333">
            <v>0</v>
          </cell>
          <cell r="E333">
            <v>0</v>
          </cell>
          <cell r="F333">
            <v>6457841.7723872224</v>
          </cell>
          <cell r="G333">
            <v>385665</v>
          </cell>
          <cell r="I333">
            <v>6072200</v>
          </cell>
          <cell r="J333">
            <v>24</v>
          </cell>
        </row>
        <row r="334">
          <cell r="C334">
            <v>50231</v>
          </cell>
          <cell r="F334">
            <v>7470086.8124213507</v>
          </cell>
          <cell r="G334">
            <v>385665</v>
          </cell>
          <cell r="I334">
            <v>7084400</v>
          </cell>
          <cell r="J334">
            <v>26</v>
          </cell>
        </row>
        <row r="335">
          <cell r="C335">
            <v>50023</v>
          </cell>
          <cell r="D335">
            <v>0</v>
          </cell>
          <cell r="E335">
            <v>0</v>
          </cell>
          <cell r="F335">
            <v>8744575.5317581333</v>
          </cell>
          <cell r="G335">
            <v>385665</v>
          </cell>
          <cell r="I335">
            <v>8358900</v>
          </cell>
          <cell r="J335">
            <v>26</v>
          </cell>
        </row>
        <row r="336">
          <cell r="C336">
            <v>50423</v>
          </cell>
          <cell r="D336">
            <v>0</v>
          </cell>
          <cell r="E336">
            <v>0</v>
          </cell>
          <cell r="F336">
            <v>7455154.4695778321</v>
          </cell>
          <cell r="G336">
            <v>385665</v>
          </cell>
          <cell r="I336">
            <v>7069500</v>
          </cell>
          <cell r="J336">
            <v>25</v>
          </cell>
        </row>
        <row r="337">
          <cell r="C337">
            <v>50547</v>
          </cell>
          <cell r="F337">
            <v>7453531.2605169499</v>
          </cell>
          <cell r="G337">
            <v>385665</v>
          </cell>
          <cell r="I337">
            <v>7067900</v>
          </cell>
          <cell r="J337">
            <v>25</v>
          </cell>
        </row>
        <row r="338">
          <cell r="C338">
            <v>50650</v>
          </cell>
          <cell r="D338">
            <v>0</v>
          </cell>
          <cell r="E338">
            <v>0</v>
          </cell>
          <cell r="F338">
            <v>6616651.6780494982</v>
          </cell>
          <cell r="G338">
            <v>385665</v>
          </cell>
          <cell r="I338">
            <v>6231000</v>
          </cell>
          <cell r="J338">
            <v>25</v>
          </cell>
        </row>
        <row r="339">
          <cell r="C339">
            <v>50903</v>
          </cell>
          <cell r="F339">
            <v>6943854.166666667</v>
          </cell>
          <cell r="G339">
            <v>365190</v>
          </cell>
          <cell r="I339">
            <v>6578700</v>
          </cell>
          <cell r="J339">
            <v>26</v>
          </cell>
        </row>
        <row r="340">
          <cell r="C340">
            <v>50894</v>
          </cell>
          <cell r="D340">
            <v>0</v>
          </cell>
          <cell r="E340">
            <v>0</v>
          </cell>
          <cell r="F340">
            <v>8656620.8577541858</v>
          </cell>
          <cell r="G340">
            <v>385665</v>
          </cell>
          <cell r="I340">
            <v>8271000</v>
          </cell>
          <cell r="J340">
            <v>25.5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6949822.3253392009</v>
          </cell>
          <cell r="G341">
            <v>385665</v>
          </cell>
          <cell r="I341">
            <v>6564200</v>
          </cell>
          <cell r="J341">
            <v>22</v>
          </cell>
        </row>
        <row r="342">
          <cell r="C342">
            <v>50689</v>
          </cell>
          <cell r="D342">
            <v>0</v>
          </cell>
          <cell r="E342">
            <v>0</v>
          </cell>
          <cell r="F342">
            <v>6960223.3664030917</v>
          </cell>
          <cell r="G342">
            <v>385665</v>
          </cell>
          <cell r="I342">
            <v>6574600</v>
          </cell>
          <cell r="J342">
            <v>26</v>
          </cell>
        </row>
        <row r="343">
          <cell r="C343">
            <v>50454</v>
          </cell>
          <cell r="D343">
            <v>0</v>
          </cell>
          <cell r="E343">
            <v>0</v>
          </cell>
          <cell r="F343">
            <v>6370245.5606402094</v>
          </cell>
          <cell r="G343">
            <v>385665</v>
          </cell>
          <cell r="I343">
            <v>5984600</v>
          </cell>
          <cell r="J343">
            <v>24.5</v>
          </cell>
        </row>
        <row r="344">
          <cell r="C344">
            <v>51345</v>
          </cell>
          <cell r="D344">
            <v>0</v>
          </cell>
          <cell r="E344">
            <v>0</v>
          </cell>
          <cell r="F344">
            <v>5595021.2458216399</v>
          </cell>
          <cell r="G344">
            <v>385665</v>
          </cell>
          <cell r="I344">
            <v>5209400</v>
          </cell>
          <cell r="J344">
            <v>21</v>
          </cell>
        </row>
        <row r="345">
          <cell r="C345">
            <v>51445</v>
          </cell>
          <cell r="D345">
            <v>0</v>
          </cell>
          <cell r="E345">
            <v>0</v>
          </cell>
          <cell r="F345">
            <v>5690628.1734828912</v>
          </cell>
          <cell r="G345">
            <v>385665</v>
          </cell>
          <cell r="I345">
            <v>5305000</v>
          </cell>
          <cell r="J345">
            <v>24.5</v>
          </cell>
        </row>
        <row r="346">
          <cell r="C346">
            <v>51243</v>
          </cell>
          <cell r="D346">
            <v>271619.92808620201</v>
          </cell>
          <cell r="E346">
            <v>0</v>
          </cell>
          <cell r="F346">
            <v>5305540.4180676434</v>
          </cell>
          <cell r="G346">
            <v>385665</v>
          </cell>
          <cell r="I346">
            <v>4919900</v>
          </cell>
          <cell r="J346">
            <v>25</v>
          </cell>
        </row>
        <row r="347">
          <cell r="C347">
            <v>51152</v>
          </cell>
          <cell r="D347">
            <v>53533.121167198988</v>
          </cell>
          <cell r="E347">
            <v>0</v>
          </cell>
          <cell r="F347">
            <v>5712398.0326789552</v>
          </cell>
          <cell r="G347">
            <v>385665</v>
          </cell>
          <cell r="I347">
            <v>5326700</v>
          </cell>
          <cell r="J347">
            <v>25.5</v>
          </cell>
        </row>
        <row r="348">
          <cell r="C348">
            <v>51374</v>
          </cell>
          <cell r="D348">
            <v>0</v>
          </cell>
          <cell r="E348">
            <v>0</v>
          </cell>
          <cell r="F348">
            <v>6282397.6689365925</v>
          </cell>
          <cell r="G348">
            <v>385665</v>
          </cell>
          <cell r="I348">
            <v>5896700</v>
          </cell>
          <cell r="J348">
            <v>26</v>
          </cell>
        </row>
        <row r="349">
          <cell r="C349">
            <v>51334</v>
          </cell>
          <cell r="D349">
            <v>0</v>
          </cell>
          <cell r="E349">
            <v>0</v>
          </cell>
          <cell r="F349">
            <v>5502817.0519612357</v>
          </cell>
          <cell r="I349">
            <v>5502800</v>
          </cell>
          <cell r="J349">
            <v>25</v>
          </cell>
        </row>
        <row r="350">
          <cell r="C350">
            <v>50022</v>
          </cell>
          <cell r="D350">
            <v>0</v>
          </cell>
          <cell r="E350">
            <v>0</v>
          </cell>
          <cell r="F350">
            <v>6798913.9299470289</v>
          </cell>
          <cell r="G350">
            <v>385665</v>
          </cell>
          <cell r="I350">
            <v>6413200</v>
          </cell>
          <cell r="J350">
            <v>25</v>
          </cell>
        </row>
        <row r="351">
          <cell r="C351">
            <v>50041</v>
          </cell>
          <cell r="F351">
            <v>7996793.9011969371</v>
          </cell>
          <cell r="G351">
            <v>385665</v>
          </cell>
          <cell r="I351">
            <v>7611100</v>
          </cell>
          <cell r="J351">
            <v>26</v>
          </cell>
        </row>
        <row r="352">
          <cell r="C352">
            <v>50147</v>
          </cell>
          <cell r="D352">
            <v>0</v>
          </cell>
          <cell r="E352">
            <v>0</v>
          </cell>
          <cell r="F352">
            <v>6525759.9424229935</v>
          </cell>
          <cell r="G352">
            <v>385665</v>
          </cell>
          <cell r="I352">
            <v>6140100</v>
          </cell>
          <cell r="J352">
            <v>21</v>
          </cell>
        </row>
        <row r="353">
          <cell r="C353">
            <v>50812</v>
          </cell>
          <cell r="D353">
            <v>0</v>
          </cell>
          <cell r="E353">
            <v>0</v>
          </cell>
          <cell r="F353">
            <v>3939455.8466521651</v>
          </cell>
          <cell r="G353">
            <v>385665</v>
          </cell>
          <cell r="I353">
            <v>3553800</v>
          </cell>
          <cell r="J353">
            <v>21</v>
          </cell>
        </row>
        <row r="354">
          <cell r="C354">
            <v>50773</v>
          </cell>
          <cell r="D354">
            <v>0</v>
          </cell>
          <cell r="E354">
            <v>0</v>
          </cell>
          <cell r="F354">
            <v>7102626.7125433441</v>
          </cell>
          <cell r="G354">
            <v>385665</v>
          </cell>
          <cell r="I354">
            <v>6717000</v>
          </cell>
          <cell r="J354">
            <v>25</v>
          </cell>
        </row>
        <row r="355">
          <cell r="C355">
            <v>50705</v>
          </cell>
          <cell r="D355">
            <v>0</v>
          </cell>
          <cell r="E355">
            <v>0</v>
          </cell>
          <cell r="F355">
            <v>6273577.2045757277</v>
          </cell>
          <cell r="G355">
            <v>385665</v>
          </cell>
          <cell r="I355">
            <v>5887900</v>
          </cell>
          <cell r="J355">
            <v>23</v>
          </cell>
        </row>
        <row r="356">
          <cell r="C356">
            <v>50829</v>
          </cell>
          <cell r="D356">
            <v>0</v>
          </cell>
          <cell r="E356">
            <v>0</v>
          </cell>
          <cell r="F356">
            <v>5682954.8521720283</v>
          </cell>
          <cell r="G356">
            <v>385665</v>
          </cell>
          <cell r="I356">
            <v>5297300</v>
          </cell>
          <cell r="J356">
            <v>24</v>
          </cell>
        </row>
        <row r="357">
          <cell r="C357">
            <v>50760</v>
          </cell>
          <cell r="D357">
            <v>0</v>
          </cell>
          <cell r="E357">
            <v>0</v>
          </cell>
          <cell r="F357">
            <v>7431790.2164145848</v>
          </cell>
          <cell r="G357">
            <v>385665</v>
          </cell>
          <cell r="I357">
            <v>7046100</v>
          </cell>
          <cell r="J357">
            <v>25</v>
          </cell>
        </row>
        <row r="358">
          <cell r="C358">
            <v>50610</v>
          </cell>
          <cell r="D358">
            <v>0</v>
          </cell>
          <cell r="E358">
            <v>0</v>
          </cell>
          <cell r="F358">
            <v>5705863.3231016211</v>
          </cell>
          <cell r="G358">
            <v>385665</v>
          </cell>
          <cell r="I358">
            <v>5320200</v>
          </cell>
          <cell r="J358">
            <v>22</v>
          </cell>
        </row>
        <row r="359">
          <cell r="C359">
            <v>50902</v>
          </cell>
          <cell r="F359">
            <v>6983937.5</v>
          </cell>
          <cell r="G359">
            <v>365190</v>
          </cell>
          <cell r="I359">
            <v>6618700</v>
          </cell>
          <cell r="J359">
            <v>26</v>
          </cell>
        </row>
        <row r="360">
          <cell r="C360">
            <v>51343</v>
          </cell>
          <cell r="D360">
            <v>0</v>
          </cell>
          <cell r="E360">
            <v>0</v>
          </cell>
          <cell r="F360">
            <v>5637728.5051235594</v>
          </cell>
          <cell r="G360">
            <v>385665</v>
          </cell>
          <cell r="I360">
            <v>5252100</v>
          </cell>
          <cell r="J360">
            <v>23.5</v>
          </cell>
        </row>
        <row r="361">
          <cell r="C361">
            <v>50995</v>
          </cell>
          <cell r="D361">
            <v>0</v>
          </cell>
          <cell r="E361">
            <v>0</v>
          </cell>
          <cell r="F361">
            <v>8505280.7403941303</v>
          </cell>
          <cell r="G361">
            <v>385665</v>
          </cell>
          <cell r="I361">
            <v>8119600</v>
          </cell>
          <cell r="J361">
            <v>21.5</v>
          </cell>
        </row>
        <row r="362">
          <cell r="C362">
            <v>50878</v>
          </cell>
          <cell r="D362">
            <v>0</v>
          </cell>
          <cell r="E362">
            <v>0</v>
          </cell>
          <cell r="F362">
            <v>7202191.938985507</v>
          </cell>
          <cell r="G362">
            <v>385665</v>
          </cell>
          <cell r="I362">
            <v>6816500</v>
          </cell>
          <cell r="J362">
            <v>25</v>
          </cell>
        </row>
        <row r="363">
          <cell r="C363">
            <v>50866</v>
          </cell>
          <cell r="D363">
            <v>0</v>
          </cell>
          <cell r="E363">
            <v>0</v>
          </cell>
          <cell r="F363">
            <v>10892574.22466152</v>
          </cell>
          <cell r="G363">
            <v>385665</v>
          </cell>
          <cell r="I363">
            <v>10506900</v>
          </cell>
          <cell r="J363">
            <v>26</v>
          </cell>
        </row>
        <row r="364">
          <cell r="C364">
            <v>51219</v>
          </cell>
          <cell r="D364">
            <v>0</v>
          </cell>
          <cell r="E364">
            <v>0</v>
          </cell>
          <cell r="F364">
            <v>6766037.8275774717</v>
          </cell>
          <cell r="G364">
            <v>385665</v>
          </cell>
          <cell r="I364">
            <v>6380400</v>
          </cell>
          <cell r="J364">
            <v>22.5</v>
          </cell>
        </row>
        <row r="365">
          <cell r="C365">
            <v>51226</v>
          </cell>
          <cell r="D365">
            <v>0</v>
          </cell>
          <cell r="E365">
            <v>0</v>
          </cell>
          <cell r="F365">
            <v>7125262.6002799375</v>
          </cell>
          <cell r="G365">
            <v>385665</v>
          </cell>
          <cell r="I365">
            <v>6739600</v>
          </cell>
          <cell r="J365">
            <v>25.5</v>
          </cell>
        </row>
        <row r="366">
          <cell r="C366">
            <v>51373</v>
          </cell>
          <cell r="D366">
            <v>0</v>
          </cell>
          <cell r="E366">
            <v>0</v>
          </cell>
          <cell r="F366">
            <v>1126024.2078703081</v>
          </cell>
          <cell r="G366">
            <v>0</v>
          </cell>
          <cell r="I366">
            <v>1126000</v>
          </cell>
          <cell r="J366">
            <v>5</v>
          </cell>
        </row>
        <row r="367">
          <cell r="C367">
            <v>51353</v>
          </cell>
          <cell r="D367">
            <v>0</v>
          </cell>
          <cell r="E367">
            <v>0</v>
          </cell>
          <cell r="F367">
            <v>6723240.1582445139</v>
          </cell>
          <cell r="G367">
            <v>385665</v>
          </cell>
          <cell r="I367">
            <v>6337600</v>
          </cell>
          <cell r="J367">
            <v>25</v>
          </cell>
        </row>
        <row r="368">
          <cell r="C368">
            <v>50019</v>
          </cell>
          <cell r="D368">
            <v>0</v>
          </cell>
          <cell r="E368">
            <v>0</v>
          </cell>
          <cell r="F368">
            <v>6241937.2157986667</v>
          </cell>
          <cell r="G368">
            <v>385665</v>
          </cell>
          <cell r="I368">
            <v>5856300</v>
          </cell>
          <cell r="J368">
            <v>25.5</v>
          </cell>
        </row>
        <row r="369">
          <cell r="C369">
            <v>50062</v>
          </cell>
          <cell r="D369">
            <v>57197.678980427794</v>
          </cell>
          <cell r="E369">
            <v>0</v>
          </cell>
          <cell r="F369">
            <v>5791287.6815964961</v>
          </cell>
          <cell r="G369">
            <v>385665</v>
          </cell>
          <cell r="I369">
            <v>5405600</v>
          </cell>
          <cell r="J369">
            <v>25.5</v>
          </cell>
        </row>
        <row r="370">
          <cell r="C370">
            <v>50380</v>
          </cell>
          <cell r="D370">
            <v>0</v>
          </cell>
          <cell r="E370">
            <v>0</v>
          </cell>
          <cell r="F370">
            <v>8636656.2759643383</v>
          </cell>
          <cell r="G370">
            <v>385665</v>
          </cell>
          <cell r="I370">
            <v>8251000</v>
          </cell>
          <cell r="J370">
            <v>21</v>
          </cell>
        </row>
        <row r="371">
          <cell r="C371">
            <v>50522</v>
          </cell>
          <cell r="D371">
            <v>0</v>
          </cell>
          <cell r="E371">
            <v>0</v>
          </cell>
          <cell r="F371">
            <v>5961637.8044429347</v>
          </cell>
          <cell r="G371">
            <v>385665</v>
          </cell>
          <cell r="I371">
            <v>5576000</v>
          </cell>
          <cell r="J371">
            <v>25</v>
          </cell>
        </row>
        <row r="372">
          <cell r="C372">
            <v>50618</v>
          </cell>
          <cell r="F372">
            <v>6610402.9807692319</v>
          </cell>
          <cell r="G372">
            <v>385665</v>
          </cell>
          <cell r="I372">
            <v>6224700</v>
          </cell>
          <cell r="J372">
            <v>25</v>
          </cell>
        </row>
        <row r="373">
          <cell r="C373">
            <v>50834</v>
          </cell>
          <cell r="D373">
            <v>0</v>
          </cell>
          <cell r="E373">
            <v>0</v>
          </cell>
          <cell r="F373">
            <v>6051471.4984259987</v>
          </cell>
          <cell r="G373">
            <v>385665</v>
          </cell>
          <cell r="I373">
            <v>5665800</v>
          </cell>
          <cell r="J373">
            <v>25</v>
          </cell>
        </row>
        <row r="374">
          <cell r="C374">
            <v>50697</v>
          </cell>
          <cell r="D374">
            <v>0</v>
          </cell>
          <cell r="E374">
            <v>0</v>
          </cell>
          <cell r="F374">
            <v>4988505.9921881342</v>
          </cell>
          <cell r="G374">
            <v>385665</v>
          </cell>
          <cell r="I374">
            <v>4602800</v>
          </cell>
          <cell r="J374">
            <v>16.5</v>
          </cell>
        </row>
        <row r="375">
          <cell r="C375">
            <v>50659</v>
          </cell>
          <cell r="F375">
            <v>5183831.5</v>
          </cell>
          <cell r="G375">
            <v>365190</v>
          </cell>
          <cell r="I375">
            <v>4818600</v>
          </cell>
          <cell r="J375">
            <v>19</v>
          </cell>
        </row>
        <row r="376">
          <cell r="C376">
            <v>51054</v>
          </cell>
          <cell r="E376">
            <v>0</v>
          </cell>
          <cell r="F376">
            <v>1336608.1527917914</v>
          </cell>
          <cell r="G376">
            <v>0</v>
          </cell>
          <cell r="I376">
            <v>1336600</v>
          </cell>
          <cell r="J376">
            <v>13</v>
          </cell>
        </row>
        <row r="377">
          <cell r="C377">
            <v>50998</v>
          </cell>
          <cell r="D377">
            <v>0</v>
          </cell>
          <cell r="E377">
            <v>0</v>
          </cell>
          <cell r="F377">
            <v>6475614.6934011914</v>
          </cell>
          <cell r="G377">
            <v>385665</v>
          </cell>
          <cell r="I377">
            <v>6089900</v>
          </cell>
          <cell r="J377">
            <v>25.5</v>
          </cell>
        </row>
        <row r="378">
          <cell r="C378">
            <v>50882</v>
          </cell>
          <cell r="D378">
            <v>0</v>
          </cell>
          <cell r="E378">
            <v>0</v>
          </cell>
          <cell r="F378">
            <v>6339274.7893110607</v>
          </cell>
          <cell r="G378">
            <v>385665</v>
          </cell>
          <cell r="I378">
            <v>5953600</v>
          </cell>
          <cell r="J378">
            <v>25</v>
          </cell>
        </row>
        <row r="379">
          <cell r="C379">
            <v>51211</v>
          </cell>
          <cell r="D379">
            <v>97838.044456957839</v>
          </cell>
          <cell r="E379">
            <v>0</v>
          </cell>
          <cell r="F379">
            <v>5668102.3497738102</v>
          </cell>
          <cell r="G379">
            <v>385665</v>
          </cell>
          <cell r="I379">
            <v>5282400</v>
          </cell>
          <cell r="J379">
            <v>25</v>
          </cell>
        </row>
        <row r="380">
          <cell r="C380">
            <v>50877</v>
          </cell>
          <cell r="D380">
            <v>0</v>
          </cell>
          <cell r="E380">
            <v>0</v>
          </cell>
          <cell r="F380">
            <v>9448317.4857809786</v>
          </cell>
          <cell r="G380">
            <v>385665</v>
          </cell>
          <cell r="I380">
            <v>9062700</v>
          </cell>
          <cell r="J380">
            <v>24.5</v>
          </cell>
        </row>
        <row r="381">
          <cell r="C381">
            <v>51379</v>
          </cell>
          <cell r="D381">
            <v>0</v>
          </cell>
          <cell r="E381">
            <v>0</v>
          </cell>
          <cell r="F381">
            <v>6061683.5745383753</v>
          </cell>
          <cell r="G381">
            <v>385665</v>
          </cell>
          <cell r="I381">
            <v>5676000</v>
          </cell>
          <cell r="J381">
            <v>25</v>
          </cell>
        </row>
        <row r="382">
          <cell r="C382">
            <v>51360</v>
          </cell>
          <cell r="D382">
            <v>0</v>
          </cell>
          <cell r="E382">
            <v>0</v>
          </cell>
          <cell r="F382">
            <v>6481718.3061163826</v>
          </cell>
          <cell r="G382">
            <v>385665</v>
          </cell>
          <cell r="I382">
            <v>6096100</v>
          </cell>
          <cell r="J382">
            <v>25</v>
          </cell>
        </row>
        <row r="383">
          <cell r="C383">
            <v>51359</v>
          </cell>
          <cell r="D383">
            <v>0</v>
          </cell>
          <cell r="E383">
            <v>0</v>
          </cell>
          <cell r="F383">
            <v>7472753.4479320813</v>
          </cell>
          <cell r="G383">
            <v>385665</v>
          </cell>
          <cell r="I383">
            <v>7087100</v>
          </cell>
          <cell r="J383">
            <v>25.5</v>
          </cell>
        </row>
        <row r="384">
          <cell r="C384">
            <v>50864</v>
          </cell>
          <cell r="D384">
            <v>0</v>
          </cell>
          <cell r="E384">
            <v>0</v>
          </cell>
          <cell r="F384">
            <v>5239258.2415816411</v>
          </cell>
          <cell r="G384">
            <v>385665</v>
          </cell>
          <cell r="H384"/>
          <cell r="I384">
            <v>4853600</v>
          </cell>
          <cell r="J384">
            <v>22</v>
          </cell>
        </row>
        <row r="385">
          <cell r="C385">
            <v>50018</v>
          </cell>
          <cell r="F385">
            <v>7863979.8658655705</v>
          </cell>
          <cell r="G385">
            <v>385665</v>
          </cell>
          <cell r="I385">
            <v>7478300</v>
          </cell>
          <cell r="J385">
            <v>26</v>
          </cell>
        </row>
        <row r="386">
          <cell r="C386">
            <v>50039</v>
          </cell>
          <cell r="D386">
            <v>0</v>
          </cell>
          <cell r="E386">
            <v>0</v>
          </cell>
          <cell r="F386">
            <v>7599997.3956733709</v>
          </cell>
          <cell r="G386">
            <v>385665</v>
          </cell>
          <cell r="I386">
            <v>7214300</v>
          </cell>
          <cell r="J386">
            <v>26</v>
          </cell>
        </row>
        <row r="387">
          <cell r="C387">
            <v>50777</v>
          </cell>
          <cell r="D387">
            <v>0</v>
          </cell>
          <cell r="E387">
            <v>0</v>
          </cell>
          <cell r="F387">
            <v>5733544.7653779117</v>
          </cell>
          <cell r="G387">
            <v>385665</v>
          </cell>
          <cell r="I387">
            <v>5347900</v>
          </cell>
          <cell r="J387">
            <v>25</v>
          </cell>
        </row>
        <row r="388">
          <cell r="C388">
            <v>50639</v>
          </cell>
          <cell r="F388">
            <v>8146580.4472906133</v>
          </cell>
          <cell r="G388">
            <v>385665</v>
          </cell>
          <cell r="I388">
            <v>7760900</v>
          </cell>
          <cell r="J388">
            <v>26</v>
          </cell>
        </row>
        <row r="389">
          <cell r="C389">
            <v>50918</v>
          </cell>
          <cell r="D389">
            <v>0</v>
          </cell>
          <cell r="E389">
            <v>0</v>
          </cell>
          <cell r="F389">
            <v>7776195.7650002772</v>
          </cell>
          <cell r="G389">
            <v>385665</v>
          </cell>
          <cell r="I389">
            <v>7390500</v>
          </cell>
          <cell r="J389">
            <v>22.5</v>
          </cell>
        </row>
        <row r="390">
          <cell r="C390">
            <v>51342</v>
          </cell>
          <cell r="D390">
            <v>0</v>
          </cell>
          <cell r="E390">
            <v>0</v>
          </cell>
          <cell r="F390">
            <v>7244647.665865384</v>
          </cell>
          <cell r="G390">
            <v>385665</v>
          </cell>
          <cell r="I390">
            <v>6859000</v>
          </cell>
          <cell r="J390">
            <v>25</v>
          </cell>
        </row>
        <row r="391">
          <cell r="C391">
            <v>50886</v>
          </cell>
          <cell r="D391">
            <v>32714.576864210074</v>
          </cell>
          <cell r="E391">
            <v>0</v>
          </cell>
          <cell r="F391">
            <v>5512889.182751175</v>
          </cell>
          <cell r="G391">
            <v>385665</v>
          </cell>
          <cell r="I391">
            <v>5127200</v>
          </cell>
          <cell r="J391">
            <v>24.5</v>
          </cell>
        </row>
        <row r="392">
          <cell r="C392">
            <v>50879</v>
          </cell>
          <cell r="D392">
            <v>0</v>
          </cell>
          <cell r="E392">
            <v>24.5</v>
          </cell>
          <cell r="F392">
            <v>6522715.6745842043</v>
          </cell>
          <cell r="G392">
            <v>385665</v>
          </cell>
          <cell r="I392">
            <v>6137100</v>
          </cell>
          <cell r="J392">
            <v>24.5</v>
          </cell>
        </row>
        <row r="393">
          <cell r="C393">
            <v>10079</v>
          </cell>
          <cell r="D393">
            <v>0</v>
          </cell>
          <cell r="E393">
            <v>0</v>
          </cell>
          <cell r="F393">
            <v>5922534.9551682808</v>
          </cell>
          <cell r="I393">
            <v>5922500</v>
          </cell>
          <cell r="J393">
            <v>25</v>
          </cell>
        </row>
        <row r="394">
          <cell r="C394">
            <v>50976</v>
          </cell>
          <cell r="E394">
            <v>0</v>
          </cell>
          <cell r="F394">
            <v>2832170.8548206897</v>
          </cell>
          <cell r="G394">
            <v>0</v>
          </cell>
          <cell r="I394">
            <v>2832200</v>
          </cell>
          <cell r="J394">
            <v>12.5</v>
          </cell>
        </row>
        <row r="395">
          <cell r="C395">
            <v>196</v>
          </cell>
          <cell r="D395">
            <v>0</v>
          </cell>
          <cell r="E395">
            <v>0</v>
          </cell>
          <cell r="F395">
            <v>7462241.225961538</v>
          </cell>
          <cell r="I395">
            <v>7462200</v>
          </cell>
          <cell r="J395">
            <v>24.5</v>
          </cell>
        </row>
        <row r="396">
          <cell r="C396">
            <v>51236</v>
          </cell>
          <cell r="D396">
            <v>0</v>
          </cell>
          <cell r="E396">
            <v>0</v>
          </cell>
          <cell r="F396">
            <v>5878926.6578929313</v>
          </cell>
          <cell r="G396">
            <v>385665</v>
          </cell>
          <cell r="I396">
            <v>5493300</v>
          </cell>
          <cell r="J396">
            <v>25</v>
          </cell>
        </row>
        <row r="397">
          <cell r="C397">
            <v>51223</v>
          </cell>
          <cell r="D397">
            <v>163745.09696269146</v>
          </cell>
          <cell r="E397">
            <v>0</v>
          </cell>
          <cell r="F397">
            <v>4043941.0905373082</v>
          </cell>
          <cell r="G397">
            <v>385665</v>
          </cell>
          <cell r="I397">
            <v>3658300</v>
          </cell>
          <cell r="J397">
            <v>19</v>
          </cell>
        </row>
        <row r="398">
          <cell r="C398">
            <v>10121</v>
          </cell>
          <cell r="D398">
            <v>79069.33749042626</v>
          </cell>
          <cell r="E398">
            <v>0</v>
          </cell>
          <cell r="F398">
            <v>4852052.7778941896</v>
          </cell>
          <cell r="I398">
            <v>4852100</v>
          </cell>
          <cell r="J398">
            <v>25</v>
          </cell>
        </row>
        <row r="399">
          <cell r="C399">
            <v>50987</v>
          </cell>
          <cell r="D399">
            <v>0</v>
          </cell>
          <cell r="E399">
            <v>0</v>
          </cell>
          <cell r="F399">
            <v>7677170.6972122267</v>
          </cell>
          <cell r="G399">
            <v>385665</v>
          </cell>
          <cell r="I399">
            <v>7291500</v>
          </cell>
          <cell r="J399">
            <v>26</v>
          </cell>
        </row>
        <row r="400">
          <cell r="C400">
            <v>51370</v>
          </cell>
          <cell r="D400">
            <v>0</v>
          </cell>
          <cell r="E400">
            <v>0</v>
          </cell>
          <cell r="F400">
            <v>6792192.1875000019</v>
          </cell>
          <cell r="G400">
            <v>385665</v>
          </cell>
          <cell r="I400">
            <v>6406500</v>
          </cell>
          <cell r="J400">
            <v>27</v>
          </cell>
        </row>
        <row r="401">
          <cell r="C401">
            <v>51324</v>
          </cell>
          <cell r="D401">
            <v>0</v>
          </cell>
          <cell r="E401">
            <v>0</v>
          </cell>
          <cell r="F401">
            <v>6219437.5404112162</v>
          </cell>
          <cell r="G401">
            <v>385665</v>
          </cell>
          <cell r="I401">
            <v>5833800</v>
          </cell>
          <cell r="J401">
            <v>25</v>
          </cell>
        </row>
        <row r="402">
          <cell r="C402">
            <v>10127</v>
          </cell>
          <cell r="D402">
            <v>0</v>
          </cell>
          <cell r="E402">
            <v>0</v>
          </cell>
          <cell r="F402">
            <v>6609678.4538901532</v>
          </cell>
          <cell r="I402">
            <v>6609700</v>
          </cell>
          <cell r="J402">
            <v>25</v>
          </cell>
        </row>
        <row r="403">
          <cell r="C403">
            <v>50035</v>
          </cell>
          <cell r="D403">
            <v>0</v>
          </cell>
          <cell r="E403">
            <v>0</v>
          </cell>
          <cell r="F403">
            <v>5810496.6438639518</v>
          </cell>
          <cell r="G403">
            <v>385665</v>
          </cell>
          <cell r="I403">
            <v>5424800</v>
          </cell>
          <cell r="J403">
            <v>25.5</v>
          </cell>
        </row>
        <row r="404">
          <cell r="C404">
            <v>50394</v>
          </cell>
          <cell r="D404">
            <v>0</v>
          </cell>
          <cell r="E404">
            <v>0</v>
          </cell>
          <cell r="F404">
            <v>6808386.0549900383</v>
          </cell>
          <cell r="G404">
            <v>385665</v>
          </cell>
          <cell r="I404">
            <v>6422700</v>
          </cell>
          <cell r="J404">
            <v>25.5</v>
          </cell>
        </row>
        <row r="405">
          <cell r="C405">
            <v>50521</v>
          </cell>
          <cell r="D405">
            <v>0</v>
          </cell>
          <cell r="E405">
            <v>0</v>
          </cell>
          <cell r="F405">
            <v>5897525.810965417</v>
          </cell>
          <cell r="G405">
            <v>385665</v>
          </cell>
          <cell r="I405">
            <v>5511900</v>
          </cell>
          <cell r="J405">
            <v>23</v>
          </cell>
        </row>
        <row r="406">
          <cell r="C406">
            <v>50658</v>
          </cell>
          <cell r="D406">
            <v>0</v>
          </cell>
          <cell r="E406">
            <v>0</v>
          </cell>
          <cell r="F406">
            <v>7382432.692307693</v>
          </cell>
          <cell r="G406">
            <v>385665</v>
          </cell>
          <cell r="I406">
            <v>6996800</v>
          </cell>
          <cell r="J406">
            <v>27</v>
          </cell>
        </row>
        <row r="407">
          <cell r="C407">
            <v>51031</v>
          </cell>
          <cell r="D407">
            <v>0</v>
          </cell>
          <cell r="E407">
            <v>0</v>
          </cell>
          <cell r="F407">
            <v>3404740.8515119581</v>
          </cell>
          <cell r="G407">
            <v>0</v>
          </cell>
          <cell r="I407">
            <v>3404700</v>
          </cell>
          <cell r="J407">
            <v>13</v>
          </cell>
        </row>
        <row r="408">
          <cell r="C408">
            <v>50805</v>
          </cell>
          <cell r="D408">
            <v>0</v>
          </cell>
          <cell r="E408">
            <v>0</v>
          </cell>
          <cell r="F408">
            <v>7911860.5083602369</v>
          </cell>
          <cell r="G408">
            <v>385665</v>
          </cell>
          <cell r="I408">
            <v>7526200</v>
          </cell>
          <cell r="J408">
            <v>25</v>
          </cell>
        </row>
        <row r="409">
          <cell r="C409">
            <v>50946</v>
          </cell>
          <cell r="D409">
            <v>0</v>
          </cell>
          <cell r="E409">
            <v>0</v>
          </cell>
          <cell r="F409">
            <v>7109850.3782994589</v>
          </cell>
          <cell r="G409">
            <v>385665</v>
          </cell>
          <cell r="I409">
            <v>6724200</v>
          </cell>
          <cell r="J409">
            <v>25</v>
          </cell>
        </row>
        <row r="410">
          <cell r="C410">
            <v>50898</v>
          </cell>
          <cell r="D410">
            <v>0</v>
          </cell>
          <cell r="E410">
            <v>0</v>
          </cell>
          <cell r="F410">
            <v>7662320.8364354931</v>
          </cell>
          <cell r="G410">
            <v>385665</v>
          </cell>
          <cell r="I410">
            <v>7276700</v>
          </cell>
          <cell r="J410">
            <v>26</v>
          </cell>
        </row>
        <row r="411">
          <cell r="C411">
            <v>50884</v>
          </cell>
          <cell r="D411">
            <v>0</v>
          </cell>
          <cell r="E411">
            <v>0</v>
          </cell>
          <cell r="F411">
            <v>7539619.1535579963</v>
          </cell>
          <cell r="G411">
            <v>385665</v>
          </cell>
          <cell r="I411">
            <v>7154000</v>
          </cell>
          <cell r="J411">
            <v>26</v>
          </cell>
        </row>
        <row r="412">
          <cell r="C412">
            <v>51340</v>
          </cell>
          <cell r="D412">
            <v>0</v>
          </cell>
          <cell r="E412">
            <v>0</v>
          </cell>
          <cell r="F412">
            <v>3695735.937895447</v>
          </cell>
          <cell r="G412">
            <v>385665</v>
          </cell>
          <cell r="I412">
            <v>3310100</v>
          </cell>
          <cell r="J412">
            <v>17.5</v>
          </cell>
        </row>
        <row r="413">
          <cell r="C413">
            <v>50808</v>
          </cell>
          <cell r="D413">
            <v>0</v>
          </cell>
          <cell r="E413">
            <v>0</v>
          </cell>
          <cell r="F413">
            <v>8870458.85063079</v>
          </cell>
          <cell r="G413">
            <v>385665</v>
          </cell>
          <cell r="I413">
            <v>8484800</v>
          </cell>
          <cell r="J413">
            <v>25.5</v>
          </cell>
        </row>
        <row r="414">
          <cell r="C414">
            <v>51167</v>
          </cell>
          <cell r="D414">
            <v>0</v>
          </cell>
          <cell r="E414">
            <v>0</v>
          </cell>
          <cell r="F414">
            <v>6413208.0404475909</v>
          </cell>
          <cell r="G414">
            <v>385665</v>
          </cell>
          <cell r="I414">
            <v>6027500</v>
          </cell>
          <cell r="J414">
            <v>21.5</v>
          </cell>
        </row>
        <row r="415">
          <cell r="C415">
            <v>51052</v>
          </cell>
          <cell r="D415">
            <v>0</v>
          </cell>
          <cell r="E415">
            <v>0</v>
          </cell>
          <cell r="F415">
            <v>7565302.4873484708</v>
          </cell>
          <cell r="G415">
            <v>385665</v>
          </cell>
          <cell r="I415">
            <v>7179600</v>
          </cell>
          <cell r="J415">
            <v>25</v>
          </cell>
        </row>
        <row r="416">
          <cell r="C416">
            <v>51028</v>
          </cell>
          <cell r="D416">
            <v>0</v>
          </cell>
          <cell r="E416">
            <v>0</v>
          </cell>
          <cell r="F416">
            <v>6944383.5606369814</v>
          </cell>
          <cell r="G416">
            <v>385665</v>
          </cell>
          <cell r="I416">
            <v>6558700</v>
          </cell>
          <cell r="J416">
            <v>25</v>
          </cell>
        </row>
        <row r="417">
          <cell r="C417">
            <v>51222</v>
          </cell>
          <cell r="D417">
            <v>0</v>
          </cell>
          <cell r="E417">
            <v>0</v>
          </cell>
          <cell r="F417">
            <v>6355801.2284398926</v>
          </cell>
          <cell r="G417">
            <v>385665</v>
          </cell>
          <cell r="I417">
            <v>5970100</v>
          </cell>
          <cell r="J417">
            <v>25</v>
          </cell>
        </row>
        <row r="418">
          <cell r="C418">
            <v>10081</v>
          </cell>
          <cell r="D418">
            <v>245056.81068480387</v>
          </cell>
          <cell r="E418">
            <v>0</v>
          </cell>
          <cell r="F418">
            <v>4695261.9393151961</v>
          </cell>
          <cell r="I418">
            <v>4695300</v>
          </cell>
          <cell r="J418">
            <v>25</v>
          </cell>
        </row>
        <row r="419">
          <cell r="C419">
            <v>51264</v>
          </cell>
          <cell r="D419">
            <v>145362.05882862175</v>
          </cell>
          <cell r="E419">
            <v>0</v>
          </cell>
          <cell r="F419">
            <v>5290529.0565559929</v>
          </cell>
          <cell r="G419">
            <v>385665</v>
          </cell>
          <cell r="I419">
            <v>4904900</v>
          </cell>
          <cell r="J419">
            <v>25</v>
          </cell>
        </row>
        <row r="420">
          <cell r="C420">
            <v>51380</v>
          </cell>
          <cell r="D420">
            <v>0</v>
          </cell>
          <cell r="E420">
            <v>0</v>
          </cell>
          <cell r="F420">
            <v>7075440.0867772866</v>
          </cell>
          <cell r="G420">
            <v>385665</v>
          </cell>
          <cell r="I420">
            <v>6689800</v>
          </cell>
          <cell r="J420">
            <v>25</v>
          </cell>
        </row>
        <row r="421">
          <cell r="C421">
            <v>51349</v>
          </cell>
          <cell r="D421">
            <v>0</v>
          </cell>
          <cell r="E421">
            <v>0</v>
          </cell>
          <cell r="F421">
            <v>5150814.3788252128</v>
          </cell>
          <cell r="I421">
            <v>5150800</v>
          </cell>
          <cell r="J421">
            <v>24</v>
          </cell>
        </row>
        <row r="422">
          <cell r="C422">
            <v>50858</v>
          </cell>
          <cell r="F422">
            <v>7821342.641757655</v>
          </cell>
          <cell r="G422">
            <v>385665</v>
          </cell>
          <cell r="I422">
            <v>7435700</v>
          </cell>
          <cell r="J422">
            <v>26</v>
          </cell>
        </row>
        <row r="423">
          <cell r="C423">
            <v>50034</v>
          </cell>
          <cell r="D423">
            <v>0</v>
          </cell>
          <cell r="E423">
            <v>0</v>
          </cell>
          <cell r="F423">
            <v>6051065.5324471593</v>
          </cell>
          <cell r="G423">
            <v>385665</v>
          </cell>
          <cell r="I423">
            <v>5665400</v>
          </cell>
          <cell r="J423">
            <v>25.5</v>
          </cell>
        </row>
        <row r="424">
          <cell r="C424">
            <v>50079</v>
          </cell>
          <cell r="F424">
            <v>7928406.3837711457</v>
          </cell>
          <cell r="G424">
            <v>385665</v>
          </cell>
          <cell r="I424">
            <v>7542700</v>
          </cell>
          <cell r="J424">
            <v>26</v>
          </cell>
        </row>
        <row r="425">
          <cell r="C425">
            <v>50005</v>
          </cell>
          <cell r="F425">
            <v>2000000</v>
          </cell>
          <cell r="I425">
            <v>2000000</v>
          </cell>
        </row>
        <row r="426">
          <cell r="C426">
            <v>50874</v>
          </cell>
          <cell r="D426">
            <v>79848.994776344611</v>
          </cell>
          <cell r="E426">
            <v>0</v>
          </cell>
          <cell r="F426">
            <v>1262015.5484928861</v>
          </cell>
          <cell r="G426">
            <v>0</v>
          </cell>
          <cell r="I426">
            <v>1262000</v>
          </cell>
          <cell r="J426">
            <v>7</v>
          </cell>
        </row>
        <row r="427">
          <cell r="C427">
            <v>50386</v>
          </cell>
          <cell r="D427">
            <v>0</v>
          </cell>
          <cell r="E427">
            <v>0</v>
          </cell>
          <cell r="F427">
            <v>7044218.2066057138</v>
          </cell>
          <cell r="G427">
            <v>385665</v>
          </cell>
          <cell r="I427">
            <v>6658600</v>
          </cell>
          <cell r="J427">
            <v>25</v>
          </cell>
        </row>
        <row r="428">
          <cell r="C428">
            <v>50645</v>
          </cell>
          <cell r="D428">
            <v>0</v>
          </cell>
          <cell r="E428">
            <v>0</v>
          </cell>
          <cell r="F428">
            <v>5890778.6311487267</v>
          </cell>
          <cell r="G428">
            <v>385665</v>
          </cell>
          <cell r="I428">
            <v>5505100</v>
          </cell>
          <cell r="J428">
            <v>26</v>
          </cell>
        </row>
        <row r="429">
          <cell r="C429">
            <v>50518</v>
          </cell>
          <cell r="D429">
            <v>0</v>
          </cell>
          <cell r="E429">
            <v>0</v>
          </cell>
          <cell r="F429">
            <v>8049042.2094708811</v>
          </cell>
          <cell r="G429">
            <v>385665</v>
          </cell>
          <cell r="I429">
            <v>7663400</v>
          </cell>
          <cell r="J429">
            <v>25.5</v>
          </cell>
        </row>
        <row r="430">
          <cell r="C430">
            <v>50832</v>
          </cell>
          <cell r="D430">
            <v>0</v>
          </cell>
          <cell r="E430">
            <v>0</v>
          </cell>
          <cell r="F430">
            <v>7486635.1449020486</v>
          </cell>
          <cell r="G430">
            <v>385665</v>
          </cell>
          <cell r="I430">
            <v>7101000</v>
          </cell>
          <cell r="J430">
            <v>26</v>
          </cell>
        </row>
        <row r="431">
          <cell r="C431">
            <v>50786</v>
          </cell>
          <cell r="D431">
            <v>0</v>
          </cell>
          <cell r="E431">
            <v>0</v>
          </cell>
          <cell r="F431">
            <v>7156693.6949707922</v>
          </cell>
          <cell r="G431">
            <v>385665</v>
          </cell>
          <cell r="I431">
            <v>6771000</v>
          </cell>
          <cell r="J431">
            <v>25.5</v>
          </cell>
        </row>
        <row r="432">
          <cell r="C432">
            <v>50804</v>
          </cell>
          <cell r="D432">
            <v>0</v>
          </cell>
          <cell r="E432">
            <v>0</v>
          </cell>
          <cell r="F432">
            <v>6933285.1455782503</v>
          </cell>
          <cell r="G432">
            <v>385665</v>
          </cell>
          <cell r="I432">
            <v>6547600</v>
          </cell>
          <cell r="J432">
            <v>24</v>
          </cell>
        </row>
        <row r="433">
          <cell r="C433">
            <v>50947</v>
          </cell>
          <cell r="D433">
            <v>0</v>
          </cell>
          <cell r="E433">
            <v>0</v>
          </cell>
          <cell r="F433">
            <v>6054421.2529804595</v>
          </cell>
          <cell r="G433">
            <v>385665</v>
          </cell>
          <cell r="I433">
            <v>5668800</v>
          </cell>
          <cell r="J433">
            <v>23</v>
          </cell>
        </row>
        <row r="434">
          <cell r="C434">
            <v>50889</v>
          </cell>
          <cell r="D434">
            <v>0</v>
          </cell>
          <cell r="E434">
            <v>0</v>
          </cell>
          <cell r="F434">
            <v>6892596.6597203417</v>
          </cell>
          <cell r="G434">
            <v>385665</v>
          </cell>
          <cell r="I434">
            <v>6506900</v>
          </cell>
          <cell r="J434">
            <v>22.5</v>
          </cell>
        </row>
        <row r="435">
          <cell r="C435">
            <v>51125</v>
          </cell>
          <cell r="D435">
            <v>0</v>
          </cell>
          <cell r="E435">
            <v>0</v>
          </cell>
          <cell r="F435">
            <v>3687422.3367948718</v>
          </cell>
          <cell r="G435">
            <v>385665</v>
          </cell>
          <cell r="I435">
            <v>3301800</v>
          </cell>
          <cell r="J435">
            <v>14</v>
          </cell>
        </row>
        <row r="436">
          <cell r="C436">
            <v>51440</v>
          </cell>
          <cell r="D436">
            <v>0</v>
          </cell>
          <cell r="E436">
            <v>0</v>
          </cell>
          <cell r="F436">
            <v>7335427.0809305431</v>
          </cell>
          <cell r="G436">
            <v>385665</v>
          </cell>
          <cell r="I436">
            <v>6949800</v>
          </cell>
          <cell r="J436">
            <v>25</v>
          </cell>
        </row>
        <row r="437">
          <cell r="C437">
            <v>51244</v>
          </cell>
          <cell r="D437">
            <v>0</v>
          </cell>
          <cell r="E437">
            <v>0</v>
          </cell>
          <cell r="F437">
            <v>3085541.0392804891</v>
          </cell>
          <cell r="G437">
            <v>385665</v>
          </cell>
          <cell r="I437">
            <v>2699900</v>
          </cell>
          <cell r="J437">
            <v>15.5</v>
          </cell>
        </row>
        <row r="438">
          <cell r="C438">
            <v>51293</v>
          </cell>
          <cell r="D438">
            <v>0</v>
          </cell>
          <cell r="E438">
            <v>0</v>
          </cell>
          <cell r="F438">
            <v>6273942.9509872058</v>
          </cell>
          <cell r="I438">
            <v>6273900</v>
          </cell>
          <cell r="J438">
            <v>25</v>
          </cell>
        </row>
        <row r="439">
          <cell r="C439">
            <v>51273</v>
          </cell>
          <cell r="D439">
            <v>0</v>
          </cell>
          <cell r="E439">
            <v>0</v>
          </cell>
          <cell r="F439">
            <v>6514290.8666248946</v>
          </cell>
          <cell r="G439">
            <v>385665</v>
          </cell>
          <cell r="I439">
            <v>6128600</v>
          </cell>
          <cell r="J439">
            <v>25</v>
          </cell>
        </row>
        <row r="440">
          <cell r="C440">
            <v>51352</v>
          </cell>
          <cell r="D440">
            <v>0</v>
          </cell>
          <cell r="E440">
            <v>0</v>
          </cell>
          <cell r="F440">
            <v>6439412.207726893</v>
          </cell>
          <cell r="G440">
            <v>385665</v>
          </cell>
          <cell r="I440">
            <v>6053700</v>
          </cell>
          <cell r="J440">
            <v>25</v>
          </cell>
        </row>
        <row r="441">
          <cell r="C441">
            <v>51302</v>
          </cell>
          <cell r="D441">
            <v>0</v>
          </cell>
          <cell r="E441">
            <v>0</v>
          </cell>
          <cell r="F441">
            <v>5669762.1852412121</v>
          </cell>
          <cell r="I441">
            <v>5669800</v>
          </cell>
          <cell r="J441">
            <v>24.5</v>
          </cell>
        </row>
        <row r="442">
          <cell r="C442">
            <v>51336</v>
          </cell>
          <cell r="D442">
            <v>47343.687730604608</v>
          </cell>
          <cell r="E442">
            <v>0</v>
          </cell>
          <cell r="F442">
            <v>2177433.6055386262</v>
          </cell>
          <cell r="G442">
            <v>0</v>
          </cell>
          <cell r="I442">
            <v>2177400</v>
          </cell>
          <cell r="J442">
            <v>10</v>
          </cell>
        </row>
        <row r="443">
          <cell r="C443">
            <v>50063</v>
          </cell>
          <cell r="D443">
            <v>0</v>
          </cell>
          <cell r="E443">
            <v>0</v>
          </cell>
          <cell r="F443">
            <v>6418027.720242572</v>
          </cell>
          <cell r="G443">
            <v>385665</v>
          </cell>
          <cell r="I443">
            <v>6032400</v>
          </cell>
          <cell r="J443">
            <v>24.5</v>
          </cell>
        </row>
        <row r="444">
          <cell r="C444">
            <v>50252</v>
          </cell>
          <cell r="D444">
            <v>0</v>
          </cell>
          <cell r="E444">
            <v>0</v>
          </cell>
          <cell r="F444">
            <v>6342736.5133126695</v>
          </cell>
          <cell r="G444">
            <v>385665</v>
          </cell>
          <cell r="I444">
            <v>5957100</v>
          </cell>
          <cell r="J444">
            <v>25.5</v>
          </cell>
        </row>
        <row r="445">
          <cell r="C445">
            <v>50010</v>
          </cell>
          <cell r="F445">
            <v>8281882.5239528921</v>
          </cell>
          <cell r="G445">
            <v>385665</v>
          </cell>
          <cell r="I445">
            <v>7896200</v>
          </cell>
          <cell r="J445">
            <v>24</v>
          </cell>
        </row>
        <row r="446">
          <cell r="C446">
            <v>50014</v>
          </cell>
          <cell r="D446">
            <v>0</v>
          </cell>
          <cell r="E446">
            <v>375000</v>
          </cell>
          <cell r="F446">
            <v>7356693.6866997257</v>
          </cell>
          <cell r="G446">
            <v>385665</v>
          </cell>
          <cell r="I446">
            <v>6971000</v>
          </cell>
          <cell r="J446">
            <v>25</v>
          </cell>
        </row>
        <row r="447">
          <cell r="C447">
            <v>50033</v>
          </cell>
          <cell r="D447">
            <v>0</v>
          </cell>
          <cell r="E447">
            <v>0</v>
          </cell>
          <cell r="F447">
            <v>8930083.5693141185</v>
          </cell>
          <cell r="G447">
            <v>385665</v>
          </cell>
          <cell r="I447">
            <v>8544400</v>
          </cell>
          <cell r="J447">
            <v>26</v>
          </cell>
        </row>
        <row r="448">
          <cell r="C448">
            <v>50468</v>
          </cell>
          <cell r="F448">
            <v>7340125</v>
          </cell>
          <cell r="G448">
            <v>365000</v>
          </cell>
          <cell r="I448">
            <v>6975100</v>
          </cell>
          <cell r="J448">
            <v>31</v>
          </cell>
        </row>
        <row r="449">
          <cell r="C449">
            <v>50148</v>
          </cell>
          <cell r="D449">
            <v>0</v>
          </cell>
          <cell r="E449">
            <v>0</v>
          </cell>
          <cell r="F449">
            <v>6286886.7540910169</v>
          </cell>
          <cell r="G449">
            <v>385665</v>
          </cell>
          <cell r="I449">
            <v>5901200</v>
          </cell>
          <cell r="J449">
            <v>25</v>
          </cell>
        </row>
        <row r="450">
          <cell r="C450">
            <v>50565</v>
          </cell>
          <cell r="F450">
            <v>7988870.4934330024</v>
          </cell>
          <cell r="G450">
            <v>385665</v>
          </cell>
          <cell r="I450">
            <v>7603200</v>
          </cell>
          <cell r="J450">
            <v>25</v>
          </cell>
        </row>
        <row r="451">
          <cell r="C451">
            <v>50842</v>
          </cell>
          <cell r="F451">
            <v>7406798.8755378826</v>
          </cell>
          <cell r="G451">
            <v>385665</v>
          </cell>
          <cell r="I451">
            <v>7021100</v>
          </cell>
          <cell r="J451">
            <v>24</v>
          </cell>
        </row>
        <row r="452">
          <cell r="C452">
            <v>51082</v>
          </cell>
          <cell r="D452">
            <v>101172.41249971662</v>
          </cell>
          <cell r="E452">
            <v>0</v>
          </cell>
          <cell r="F452">
            <v>4455215.9480772065</v>
          </cell>
          <cell r="G452">
            <v>385665</v>
          </cell>
          <cell r="I452">
            <v>4069600</v>
          </cell>
          <cell r="J452">
            <v>22</v>
          </cell>
        </row>
        <row r="453">
          <cell r="C453">
            <v>50564</v>
          </cell>
          <cell r="F453">
            <v>8665736.2711106222</v>
          </cell>
          <cell r="G453">
            <v>385665</v>
          </cell>
          <cell r="I453">
            <v>8280100</v>
          </cell>
          <cell r="J453">
            <v>26</v>
          </cell>
        </row>
        <row r="454">
          <cell r="C454">
            <v>50948</v>
          </cell>
          <cell r="D454">
            <v>0</v>
          </cell>
          <cell r="E454">
            <v>0</v>
          </cell>
          <cell r="F454">
            <v>7843862.2458499046</v>
          </cell>
          <cell r="G454">
            <v>385665</v>
          </cell>
          <cell r="I454">
            <v>7458200</v>
          </cell>
          <cell r="J454">
            <v>26</v>
          </cell>
        </row>
        <row r="455">
          <cell r="C455">
            <v>51085</v>
          </cell>
          <cell r="D455">
            <v>0</v>
          </cell>
          <cell r="E455">
            <v>0</v>
          </cell>
          <cell r="F455">
            <v>6605330.1071722973</v>
          </cell>
          <cell r="G455">
            <v>385665</v>
          </cell>
          <cell r="I455">
            <v>6219700</v>
          </cell>
          <cell r="J455">
            <v>26</v>
          </cell>
        </row>
        <row r="456">
          <cell r="C456">
            <v>50868</v>
          </cell>
          <cell r="F456">
            <v>7373155.8641181588</v>
          </cell>
          <cell r="G456">
            <v>385665</v>
          </cell>
          <cell r="I456">
            <v>6987500</v>
          </cell>
          <cell r="J456">
            <v>26</v>
          </cell>
        </row>
        <row r="457">
          <cell r="C457">
            <v>51156</v>
          </cell>
          <cell r="D457">
            <v>0</v>
          </cell>
          <cell r="E457">
            <v>0</v>
          </cell>
          <cell r="F457">
            <v>6532323.5258968258</v>
          </cell>
          <cell r="G457">
            <v>385665</v>
          </cell>
          <cell r="I457">
            <v>6146700</v>
          </cell>
          <cell r="J457">
            <v>25</v>
          </cell>
        </row>
        <row r="458">
          <cell r="C458">
            <v>50741</v>
          </cell>
          <cell r="D458">
            <v>0</v>
          </cell>
          <cell r="E458">
            <v>0</v>
          </cell>
          <cell r="F458">
            <v>8707069.8206129707</v>
          </cell>
          <cell r="G458">
            <v>385665</v>
          </cell>
          <cell r="I458">
            <v>8321400</v>
          </cell>
          <cell r="J458">
            <v>24.5</v>
          </cell>
        </row>
        <row r="459">
          <cell r="C459">
            <v>51191</v>
          </cell>
          <cell r="D459">
            <v>131876.19795429194</v>
          </cell>
          <cell r="E459">
            <v>0</v>
          </cell>
          <cell r="F459">
            <v>5639529.3405072466</v>
          </cell>
          <cell r="G459">
            <v>385665</v>
          </cell>
          <cell r="I459">
            <v>5253900</v>
          </cell>
          <cell r="J459">
            <v>25</v>
          </cell>
        </row>
        <row r="460">
          <cell r="C460">
            <v>51220</v>
          </cell>
          <cell r="D460">
            <v>0</v>
          </cell>
          <cell r="E460">
            <v>0</v>
          </cell>
          <cell r="F460">
            <v>6112452.3266812535</v>
          </cell>
          <cell r="G460">
            <v>385665</v>
          </cell>
          <cell r="I460">
            <v>5726800</v>
          </cell>
          <cell r="J460">
            <v>24</v>
          </cell>
        </row>
        <row r="461">
          <cell r="C461">
            <v>51601</v>
          </cell>
          <cell r="D461">
            <v>206909.63398249599</v>
          </cell>
          <cell r="E461">
            <v>0</v>
          </cell>
          <cell r="F461">
            <v>1987533.1544790422</v>
          </cell>
          <cell r="G461">
            <v>0</v>
          </cell>
          <cell r="I461">
            <v>1987500</v>
          </cell>
          <cell r="J461">
            <v>8</v>
          </cell>
        </row>
        <row r="462">
          <cell r="C462">
            <v>51209</v>
          </cell>
          <cell r="D462">
            <v>82569.083293564967</v>
          </cell>
          <cell r="E462">
            <v>0</v>
          </cell>
          <cell r="F462">
            <v>5954431.6474756654</v>
          </cell>
          <cell r="G462">
            <v>385665</v>
          </cell>
          <cell r="I462">
            <v>5568800</v>
          </cell>
          <cell r="J462">
            <v>25</v>
          </cell>
        </row>
        <row r="463">
          <cell r="C463">
            <v>50945</v>
          </cell>
          <cell r="F463">
            <v>7929797.3761055693</v>
          </cell>
          <cell r="G463">
            <v>385665</v>
          </cell>
          <cell r="I463">
            <v>7544100</v>
          </cell>
          <cell r="J463">
            <v>25</v>
          </cell>
        </row>
        <row r="464">
          <cell r="C464">
            <v>10125</v>
          </cell>
          <cell r="D464">
            <v>21800.030184605857</v>
          </cell>
          <cell r="E464">
            <v>0</v>
          </cell>
          <cell r="F464">
            <v>5026788.1909692409</v>
          </cell>
          <cell r="I464">
            <v>5026800</v>
          </cell>
          <cell r="J464">
            <v>25</v>
          </cell>
        </row>
        <row r="465">
          <cell r="C465">
            <v>51274</v>
          </cell>
          <cell r="D465">
            <v>92278.873605262837</v>
          </cell>
          <cell r="E465">
            <v>0</v>
          </cell>
          <cell r="F465">
            <v>5262124.0302408915</v>
          </cell>
          <cell r="G465">
            <v>385665</v>
          </cell>
          <cell r="I465">
            <v>4876500</v>
          </cell>
          <cell r="J465">
            <v>24</v>
          </cell>
        </row>
        <row r="466">
          <cell r="C466">
            <v>51354</v>
          </cell>
          <cell r="D466">
            <v>38359.820593697601</v>
          </cell>
          <cell r="E466">
            <v>0</v>
          </cell>
          <cell r="F466">
            <v>5520954.842867841</v>
          </cell>
          <cell r="G466">
            <v>385665</v>
          </cell>
          <cell r="I466">
            <v>5135300</v>
          </cell>
          <cell r="J466">
            <v>26</v>
          </cell>
        </row>
        <row r="467">
          <cell r="C467">
            <v>10129</v>
          </cell>
          <cell r="D467">
            <v>0</v>
          </cell>
          <cell r="E467">
            <v>0</v>
          </cell>
          <cell r="F467">
            <v>2708681.9440769237</v>
          </cell>
          <cell r="I467">
            <v>2708700</v>
          </cell>
          <cell r="J467">
            <v>18</v>
          </cell>
        </row>
        <row r="468">
          <cell r="C468">
            <v>50286</v>
          </cell>
          <cell r="F468">
            <v>11398173.076923076</v>
          </cell>
          <cell r="G468">
            <v>385665</v>
          </cell>
          <cell r="I468">
            <v>11012508.076923076</v>
          </cell>
          <cell r="J468">
            <v>23.5</v>
          </cell>
        </row>
        <row r="469">
          <cell r="C469">
            <v>50008</v>
          </cell>
          <cell r="D469">
            <v>0</v>
          </cell>
          <cell r="E469">
            <v>0</v>
          </cell>
          <cell r="F469">
            <v>6353966.3516142806</v>
          </cell>
          <cell r="G469">
            <v>385665</v>
          </cell>
          <cell r="I469">
            <v>5968300</v>
          </cell>
          <cell r="J469">
            <v>23</v>
          </cell>
        </row>
        <row r="470">
          <cell r="C470">
            <v>50027</v>
          </cell>
          <cell r="D470">
            <v>0</v>
          </cell>
          <cell r="E470">
            <v>0</v>
          </cell>
          <cell r="F470">
            <v>6657712.5112831723</v>
          </cell>
          <cell r="G470">
            <v>385665</v>
          </cell>
          <cell r="I470">
            <v>6272000</v>
          </cell>
          <cell r="J470">
            <v>25</v>
          </cell>
        </row>
        <row r="471">
          <cell r="C471">
            <v>50029</v>
          </cell>
          <cell r="D471">
            <v>0</v>
          </cell>
          <cell r="E471">
            <v>0</v>
          </cell>
          <cell r="F471">
            <v>5453576.7184018167</v>
          </cell>
          <cell r="G471">
            <v>385665</v>
          </cell>
          <cell r="I471">
            <v>5067900</v>
          </cell>
          <cell r="J471">
            <v>22.5</v>
          </cell>
        </row>
        <row r="472">
          <cell r="C472">
            <v>50047</v>
          </cell>
          <cell r="F472">
            <v>8694361.5606759787</v>
          </cell>
          <cell r="G472">
            <v>385665</v>
          </cell>
          <cell r="I472">
            <v>8308700</v>
          </cell>
          <cell r="J472">
            <v>26</v>
          </cell>
        </row>
        <row r="473">
          <cell r="C473">
            <v>51048</v>
          </cell>
          <cell r="D473">
            <v>0</v>
          </cell>
          <cell r="E473">
            <v>0</v>
          </cell>
          <cell r="F473">
            <v>6094230.8009322919</v>
          </cell>
          <cell r="G473">
            <v>385665</v>
          </cell>
          <cell r="I473">
            <v>5708600</v>
          </cell>
          <cell r="J473">
            <v>25</v>
          </cell>
        </row>
        <row r="474">
          <cell r="C474">
            <v>50389</v>
          </cell>
          <cell r="D474">
            <v>0</v>
          </cell>
          <cell r="E474">
            <v>0</v>
          </cell>
          <cell r="F474">
            <v>8223086.4647921147</v>
          </cell>
          <cell r="G474">
            <v>385665</v>
          </cell>
          <cell r="I474">
            <v>7837400</v>
          </cell>
          <cell r="J474">
            <v>26</v>
          </cell>
        </row>
        <row r="475">
          <cell r="C475">
            <v>50098</v>
          </cell>
          <cell r="F475">
            <v>6330148.4476663964</v>
          </cell>
          <cell r="G475">
            <v>385665</v>
          </cell>
          <cell r="I475">
            <v>5944500</v>
          </cell>
          <cell r="J475">
            <v>22</v>
          </cell>
        </row>
        <row r="476">
          <cell r="C476">
            <v>50130</v>
          </cell>
          <cell r="D476">
            <v>0</v>
          </cell>
          <cell r="E476">
            <v>0</v>
          </cell>
          <cell r="F476">
            <v>8179986.7353028851</v>
          </cell>
          <cell r="G476">
            <v>385665</v>
          </cell>
          <cell r="I476">
            <v>7794300</v>
          </cell>
          <cell r="J476">
            <v>25</v>
          </cell>
        </row>
        <row r="477">
          <cell r="C477">
            <v>50138</v>
          </cell>
          <cell r="D477">
            <v>0</v>
          </cell>
          <cell r="E477">
            <v>0</v>
          </cell>
          <cell r="F477">
            <v>7829034.2810076494</v>
          </cell>
          <cell r="G477">
            <v>385665</v>
          </cell>
          <cell r="I477">
            <v>7443400</v>
          </cell>
          <cell r="J477">
            <v>25.5</v>
          </cell>
        </row>
        <row r="478">
          <cell r="C478">
            <v>50719</v>
          </cell>
          <cell r="D478">
            <v>0</v>
          </cell>
          <cell r="E478">
            <v>0</v>
          </cell>
          <cell r="F478">
            <v>7615952.2737310231</v>
          </cell>
          <cell r="G478">
            <v>385665</v>
          </cell>
          <cell r="I478">
            <v>7230300</v>
          </cell>
          <cell r="J478">
            <v>26</v>
          </cell>
        </row>
        <row r="479">
          <cell r="C479">
            <v>50761</v>
          </cell>
          <cell r="D479">
            <v>0</v>
          </cell>
          <cell r="E479">
            <v>0</v>
          </cell>
          <cell r="F479">
            <v>8760757.632211538</v>
          </cell>
          <cell r="G479">
            <v>385665</v>
          </cell>
          <cell r="H479"/>
          <cell r="I479">
            <v>8375100</v>
          </cell>
          <cell r="J479">
            <v>27</v>
          </cell>
        </row>
        <row r="480">
          <cell r="C480">
            <v>50840</v>
          </cell>
          <cell r="D480">
            <v>0</v>
          </cell>
          <cell r="E480">
            <v>0</v>
          </cell>
          <cell r="F480">
            <v>7326529.3823246574</v>
          </cell>
          <cell r="G480">
            <v>385665</v>
          </cell>
          <cell r="I480">
            <v>6940900</v>
          </cell>
          <cell r="J480">
            <v>25</v>
          </cell>
        </row>
        <row r="481">
          <cell r="C481">
            <v>50105</v>
          </cell>
          <cell r="F481">
            <v>8529837.5956071671</v>
          </cell>
          <cell r="G481">
            <v>385665</v>
          </cell>
          <cell r="I481">
            <v>8144200</v>
          </cell>
          <cell r="J481">
            <v>25</v>
          </cell>
        </row>
        <row r="482">
          <cell r="C482">
            <v>51043</v>
          </cell>
          <cell r="F482">
            <v>6592081.5258974349</v>
          </cell>
          <cell r="G482">
            <v>385665</v>
          </cell>
          <cell r="I482">
            <v>6206400</v>
          </cell>
          <cell r="J482">
            <v>24.5</v>
          </cell>
        </row>
        <row r="483">
          <cell r="C483">
            <v>50892</v>
          </cell>
          <cell r="D483">
            <v>0</v>
          </cell>
          <cell r="E483">
            <v>0</v>
          </cell>
          <cell r="F483">
            <v>7408237.4090134772</v>
          </cell>
          <cell r="G483">
            <v>385665</v>
          </cell>
          <cell r="I483">
            <v>7022600</v>
          </cell>
          <cell r="J483">
            <v>25</v>
          </cell>
        </row>
        <row r="484">
          <cell r="C484">
            <v>51104</v>
          </cell>
          <cell r="D484">
            <v>0</v>
          </cell>
          <cell r="E484">
            <v>0</v>
          </cell>
          <cell r="F484">
            <v>8927341.165799208</v>
          </cell>
          <cell r="G484">
            <v>385665</v>
          </cell>
          <cell r="I484">
            <v>8541700</v>
          </cell>
          <cell r="J484">
            <v>24</v>
          </cell>
        </row>
        <row r="485">
          <cell r="C485">
            <v>50813</v>
          </cell>
          <cell r="F485">
            <v>7680360.576923077</v>
          </cell>
          <cell r="G485">
            <v>365190</v>
          </cell>
          <cell r="I485">
            <v>7315200</v>
          </cell>
          <cell r="J485">
            <v>26</v>
          </cell>
        </row>
        <row r="486">
          <cell r="C486">
            <v>50551</v>
          </cell>
          <cell r="D486">
            <v>0</v>
          </cell>
          <cell r="E486">
            <v>0</v>
          </cell>
          <cell r="F486">
            <v>6321346.4413640983</v>
          </cell>
          <cell r="G486">
            <v>385665</v>
          </cell>
          <cell r="I486">
            <v>5935700</v>
          </cell>
          <cell r="J486">
            <v>25</v>
          </cell>
        </row>
        <row r="487">
          <cell r="C487">
            <v>51259</v>
          </cell>
          <cell r="F487">
            <v>6759770.0426541166</v>
          </cell>
          <cell r="G487">
            <v>385665</v>
          </cell>
          <cell r="I487">
            <v>6374100</v>
          </cell>
          <cell r="J487">
            <v>23.5</v>
          </cell>
        </row>
        <row r="488">
          <cell r="C488">
            <v>51076</v>
          </cell>
          <cell r="D488">
            <v>0</v>
          </cell>
          <cell r="E488">
            <v>0</v>
          </cell>
          <cell r="F488">
            <v>6551016.9836199405</v>
          </cell>
          <cell r="G488">
            <v>385665</v>
          </cell>
          <cell r="I488">
            <v>6165400</v>
          </cell>
          <cell r="J488">
            <v>26</v>
          </cell>
        </row>
        <row r="489">
          <cell r="C489">
            <v>51235</v>
          </cell>
          <cell r="D489">
            <v>0</v>
          </cell>
          <cell r="E489">
            <v>0</v>
          </cell>
          <cell r="F489">
            <v>6371146.0191602847</v>
          </cell>
          <cell r="G489">
            <v>385665</v>
          </cell>
          <cell r="I489">
            <v>5985500</v>
          </cell>
          <cell r="J489">
            <v>25</v>
          </cell>
        </row>
        <row r="490">
          <cell r="C490">
            <v>51251</v>
          </cell>
          <cell r="D490">
            <v>0</v>
          </cell>
          <cell r="E490">
            <v>0</v>
          </cell>
          <cell r="F490">
            <v>5681421.8303524647</v>
          </cell>
          <cell r="G490">
            <v>385665</v>
          </cell>
          <cell r="I490">
            <v>5295800</v>
          </cell>
          <cell r="J490">
            <v>24.5</v>
          </cell>
        </row>
        <row r="491">
          <cell r="C491">
            <v>51239</v>
          </cell>
          <cell r="D491">
            <v>0</v>
          </cell>
          <cell r="E491">
            <v>0</v>
          </cell>
          <cell r="F491">
            <v>6618471.0421185922</v>
          </cell>
          <cell r="G491">
            <v>385665</v>
          </cell>
          <cell r="I491">
            <v>6232800</v>
          </cell>
          <cell r="J491">
            <v>23.5</v>
          </cell>
        </row>
        <row r="492">
          <cell r="C492">
            <v>51234</v>
          </cell>
          <cell r="D492">
            <v>0</v>
          </cell>
          <cell r="E492">
            <v>0</v>
          </cell>
          <cell r="F492">
            <v>5594667.8324946482</v>
          </cell>
          <cell r="G492">
            <v>385665</v>
          </cell>
          <cell r="I492">
            <v>5209000</v>
          </cell>
          <cell r="J492">
            <v>24.5</v>
          </cell>
        </row>
        <row r="493">
          <cell r="C493">
            <v>51062</v>
          </cell>
          <cell r="D493">
            <v>0</v>
          </cell>
          <cell r="E493">
            <v>0</v>
          </cell>
          <cell r="F493">
            <v>6860030.7781756287</v>
          </cell>
          <cell r="G493">
            <v>385665</v>
          </cell>
          <cell r="I493">
            <v>6474400</v>
          </cell>
          <cell r="J493">
            <v>25</v>
          </cell>
        </row>
        <row r="494">
          <cell r="C494">
            <v>51255</v>
          </cell>
          <cell r="D494">
            <v>0</v>
          </cell>
          <cell r="E494">
            <v>0</v>
          </cell>
          <cell r="F494">
            <v>6168163.1641239049</v>
          </cell>
          <cell r="G494">
            <v>385665</v>
          </cell>
          <cell r="I494">
            <v>5782500</v>
          </cell>
          <cell r="J494">
            <v>23</v>
          </cell>
        </row>
        <row r="495">
          <cell r="C495">
            <v>51320</v>
          </cell>
          <cell r="D495">
            <v>0</v>
          </cell>
          <cell r="E495">
            <v>0</v>
          </cell>
          <cell r="F495">
            <v>7071263.2923188591</v>
          </cell>
          <cell r="G495">
            <v>385665</v>
          </cell>
          <cell r="I495">
            <v>6685600</v>
          </cell>
          <cell r="J495">
            <v>25</v>
          </cell>
        </row>
        <row r="498">
          <cell r="F498">
            <v>2843931536.0195751</v>
          </cell>
          <cell r="G498">
            <v>126338915</v>
          </cell>
          <cell r="H498">
            <v>0</v>
          </cell>
          <cell r="I498">
            <v>2717591886.5949259</v>
          </cell>
        </row>
        <row r="516">
          <cell r="J516"/>
        </row>
        <row r="534">
          <cell r="J534"/>
        </row>
        <row r="535">
          <cell r="J535"/>
        </row>
        <row r="536">
          <cell r="J536"/>
        </row>
        <row r="537">
          <cell r="J537"/>
        </row>
        <row r="538">
          <cell r="J538"/>
        </row>
        <row r="539">
          <cell r="J539"/>
        </row>
        <row r="540">
          <cell r="J540"/>
        </row>
        <row r="541">
          <cell r="J541"/>
        </row>
        <row r="542">
          <cell r="J542"/>
        </row>
        <row r="543">
          <cell r="J543"/>
        </row>
        <row r="544">
          <cell r="J544"/>
        </row>
        <row r="545">
          <cell r="J545"/>
        </row>
        <row r="546">
          <cell r="F546"/>
          <cell r="G546"/>
          <cell r="H546"/>
          <cell r="I546"/>
          <cell r="J546"/>
        </row>
        <row r="562">
          <cell r="F562"/>
          <cell r="G562"/>
          <cell r="H562"/>
          <cell r="I562"/>
          <cell r="J562"/>
        </row>
        <row r="603">
          <cell r="E603">
            <v>0</v>
          </cell>
          <cell r="F603"/>
          <cell r="G603"/>
          <cell r="H603"/>
          <cell r="I603"/>
        </row>
        <row r="647">
          <cell r="J647"/>
        </row>
        <row r="681">
          <cell r="F681"/>
          <cell r="G681"/>
          <cell r="H681"/>
          <cell r="I681"/>
          <cell r="J681"/>
        </row>
        <row r="707">
          <cell r="J707"/>
        </row>
        <row r="754">
          <cell r="J754"/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"/>
      <sheetName val="10000000"/>
      <sheetName val="He so"/>
      <sheetName val="Bang TH nop"/>
      <sheetName val="LUONG T06"/>
      <sheetName val="Phieu lương"/>
      <sheetName val="CĐ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71"/>
  <sheetViews>
    <sheetView zoomScale="70" workbookViewId="0">
      <pane xSplit="3" ySplit="6" topLeftCell="J8" activePane="bottomRight" state="frozen"/>
      <selection pane="topRight"/>
      <selection pane="bottomLeft"/>
      <selection pane="bottomRight" activeCell="X11" sqref="X11"/>
    </sheetView>
  </sheetViews>
  <sheetFormatPr defaultColWidth="8.7109375" defaultRowHeight="18" customHeight="1"/>
  <cols>
    <col min="1" max="1" width="4.140625" style="1" customWidth="1"/>
    <col min="2" max="2" width="24" style="1" customWidth="1"/>
    <col min="3" max="3" width="12" style="1" customWidth="1"/>
    <col min="4" max="4" width="12.42578125" style="137" bestFit="1" customWidth="1"/>
    <col min="5" max="5" width="12.42578125" style="7" bestFit="1" customWidth="1"/>
    <col min="6" max="6" width="13.5703125" style="7" customWidth="1"/>
    <col min="7" max="15" width="11.42578125" style="7" customWidth="1"/>
    <col min="16" max="16" width="14.28515625" style="7" bestFit="1" customWidth="1"/>
    <col min="17" max="209" width="9.140625" style="1" bestFit="1" customWidth="1"/>
    <col min="210" max="213" width="8.7109375" style="1"/>
    <col min="214" max="214" width="4.140625" style="1" customWidth="1"/>
    <col min="215" max="215" width="24" style="1" customWidth="1"/>
    <col min="216" max="216" width="9" style="1" customWidth="1"/>
    <col min="217" max="217" width="16.28515625" style="1" customWidth="1"/>
    <col min="218" max="218" width="12" style="1" customWidth="1"/>
    <col min="219" max="219" width="17.140625" style="1" customWidth="1"/>
    <col min="220" max="220" width="13.85546875" style="1" customWidth="1"/>
    <col min="221" max="221" width="19.28515625" style="1" customWidth="1"/>
    <col min="222" max="222" width="19.5703125" style="1" bestFit="1" customWidth="1"/>
    <col min="223" max="250" width="0" style="1" hidden="1" customWidth="1"/>
    <col min="251" max="251" width="12.42578125" style="1" bestFit="1" customWidth="1"/>
    <col min="252" max="269" width="11.42578125" style="1" customWidth="1"/>
    <col min="270" max="465" width="9.140625" style="1" bestFit="1" customWidth="1"/>
    <col min="466" max="469" width="8.7109375" style="1"/>
    <col min="470" max="470" width="4.140625" style="1" customWidth="1"/>
    <col min="471" max="471" width="24" style="1" customWidth="1"/>
    <col min="472" max="472" width="9" style="1" customWidth="1"/>
    <col min="473" max="473" width="16.28515625" style="1" customWidth="1"/>
    <col min="474" max="474" width="12" style="1" customWidth="1"/>
    <col min="475" max="475" width="17.140625" style="1" customWidth="1"/>
    <col min="476" max="476" width="13.85546875" style="1" customWidth="1"/>
    <col min="477" max="477" width="19.28515625" style="1" customWidth="1"/>
    <col min="478" max="478" width="19.5703125" style="1" bestFit="1" customWidth="1"/>
    <col min="479" max="506" width="0" style="1" hidden="1" customWidth="1"/>
    <col min="507" max="507" width="12.42578125" style="1" bestFit="1" customWidth="1"/>
    <col min="508" max="525" width="11.42578125" style="1" customWidth="1"/>
    <col min="526" max="721" width="9.140625" style="1" bestFit="1" customWidth="1"/>
    <col min="722" max="725" width="8.7109375" style="1"/>
    <col min="726" max="726" width="4.140625" style="1" customWidth="1"/>
    <col min="727" max="727" width="24" style="1" customWidth="1"/>
    <col min="728" max="728" width="9" style="1" customWidth="1"/>
    <col min="729" max="729" width="16.28515625" style="1" customWidth="1"/>
    <col min="730" max="730" width="12" style="1" customWidth="1"/>
    <col min="731" max="731" width="17.140625" style="1" customWidth="1"/>
    <col min="732" max="732" width="13.85546875" style="1" customWidth="1"/>
    <col min="733" max="733" width="19.28515625" style="1" customWidth="1"/>
    <col min="734" max="734" width="19.5703125" style="1" bestFit="1" customWidth="1"/>
    <col min="735" max="762" width="0" style="1" hidden="1" customWidth="1"/>
    <col min="763" max="763" width="12.42578125" style="1" bestFit="1" customWidth="1"/>
    <col min="764" max="781" width="11.42578125" style="1" customWidth="1"/>
    <col min="782" max="977" width="9.140625" style="1" bestFit="1" customWidth="1"/>
    <col min="978" max="981" width="8.7109375" style="1"/>
    <col min="982" max="982" width="4.140625" style="1" customWidth="1"/>
    <col min="983" max="983" width="24" style="1" customWidth="1"/>
    <col min="984" max="984" width="9" style="1" customWidth="1"/>
    <col min="985" max="985" width="16.28515625" style="1" customWidth="1"/>
    <col min="986" max="986" width="12" style="1" customWidth="1"/>
    <col min="987" max="987" width="17.140625" style="1" customWidth="1"/>
    <col min="988" max="988" width="13.85546875" style="1" customWidth="1"/>
    <col min="989" max="989" width="19.28515625" style="1" customWidth="1"/>
    <col min="990" max="990" width="19.5703125" style="1" bestFit="1" customWidth="1"/>
    <col min="991" max="1018" width="0" style="1" hidden="1" customWidth="1"/>
    <col min="1019" max="1019" width="12.42578125" style="1" bestFit="1" customWidth="1"/>
    <col min="1020" max="1037" width="11.42578125" style="1" customWidth="1"/>
    <col min="1038" max="1233" width="9.140625" style="1" bestFit="1" customWidth="1"/>
    <col min="1234" max="1237" width="8.7109375" style="1"/>
    <col min="1238" max="1238" width="4.140625" style="1" customWidth="1"/>
    <col min="1239" max="1239" width="24" style="1" customWidth="1"/>
    <col min="1240" max="1240" width="9" style="1" customWidth="1"/>
    <col min="1241" max="1241" width="16.28515625" style="1" customWidth="1"/>
    <col min="1242" max="1242" width="12" style="1" customWidth="1"/>
    <col min="1243" max="1243" width="17.140625" style="1" customWidth="1"/>
    <col min="1244" max="1244" width="13.85546875" style="1" customWidth="1"/>
    <col min="1245" max="1245" width="19.28515625" style="1" customWidth="1"/>
    <col min="1246" max="1246" width="19.5703125" style="1" bestFit="1" customWidth="1"/>
    <col min="1247" max="1274" width="0" style="1" hidden="1" customWidth="1"/>
    <col min="1275" max="1275" width="12.42578125" style="1" bestFit="1" customWidth="1"/>
    <col min="1276" max="1293" width="11.42578125" style="1" customWidth="1"/>
    <col min="1294" max="1489" width="9.140625" style="1" bestFit="1" customWidth="1"/>
    <col min="1490" max="1493" width="8.7109375" style="1"/>
    <col min="1494" max="1494" width="4.140625" style="1" customWidth="1"/>
    <col min="1495" max="1495" width="24" style="1" customWidth="1"/>
    <col min="1496" max="1496" width="9" style="1" customWidth="1"/>
    <col min="1497" max="1497" width="16.28515625" style="1" customWidth="1"/>
    <col min="1498" max="1498" width="12" style="1" customWidth="1"/>
    <col min="1499" max="1499" width="17.140625" style="1" customWidth="1"/>
    <col min="1500" max="1500" width="13.85546875" style="1" customWidth="1"/>
    <col min="1501" max="1501" width="19.28515625" style="1" customWidth="1"/>
    <col min="1502" max="1502" width="19.5703125" style="1" bestFit="1" customWidth="1"/>
    <col min="1503" max="1530" width="0" style="1" hidden="1" customWidth="1"/>
    <col min="1531" max="1531" width="12.42578125" style="1" bestFit="1" customWidth="1"/>
    <col min="1532" max="1549" width="11.42578125" style="1" customWidth="1"/>
    <col min="1550" max="1745" width="9.140625" style="1" bestFit="1" customWidth="1"/>
    <col min="1746" max="1749" width="8.7109375" style="1"/>
    <col min="1750" max="1750" width="4.140625" style="1" customWidth="1"/>
    <col min="1751" max="1751" width="24" style="1" customWidth="1"/>
    <col min="1752" max="1752" width="9" style="1" customWidth="1"/>
    <col min="1753" max="1753" width="16.28515625" style="1" customWidth="1"/>
    <col min="1754" max="1754" width="12" style="1" customWidth="1"/>
    <col min="1755" max="1755" width="17.140625" style="1" customWidth="1"/>
    <col min="1756" max="1756" width="13.85546875" style="1" customWidth="1"/>
    <col min="1757" max="1757" width="19.28515625" style="1" customWidth="1"/>
    <col min="1758" max="1758" width="19.5703125" style="1" bestFit="1" customWidth="1"/>
    <col min="1759" max="1786" width="0" style="1" hidden="1" customWidth="1"/>
    <col min="1787" max="1787" width="12.42578125" style="1" bestFit="1" customWidth="1"/>
    <col min="1788" max="1805" width="11.42578125" style="1" customWidth="1"/>
    <col min="1806" max="2001" width="9.140625" style="1" bestFit="1" customWidth="1"/>
    <col min="2002" max="2005" width="8.7109375" style="1"/>
    <col min="2006" max="2006" width="4.140625" style="1" customWidth="1"/>
    <col min="2007" max="2007" width="24" style="1" customWidth="1"/>
    <col min="2008" max="2008" width="9" style="1" customWidth="1"/>
    <col min="2009" max="2009" width="16.28515625" style="1" customWidth="1"/>
    <col min="2010" max="2010" width="12" style="1" customWidth="1"/>
    <col min="2011" max="2011" width="17.140625" style="1" customWidth="1"/>
    <col min="2012" max="2012" width="13.85546875" style="1" customWidth="1"/>
    <col min="2013" max="2013" width="19.28515625" style="1" customWidth="1"/>
    <col min="2014" max="2014" width="19.5703125" style="1" bestFit="1" customWidth="1"/>
    <col min="2015" max="2042" width="0" style="1" hidden="1" customWidth="1"/>
    <col min="2043" max="2043" width="12.42578125" style="1" bestFit="1" customWidth="1"/>
    <col min="2044" max="2061" width="11.42578125" style="1" customWidth="1"/>
    <col min="2062" max="2257" width="9.140625" style="1" bestFit="1" customWidth="1"/>
    <col min="2258" max="2261" width="8.7109375" style="1"/>
    <col min="2262" max="2262" width="4.140625" style="1" customWidth="1"/>
    <col min="2263" max="2263" width="24" style="1" customWidth="1"/>
    <col min="2264" max="2264" width="9" style="1" customWidth="1"/>
    <col min="2265" max="2265" width="16.28515625" style="1" customWidth="1"/>
    <col min="2266" max="2266" width="12" style="1" customWidth="1"/>
    <col min="2267" max="2267" width="17.140625" style="1" customWidth="1"/>
    <col min="2268" max="2268" width="13.85546875" style="1" customWidth="1"/>
    <col min="2269" max="2269" width="19.28515625" style="1" customWidth="1"/>
    <col min="2270" max="2270" width="19.5703125" style="1" bestFit="1" customWidth="1"/>
    <col min="2271" max="2298" width="0" style="1" hidden="1" customWidth="1"/>
    <col min="2299" max="2299" width="12.42578125" style="1" bestFit="1" customWidth="1"/>
    <col min="2300" max="2317" width="11.42578125" style="1" customWidth="1"/>
    <col min="2318" max="2513" width="9.140625" style="1" bestFit="1" customWidth="1"/>
    <col min="2514" max="2517" width="8.7109375" style="1"/>
    <col min="2518" max="2518" width="4.140625" style="1" customWidth="1"/>
    <col min="2519" max="2519" width="24" style="1" customWidth="1"/>
    <col min="2520" max="2520" width="9" style="1" customWidth="1"/>
    <col min="2521" max="2521" width="16.28515625" style="1" customWidth="1"/>
    <col min="2522" max="2522" width="12" style="1" customWidth="1"/>
    <col min="2523" max="2523" width="17.140625" style="1" customWidth="1"/>
    <col min="2524" max="2524" width="13.85546875" style="1" customWidth="1"/>
    <col min="2525" max="2525" width="19.28515625" style="1" customWidth="1"/>
    <col min="2526" max="2526" width="19.5703125" style="1" bestFit="1" customWidth="1"/>
    <col min="2527" max="2554" width="0" style="1" hidden="1" customWidth="1"/>
    <col min="2555" max="2555" width="12.42578125" style="1" bestFit="1" customWidth="1"/>
    <col min="2556" max="2573" width="11.42578125" style="1" customWidth="1"/>
    <col min="2574" max="2769" width="9.140625" style="1" bestFit="1" customWidth="1"/>
    <col min="2770" max="2773" width="8.7109375" style="1"/>
    <col min="2774" max="2774" width="4.140625" style="1" customWidth="1"/>
    <col min="2775" max="2775" width="24" style="1" customWidth="1"/>
    <col min="2776" max="2776" width="9" style="1" customWidth="1"/>
    <col min="2777" max="2777" width="16.28515625" style="1" customWidth="1"/>
    <col min="2778" max="2778" width="12" style="1" customWidth="1"/>
    <col min="2779" max="2779" width="17.140625" style="1" customWidth="1"/>
    <col min="2780" max="2780" width="13.85546875" style="1" customWidth="1"/>
    <col min="2781" max="2781" width="19.28515625" style="1" customWidth="1"/>
    <col min="2782" max="2782" width="19.5703125" style="1" bestFit="1" customWidth="1"/>
    <col min="2783" max="2810" width="0" style="1" hidden="1" customWidth="1"/>
    <col min="2811" max="2811" width="12.42578125" style="1" bestFit="1" customWidth="1"/>
    <col min="2812" max="2829" width="11.42578125" style="1" customWidth="1"/>
    <col min="2830" max="3025" width="9.140625" style="1" bestFit="1" customWidth="1"/>
    <col min="3026" max="3029" width="8.7109375" style="1"/>
    <col min="3030" max="3030" width="4.140625" style="1" customWidth="1"/>
    <col min="3031" max="3031" width="24" style="1" customWidth="1"/>
    <col min="3032" max="3032" width="9" style="1" customWidth="1"/>
    <col min="3033" max="3033" width="16.28515625" style="1" customWidth="1"/>
    <col min="3034" max="3034" width="12" style="1" customWidth="1"/>
    <col min="3035" max="3035" width="17.140625" style="1" customWidth="1"/>
    <col min="3036" max="3036" width="13.85546875" style="1" customWidth="1"/>
    <col min="3037" max="3037" width="19.28515625" style="1" customWidth="1"/>
    <col min="3038" max="3038" width="19.5703125" style="1" bestFit="1" customWidth="1"/>
    <col min="3039" max="3066" width="0" style="1" hidden="1" customWidth="1"/>
    <col min="3067" max="3067" width="12.42578125" style="1" bestFit="1" customWidth="1"/>
    <col min="3068" max="3085" width="11.42578125" style="1" customWidth="1"/>
    <col min="3086" max="3281" width="9.140625" style="1" bestFit="1" customWidth="1"/>
    <col min="3282" max="3285" width="8.7109375" style="1"/>
    <col min="3286" max="3286" width="4.140625" style="1" customWidth="1"/>
    <col min="3287" max="3287" width="24" style="1" customWidth="1"/>
    <col min="3288" max="3288" width="9" style="1" customWidth="1"/>
    <col min="3289" max="3289" width="16.28515625" style="1" customWidth="1"/>
    <col min="3290" max="3290" width="12" style="1" customWidth="1"/>
    <col min="3291" max="3291" width="17.140625" style="1" customWidth="1"/>
    <col min="3292" max="3292" width="13.85546875" style="1" customWidth="1"/>
    <col min="3293" max="3293" width="19.28515625" style="1" customWidth="1"/>
    <col min="3294" max="3294" width="19.5703125" style="1" bestFit="1" customWidth="1"/>
    <col min="3295" max="3322" width="0" style="1" hidden="1" customWidth="1"/>
    <col min="3323" max="3323" width="12.42578125" style="1" bestFit="1" customWidth="1"/>
    <col min="3324" max="3341" width="11.42578125" style="1" customWidth="1"/>
    <col min="3342" max="3537" width="9.140625" style="1" bestFit="1" customWidth="1"/>
    <col min="3538" max="3541" width="8.7109375" style="1"/>
    <col min="3542" max="3542" width="4.140625" style="1" customWidth="1"/>
    <col min="3543" max="3543" width="24" style="1" customWidth="1"/>
    <col min="3544" max="3544" width="9" style="1" customWidth="1"/>
    <col min="3545" max="3545" width="16.28515625" style="1" customWidth="1"/>
    <col min="3546" max="3546" width="12" style="1" customWidth="1"/>
    <col min="3547" max="3547" width="17.140625" style="1" customWidth="1"/>
    <col min="3548" max="3548" width="13.85546875" style="1" customWidth="1"/>
    <col min="3549" max="3549" width="19.28515625" style="1" customWidth="1"/>
    <col min="3550" max="3550" width="19.5703125" style="1" bestFit="1" customWidth="1"/>
    <col min="3551" max="3578" width="0" style="1" hidden="1" customWidth="1"/>
    <col min="3579" max="3579" width="12.42578125" style="1" bestFit="1" customWidth="1"/>
    <col min="3580" max="3597" width="11.42578125" style="1" customWidth="1"/>
    <col min="3598" max="3793" width="9.140625" style="1" bestFit="1" customWidth="1"/>
    <col min="3794" max="3797" width="8.7109375" style="1"/>
    <col min="3798" max="3798" width="4.140625" style="1" customWidth="1"/>
    <col min="3799" max="3799" width="24" style="1" customWidth="1"/>
    <col min="3800" max="3800" width="9" style="1" customWidth="1"/>
    <col min="3801" max="3801" width="16.28515625" style="1" customWidth="1"/>
    <col min="3802" max="3802" width="12" style="1" customWidth="1"/>
    <col min="3803" max="3803" width="17.140625" style="1" customWidth="1"/>
    <col min="3804" max="3804" width="13.85546875" style="1" customWidth="1"/>
    <col min="3805" max="3805" width="19.28515625" style="1" customWidth="1"/>
    <col min="3806" max="3806" width="19.5703125" style="1" bestFit="1" customWidth="1"/>
    <col min="3807" max="3834" width="0" style="1" hidden="1" customWidth="1"/>
    <col min="3835" max="3835" width="12.42578125" style="1" bestFit="1" customWidth="1"/>
    <col min="3836" max="3853" width="11.42578125" style="1" customWidth="1"/>
    <col min="3854" max="4049" width="9.140625" style="1" bestFit="1" customWidth="1"/>
    <col min="4050" max="4053" width="8.7109375" style="1"/>
    <col min="4054" max="4054" width="4.140625" style="1" customWidth="1"/>
    <col min="4055" max="4055" width="24" style="1" customWidth="1"/>
    <col min="4056" max="4056" width="9" style="1" customWidth="1"/>
    <col min="4057" max="4057" width="16.28515625" style="1" customWidth="1"/>
    <col min="4058" max="4058" width="12" style="1" customWidth="1"/>
    <col min="4059" max="4059" width="17.140625" style="1" customWidth="1"/>
    <col min="4060" max="4060" width="13.85546875" style="1" customWidth="1"/>
    <col min="4061" max="4061" width="19.28515625" style="1" customWidth="1"/>
    <col min="4062" max="4062" width="19.5703125" style="1" bestFit="1" customWidth="1"/>
    <col min="4063" max="4090" width="0" style="1" hidden="1" customWidth="1"/>
    <col min="4091" max="4091" width="12.42578125" style="1" bestFit="1" customWidth="1"/>
    <col min="4092" max="4109" width="11.42578125" style="1" customWidth="1"/>
    <col min="4110" max="4305" width="9.140625" style="1" bestFit="1" customWidth="1"/>
    <col min="4306" max="4309" width="8.7109375" style="1"/>
    <col min="4310" max="4310" width="4.140625" style="1" customWidth="1"/>
    <col min="4311" max="4311" width="24" style="1" customWidth="1"/>
    <col min="4312" max="4312" width="9" style="1" customWidth="1"/>
    <col min="4313" max="4313" width="16.28515625" style="1" customWidth="1"/>
    <col min="4314" max="4314" width="12" style="1" customWidth="1"/>
    <col min="4315" max="4315" width="17.140625" style="1" customWidth="1"/>
    <col min="4316" max="4316" width="13.85546875" style="1" customWidth="1"/>
    <col min="4317" max="4317" width="19.28515625" style="1" customWidth="1"/>
    <col min="4318" max="4318" width="19.5703125" style="1" bestFit="1" customWidth="1"/>
    <col min="4319" max="4346" width="0" style="1" hidden="1" customWidth="1"/>
    <col min="4347" max="4347" width="12.42578125" style="1" bestFit="1" customWidth="1"/>
    <col min="4348" max="4365" width="11.42578125" style="1" customWidth="1"/>
    <col min="4366" max="4561" width="9.140625" style="1" bestFit="1" customWidth="1"/>
    <col min="4562" max="4565" width="8.7109375" style="1"/>
    <col min="4566" max="4566" width="4.140625" style="1" customWidth="1"/>
    <col min="4567" max="4567" width="24" style="1" customWidth="1"/>
    <col min="4568" max="4568" width="9" style="1" customWidth="1"/>
    <col min="4569" max="4569" width="16.28515625" style="1" customWidth="1"/>
    <col min="4570" max="4570" width="12" style="1" customWidth="1"/>
    <col min="4571" max="4571" width="17.140625" style="1" customWidth="1"/>
    <col min="4572" max="4572" width="13.85546875" style="1" customWidth="1"/>
    <col min="4573" max="4573" width="19.28515625" style="1" customWidth="1"/>
    <col min="4574" max="4574" width="19.5703125" style="1" bestFit="1" customWidth="1"/>
    <col min="4575" max="4602" width="0" style="1" hidden="1" customWidth="1"/>
    <col min="4603" max="4603" width="12.42578125" style="1" bestFit="1" customWidth="1"/>
    <col min="4604" max="4621" width="11.42578125" style="1" customWidth="1"/>
    <col min="4622" max="4817" width="9.140625" style="1" bestFit="1" customWidth="1"/>
    <col min="4818" max="4821" width="8.7109375" style="1"/>
    <col min="4822" max="4822" width="4.140625" style="1" customWidth="1"/>
    <col min="4823" max="4823" width="24" style="1" customWidth="1"/>
    <col min="4824" max="4824" width="9" style="1" customWidth="1"/>
    <col min="4825" max="4825" width="16.28515625" style="1" customWidth="1"/>
    <col min="4826" max="4826" width="12" style="1" customWidth="1"/>
    <col min="4827" max="4827" width="17.140625" style="1" customWidth="1"/>
    <col min="4828" max="4828" width="13.85546875" style="1" customWidth="1"/>
    <col min="4829" max="4829" width="19.28515625" style="1" customWidth="1"/>
    <col min="4830" max="4830" width="19.5703125" style="1" bestFit="1" customWidth="1"/>
    <col min="4831" max="4858" width="0" style="1" hidden="1" customWidth="1"/>
    <col min="4859" max="4859" width="12.42578125" style="1" bestFit="1" customWidth="1"/>
    <col min="4860" max="4877" width="11.42578125" style="1" customWidth="1"/>
    <col min="4878" max="5073" width="9.140625" style="1" bestFit="1" customWidth="1"/>
    <col min="5074" max="5077" width="8.7109375" style="1"/>
    <col min="5078" max="5078" width="4.140625" style="1" customWidth="1"/>
    <col min="5079" max="5079" width="24" style="1" customWidth="1"/>
    <col min="5080" max="5080" width="9" style="1" customWidth="1"/>
    <col min="5081" max="5081" width="16.28515625" style="1" customWidth="1"/>
    <col min="5082" max="5082" width="12" style="1" customWidth="1"/>
    <col min="5083" max="5083" width="17.140625" style="1" customWidth="1"/>
    <col min="5084" max="5084" width="13.85546875" style="1" customWidth="1"/>
    <col min="5085" max="5085" width="19.28515625" style="1" customWidth="1"/>
    <col min="5086" max="5086" width="19.5703125" style="1" bestFit="1" customWidth="1"/>
    <col min="5087" max="5114" width="0" style="1" hidden="1" customWidth="1"/>
    <col min="5115" max="5115" width="12.42578125" style="1" bestFit="1" customWidth="1"/>
    <col min="5116" max="5133" width="11.42578125" style="1" customWidth="1"/>
    <col min="5134" max="5329" width="9.140625" style="1" bestFit="1" customWidth="1"/>
    <col min="5330" max="5333" width="8.7109375" style="1"/>
    <col min="5334" max="5334" width="4.140625" style="1" customWidth="1"/>
    <col min="5335" max="5335" width="24" style="1" customWidth="1"/>
    <col min="5336" max="5336" width="9" style="1" customWidth="1"/>
    <col min="5337" max="5337" width="16.28515625" style="1" customWidth="1"/>
    <col min="5338" max="5338" width="12" style="1" customWidth="1"/>
    <col min="5339" max="5339" width="17.140625" style="1" customWidth="1"/>
    <col min="5340" max="5340" width="13.85546875" style="1" customWidth="1"/>
    <col min="5341" max="5341" width="19.28515625" style="1" customWidth="1"/>
    <col min="5342" max="5342" width="19.5703125" style="1" bestFit="1" customWidth="1"/>
    <col min="5343" max="5370" width="0" style="1" hidden="1" customWidth="1"/>
    <col min="5371" max="5371" width="12.42578125" style="1" bestFit="1" customWidth="1"/>
    <col min="5372" max="5389" width="11.42578125" style="1" customWidth="1"/>
    <col min="5390" max="5585" width="9.140625" style="1" bestFit="1" customWidth="1"/>
    <col min="5586" max="5589" width="8.7109375" style="1"/>
    <col min="5590" max="5590" width="4.140625" style="1" customWidth="1"/>
    <col min="5591" max="5591" width="24" style="1" customWidth="1"/>
    <col min="5592" max="5592" width="9" style="1" customWidth="1"/>
    <col min="5593" max="5593" width="16.28515625" style="1" customWidth="1"/>
    <col min="5594" max="5594" width="12" style="1" customWidth="1"/>
    <col min="5595" max="5595" width="17.140625" style="1" customWidth="1"/>
    <col min="5596" max="5596" width="13.85546875" style="1" customWidth="1"/>
    <col min="5597" max="5597" width="19.28515625" style="1" customWidth="1"/>
    <col min="5598" max="5598" width="19.5703125" style="1" bestFit="1" customWidth="1"/>
    <col min="5599" max="5626" width="0" style="1" hidden="1" customWidth="1"/>
    <col min="5627" max="5627" width="12.42578125" style="1" bestFit="1" customWidth="1"/>
    <col min="5628" max="5645" width="11.42578125" style="1" customWidth="1"/>
    <col min="5646" max="5841" width="9.140625" style="1" bestFit="1" customWidth="1"/>
    <col min="5842" max="5845" width="8.7109375" style="1"/>
    <col min="5846" max="5846" width="4.140625" style="1" customWidth="1"/>
    <col min="5847" max="5847" width="24" style="1" customWidth="1"/>
    <col min="5848" max="5848" width="9" style="1" customWidth="1"/>
    <col min="5849" max="5849" width="16.28515625" style="1" customWidth="1"/>
    <col min="5850" max="5850" width="12" style="1" customWidth="1"/>
    <col min="5851" max="5851" width="17.140625" style="1" customWidth="1"/>
    <col min="5852" max="5852" width="13.85546875" style="1" customWidth="1"/>
    <col min="5853" max="5853" width="19.28515625" style="1" customWidth="1"/>
    <col min="5854" max="5854" width="19.5703125" style="1" bestFit="1" customWidth="1"/>
    <col min="5855" max="5882" width="0" style="1" hidden="1" customWidth="1"/>
    <col min="5883" max="5883" width="12.42578125" style="1" bestFit="1" customWidth="1"/>
    <col min="5884" max="5901" width="11.42578125" style="1" customWidth="1"/>
    <col min="5902" max="6097" width="9.140625" style="1" bestFit="1" customWidth="1"/>
    <col min="6098" max="6101" width="8.7109375" style="1"/>
    <col min="6102" max="6102" width="4.140625" style="1" customWidth="1"/>
    <col min="6103" max="6103" width="24" style="1" customWidth="1"/>
    <col min="6104" max="6104" width="9" style="1" customWidth="1"/>
    <col min="6105" max="6105" width="16.28515625" style="1" customWidth="1"/>
    <col min="6106" max="6106" width="12" style="1" customWidth="1"/>
    <col min="6107" max="6107" width="17.140625" style="1" customWidth="1"/>
    <col min="6108" max="6108" width="13.85546875" style="1" customWidth="1"/>
    <col min="6109" max="6109" width="19.28515625" style="1" customWidth="1"/>
    <col min="6110" max="6110" width="19.5703125" style="1" bestFit="1" customWidth="1"/>
    <col min="6111" max="6138" width="0" style="1" hidden="1" customWidth="1"/>
    <col min="6139" max="6139" width="12.42578125" style="1" bestFit="1" customWidth="1"/>
    <col min="6140" max="6157" width="11.42578125" style="1" customWidth="1"/>
    <col min="6158" max="6353" width="9.140625" style="1" bestFit="1" customWidth="1"/>
    <col min="6354" max="6357" width="8.7109375" style="1"/>
    <col min="6358" max="6358" width="4.140625" style="1" customWidth="1"/>
    <col min="6359" max="6359" width="24" style="1" customWidth="1"/>
    <col min="6360" max="6360" width="9" style="1" customWidth="1"/>
    <col min="6361" max="6361" width="16.28515625" style="1" customWidth="1"/>
    <col min="6362" max="6362" width="12" style="1" customWidth="1"/>
    <col min="6363" max="6363" width="17.140625" style="1" customWidth="1"/>
    <col min="6364" max="6364" width="13.85546875" style="1" customWidth="1"/>
    <col min="6365" max="6365" width="19.28515625" style="1" customWidth="1"/>
    <col min="6366" max="6366" width="19.5703125" style="1" bestFit="1" customWidth="1"/>
    <col min="6367" max="6394" width="0" style="1" hidden="1" customWidth="1"/>
    <col min="6395" max="6395" width="12.42578125" style="1" bestFit="1" customWidth="1"/>
    <col min="6396" max="6413" width="11.42578125" style="1" customWidth="1"/>
    <col min="6414" max="6609" width="9.140625" style="1" bestFit="1" customWidth="1"/>
    <col min="6610" max="6613" width="8.7109375" style="1"/>
    <col min="6614" max="6614" width="4.140625" style="1" customWidth="1"/>
    <col min="6615" max="6615" width="24" style="1" customWidth="1"/>
    <col min="6616" max="6616" width="9" style="1" customWidth="1"/>
    <col min="6617" max="6617" width="16.28515625" style="1" customWidth="1"/>
    <col min="6618" max="6618" width="12" style="1" customWidth="1"/>
    <col min="6619" max="6619" width="17.140625" style="1" customWidth="1"/>
    <col min="6620" max="6620" width="13.85546875" style="1" customWidth="1"/>
    <col min="6621" max="6621" width="19.28515625" style="1" customWidth="1"/>
    <col min="6622" max="6622" width="19.5703125" style="1" bestFit="1" customWidth="1"/>
    <col min="6623" max="6650" width="0" style="1" hidden="1" customWidth="1"/>
    <col min="6651" max="6651" width="12.42578125" style="1" bestFit="1" customWidth="1"/>
    <col min="6652" max="6669" width="11.42578125" style="1" customWidth="1"/>
    <col min="6670" max="6865" width="9.140625" style="1" bestFit="1" customWidth="1"/>
    <col min="6866" max="6869" width="8.7109375" style="1"/>
    <col min="6870" max="6870" width="4.140625" style="1" customWidth="1"/>
    <col min="6871" max="6871" width="24" style="1" customWidth="1"/>
    <col min="6872" max="6872" width="9" style="1" customWidth="1"/>
    <col min="6873" max="6873" width="16.28515625" style="1" customWidth="1"/>
    <col min="6874" max="6874" width="12" style="1" customWidth="1"/>
    <col min="6875" max="6875" width="17.140625" style="1" customWidth="1"/>
    <col min="6876" max="6876" width="13.85546875" style="1" customWidth="1"/>
    <col min="6877" max="6877" width="19.28515625" style="1" customWidth="1"/>
    <col min="6878" max="6878" width="19.5703125" style="1" bestFit="1" customWidth="1"/>
    <col min="6879" max="6906" width="0" style="1" hidden="1" customWidth="1"/>
    <col min="6907" max="6907" width="12.42578125" style="1" bestFit="1" customWidth="1"/>
    <col min="6908" max="6925" width="11.42578125" style="1" customWidth="1"/>
    <col min="6926" max="7121" width="9.140625" style="1" bestFit="1" customWidth="1"/>
    <col min="7122" max="7125" width="8.7109375" style="1"/>
    <col min="7126" max="7126" width="4.140625" style="1" customWidth="1"/>
    <col min="7127" max="7127" width="24" style="1" customWidth="1"/>
    <col min="7128" max="7128" width="9" style="1" customWidth="1"/>
    <col min="7129" max="7129" width="16.28515625" style="1" customWidth="1"/>
    <col min="7130" max="7130" width="12" style="1" customWidth="1"/>
    <col min="7131" max="7131" width="17.140625" style="1" customWidth="1"/>
    <col min="7132" max="7132" width="13.85546875" style="1" customWidth="1"/>
    <col min="7133" max="7133" width="19.28515625" style="1" customWidth="1"/>
    <col min="7134" max="7134" width="19.5703125" style="1" bestFit="1" customWidth="1"/>
    <col min="7135" max="7162" width="0" style="1" hidden="1" customWidth="1"/>
    <col min="7163" max="7163" width="12.42578125" style="1" bestFit="1" customWidth="1"/>
    <col min="7164" max="7181" width="11.42578125" style="1" customWidth="1"/>
    <col min="7182" max="7377" width="9.140625" style="1" bestFit="1" customWidth="1"/>
    <col min="7378" max="7381" width="8.7109375" style="1"/>
    <col min="7382" max="7382" width="4.140625" style="1" customWidth="1"/>
    <col min="7383" max="7383" width="24" style="1" customWidth="1"/>
    <col min="7384" max="7384" width="9" style="1" customWidth="1"/>
    <col min="7385" max="7385" width="16.28515625" style="1" customWidth="1"/>
    <col min="7386" max="7386" width="12" style="1" customWidth="1"/>
    <col min="7387" max="7387" width="17.140625" style="1" customWidth="1"/>
    <col min="7388" max="7388" width="13.85546875" style="1" customWidth="1"/>
    <col min="7389" max="7389" width="19.28515625" style="1" customWidth="1"/>
    <col min="7390" max="7390" width="19.5703125" style="1" bestFit="1" customWidth="1"/>
    <col min="7391" max="7418" width="0" style="1" hidden="1" customWidth="1"/>
    <col min="7419" max="7419" width="12.42578125" style="1" bestFit="1" customWidth="1"/>
    <col min="7420" max="7437" width="11.42578125" style="1" customWidth="1"/>
    <col min="7438" max="7633" width="9.140625" style="1" bestFit="1" customWidth="1"/>
    <col min="7634" max="7637" width="8.7109375" style="1"/>
    <col min="7638" max="7638" width="4.140625" style="1" customWidth="1"/>
    <col min="7639" max="7639" width="24" style="1" customWidth="1"/>
    <col min="7640" max="7640" width="9" style="1" customWidth="1"/>
    <col min="7641" max="7641" width="16.28515625" style="1" customWidth="1"/>
    <col min="7642" max="7642" width="12" style="1" customWidth="1"/>
    <col min="7643" max="7643" width="17.140625" style="1" customWidth="1"/>
    <col min="7644" max="7644" width="13.85546875" style="1" customWidth="1"/>
    <col min="7645" max="7645" width="19.28515625" style="1" customWidth="1"/>
    <col min="7646" max="7646" width="19.5703125" style="1" bestFit="1" customWidth="1"/>
    <col min="7647" max="7674" width="0" style="1" hidden="1" customWidth="1"/>
    <col min="7675" max="7675" width="12.42578125" style="1" bestFit="1" customWidth="1"/>
    <col min="7676" max="7693" width="11.42578125" style="1" customWidth="1"/>
    <col min="7694" max="7889" width="9.140625" style="1" bestFit="1" customWidth="1"/>
    <col min="7890" max="7893" width="8.7109375" style="1"/>
    <col min="7894" max="7894" width="4.140625" style="1" customWidth="1"/>
    <col min="7895" max="7895" width="24" style="1" customWidth="1"/>
    <col min="7896" max="7896" width="9" style="1" customWidth="1"/>
    <col min="7897" max="7897" width="16.28515625" style="1" customWidth="1"/>
    <col min="7898" max="7898" width="12" style="1" customWidth="1"/>
    <col min="7899" max="7899" width="17.140625" style="1" customWidth="1"/>
    <col min="7900" max="7900" width="13.85546875" style="1" customWidth="1"/>
    <col min="7901" max="7901" width="19.28515625" style="1" customWidth="1"/>
    <col min="7902" max="7902" width="19.5703125" style="1" bestFit="1" customWidth="1"/>
    <col min="7903" max="7930" width="0" style="1" hidden="1" customWidth="1"/>
    <col min="7931" max="7931" width="12.42578125" style="1" bestFit="1" customWidth="1"/>
    <col min="7932" max="7949" width="11.42578125" style="1" customWidth="1"/>
    <col min="7950" max="8145" width="9.140625" style="1" bestFit="1" customWidth="1"/>
    <col min="8146" max="8149" width="8.7109375" style="1"/>
    <col min="8150" max="8150" width="4.140625" style="1" customWidth="1"/>
    <col min="8151" max="8151" width="24" style="1" customWidth="1"/>
    <col min="8152" max="8152" width="9" style="1" customWidth="1"/>
    <col min="8153" max="8153" width="16.28515625" style="1" customWidth="1"/>
    <col min="8154" max="8154" width="12" style="1" customWidth="1"/>
    <col min="8155" max="8155" width="17.140625" style="1" customWidth="1"/>
    <col min="8156" max="8156" width="13.85546875" style="1" customWidth="1"/>
    <col min="8157" max="8157" width="19.28515625" style="1" customWidth="1"/>
    <col min="8158" max="8158" width="19.5703125" style="1" bestFit="1" customWidth="1"/>
    <col min="8159" max="8186" width="0" style="1" hidden="1" customWidth="1"/>
    <col min="8187" max="8187" width="12.42578125" style="1" bestFit="1" customWidth="1"/>
    <col min="8188" max="8205" width="11.42578125" style="1" customWidth="1"/>
    <col min="8206" max="8401" width="9.140625" style="1" bestFit="1" customWidth="1"/>
    <col min="8402" max="8405" width="8.7109375" style="1"/>
    <col min="8406" max="8406" width="4.140625" style="1" customWidth="1"/>
    <col min="8407" max="8407" width="24" style="1" customWidth="1"/>
    <col min="8408" max="8408" width="9" style="1" customWidth="1"/>
    <col min="8409" max="8409" width="16.28515625" style="1" customWidth="1"/>
    <col min="8410" max="8410" width="12" style="1" customWidth="1"/>
    <col min="8411" max="8411" width="17.140625" style="1" customWidth="1"/>
    <col min="8412" max="8412" width="13.85546875" style="1" customWidth="1"/>
    <col min="8413" max="8413" width="19.28515625" style="1" customWidth="1"/>
    <col min="8414" max="8414" width="19.5703125" style="1" bestFit="1" customWidth="1"/>
    <col min="8415" max="8442" width="0" style="1" hidden="1" customWidth="1"/>
    <col min="8443" max="8443" width="12.42578125" style="1" bestFit="1" customWidth="1"/>
    <col min="8444" max="8461" width="11.42578125" style="1" customWidth="1"/>
    <col min="8462" max="8657" width="9.140625" style="1" bestFit="1" customWidth="1"/>
    <col min="8658" max="8661" width="8.7109375" style="1"/>
    <col min="8662" max="8662" width="4.140625" style="1" customWidth="1"/>
    <col min="8663" max="8663" width="24" style="1" customWidth="1"/>
    <col min="8664" max="8664" width="9" style="1" customWidth="1"/>
    <col min="8665" max="8665" width="16.28515625" style="1" customWidth="1"/>
    <col min="8666" max="8666" width="12" style="1" customWidth="1"/>
    <col min="8667" max="8667" width="17.140625" style="1" customWidth="1"/>
    <col min="8668" max="8668" width="13.85546875" style="1" customWidth="1"/>
    <col min="8669" max="8669" width="19.28515625" style="1" customWidth="1"/>
    <col min="8670" max="8670" width="19.5703125" style="1" bestFit="1" customWidth="1"/>
    <col min="8671" max="8698" width="0" style="1" hidden="1" customWidth="1"/>
    <col min="8699" max="8699" width="12.42578125" style="1" bestFit="1" customWidth="1"/>
    <col min="8700" max="8717" width="11.42578125" style="1" customWidth="1"/>
    <col min="8718" max="8913" width="9.140625" style="1" bestFit="1" customWidth="1"/>
    <col min="8914" max="8917" width="8.7109375" style="1"/>
    <col min="8918" max="8918" width="4.140625" style="1" customWidth="1"/>
    <col min="8919" max="8919" width="24" style="1" customWidth="1"/>
    <col min="8920" max="8920" width="9" style="1" customWidth="1"/>
    <col min="8921" max="8921" width="16.28515625" style="1" customWidth="1"/>
    <col min="8922" max="8922" width="12" style="1" customWidth="1"/>
    <col min="8923" max="8923" width="17.140625" style="1" customWidth="1"/>
    <col min="8924" max="8924" width="13.85546875" style="1" customWidth="1"/>
    <col min="8925" max="8925" width="19.28515625" style="1" customWidth="1"/>
    <col min="8926" max="8926" width="19.5703125" style="1" bestFit="1" customWidth="1"/>
    <col min="8927" max="8954" width="0" style="1" hidden="1" customWidth="1"/>
    <col min="8955" max="8955" width="12.42578125" style="1" bestFit="1" customWidth="1"/>
    <col min="8956" max="8973" width="11.42578125" style="1" customWidth="1"/>
    <col min="8974" max="9169" width="9.140625" style="1" bestFit="1" customWidth="1"/>
    <col min="9170" max="9173" width="8.7109375" style="1"/>
    <col min="9174" max="9174" width="4.140625" style="1" customWidth="1"/>
    <col min="9175" max="9175" width="24" style="1" customWidth="1"/>
    <col min="9176" max="9176" width="9" style="1" customWidth="1"/>
    <col min="9177" max="9177" width="16.28515625" style="1" customWidth="1"/>
    <col min="9178" max="9178" width="12" style="1" customWidth="1"/>
    <col min="9179" max="9179" width="17.140625" style="1" customWidth="1"/>
    <col min="9180" max="9180" width="13.85546875" style="1" customWidth="1"/>
    <col min="9181" max="9181" width="19.28515625" style="1" customWidth="1"/>
    <col min="9182" max="9182" width="19.5703125" style="1" bestFit="1" customWidth="1"/>
    <col min="9183" max="9210" width="0" style="1" hidden="1" customWidth="1"/>
    <col min="9211" max="9211" width="12.42578125" style="1" bestFit="1" customWidth="1"/>
    <col min="9212" max="9229" width="11.42578125" style="1" customWidth="1"/>
    <col min="9230" max="9425" width="9.140625" style="1" bestFit="1" customWidth="1"/>
    <col min="9426" max="9429" width="8.7109375" style="1"/>
    <col min="9430" max="9430" width="4.140625" style="1" customWidth="1"/>
    <col min="9431" max="9431" width="24" style="1" customWidth="1"/>
    <col min="9432" max="9432" width="9" style="1" customWidth="1"/>
    <col min="9433" max="9433" width="16.28515625" style="1" customWidth="1"/>
    <col min="9434" max="9434" width="12" style="1" customWidth="1"/>
    <col min="9435" max="9435" width="17.140625" style="1" customWidth="1"/>
    <col min="9436" max="9436" width="13.85546875" style="1" customWidth="1"/>
    <col min="9437" max="9437" width="19.28515625" style="1" customWidth="1"/>
    <col min="9438" max="9438" width="19.5703125" style="1" bestFit="1" customWidth="1"/>
    <col min="9439" max="9466" width="0" style="1" hidden="1" customWidth="1"/>
    <col min="9467" max="9467" width="12.42578125" style="1" bestFit="1" customWidth="1"/>
    <col min="9468" max="9485" width="11.42578125" style="1" customWidth="1"/>
    <col min="9486" max="9681" width="9.140625" style="1" bestFit="1" customWidth="1"/>
    <col min="9682" max="9685" width="8.7109375" style="1"/>
    <col min="9686" max="9686" width="4.140625" style="1" customWidth="1"/>
    <col min="9687" max="9687" width="24" style="1" customWidth="1"/>
    <col min="9688" max="9688" width="9" style="1" customWidth="1"/>
    <col min="9689" max="9689" width="16.28515625" style="1" customWidth="1"/>
    <col min="9690" max="9690" width="12" style="1" customWidth="1"/>
    <col min="9691" max="9691" width="17.140625" style="1" customWidth="1"/>
    <col min="9692" max="9692" width="13.85546875" style="1" customWidth="1"/>
    <col min="9693" max="9693" width="19.28515625" style="1" customWidth="1"/>
    <col min="9694" max="9694" width="19.5703125" style="1" bestFit="1" customWidth="1"/>
    <col min="9695" max="9722" width="0" style="1" hidden="1" customWidth="1"/>
    <col min="9723" max="9723" width="12.42578125" style="1" bestFit="1" customWidth="1"/>
    <col min="9724" max="9741" width="11.42578125" style="1" customWidth="1"/>
    <col min="9742" max="9937" width="9.140625" style="1" bestFit="1" customWidth="1"/>
    <col min="9938" max="9941" width="8.7109375" style="1"/>
    <col min="9942" max="9942" width="4.140625" style="1" customWidth="1"/>
    <col min="9943" max="9943" width="24" style="1" customWidth="1"/>
    <col min="9944" max="9944" width="9" style="1" customWidth="1"/>
    <col min="9945" max="9945" width="16.28515625" style="1" customWidth="1"/>
    <col min="9946" max="9946" width="12" style="1" customWidth="1"/>
    <col min="9947" max="9947" width="17.140625" style="1" customWidth="1"/>
    <col min="9948" max="9948" width="13.85546875" style="1" customWidth="1"/>
    <col min="9949" max="9949" width="19.28515625" style="1" customWidth="1"/>
    <col min="9950" max="9950" width="19.5703125" style="1" bestFit="1" customWidth="1"/>
    <col min="9951" max="9978" width="0" style="1" hidden="1" customWidth="1"/>
    <col min="9979" max="9979" width="12.42578125" style="1" bestFit="1" customWidth="1"/>
    <col min="9980" max="9997" width="11.42578125" style="1" customWidth="1"/>
    <col min="9998" max="10193" width="9.140625" style="1" bestFit="1" customWidth="1"/>
    <col min="10194" max="10197" width="8.7109375" style="1"/>
    <col min="10198" max="10198" width="4.140625" style="1" customWidth="1"/>
    <col min="10199" max="10199" width="24" style="1" customWidth="1"/>
    <col min="10200" max="10200" width="9" style="1" customWidth="1"/>
    <col min="10201" max="10201" width="16.28515625" style="1" customWidth="1"/>
    <col min="10202" max="10202" width="12" style="1" customWidth="1"/>
    <col min="10203" max="10203" width="17.140625" style="1" customWidth="1"/>
    <col min="10204" max="10204" width="13.85546875" style="1" customWidth="1"/>
    <col min="10205" max="10205" width="19.28515625" style="1" customWidth="1"/>
    <col min="10206" max="10206" width="19.5703125" style="1" bestFit="1" customWidth="1"/>
    <col min="10207" max="10234" width="0" style="1" hidden="1" customWidth="1"/>
    <col min="10235" max="10235" width="12.42578125" style="1" bestFit="1" customWidth="1"/>
    <col min="10236" max="10253" width="11.42578125" style="1" customWidth="1"/>
    <col min="10254" max="10449" width="9.140625" style="1" bestFit="1" customWidth="1"/>
    <col min="10450" max="10453" width="8.7109375" style="1"/>
    <col min="10454" max="10454" width="4.140625" style="1" customWidth="1"/>
    <col min="10455" max="10455" width="24" style="1" customWidth="1"/>
    <col min="10456" max="10456" width="9" style="1" customWidth="1"/>
    <col min="10457" max="10457" width="16.28515625" style="1" customWidth="1"/>
    <col min="10458" max="10458" width="12" style="1" customWidth="1"/>
    <col min="10459" max="10459" width="17.140625" style="1" customWidth="1"/>
    <col min="10460" max="10460" width="13.85546875" style="1" customWidth="1"/>
    <col min="10461" max="10461" width="19.28515625" style="1" customWidth="1"/>
    <col min="10462" max="10462" width="19.5703125" style="1" bestFit="1" customWidth="1"/>
    <col min="10463" max="10490" width="0" style="1" hidden="1" customWidth="1"/>
    <col min="10491" max="10491" width="12.42578125" style="1" bestFit="1" customWidth="1"/>
    <col min="10492" max="10509" width="11.42578125" style="1" customWidth="1"/>
    <col min="10510" max="10705" width="9.140625" style="1" bestFit="1" customWidth="1"/>
    <col min="10706" max="10709" width="8.7109375" style="1"/>
    <col min="10710" max="10710" width="4.140625" style="1" customWidth="1"/>
    <col min="10711" max="10711" width="24" style="1" customWidth="1"/>
    <col min="10712" max="10712" width="9" style="1" customWidth="1"/>
    <col min="10713" max="10713" width="16.28515625" style="1" customWidth="1"/>
    <col min="10714" max="10714" width="12" style="1" customWidth="1"/>
    <col min="10715" max="10715" width="17.140625" style="1" customWidth="1"/>
    <col min="10716" max="10716" width="13.85546875" style="1" customWidth="1"/>
    <col min="10717" max="10717" width="19.28515625" style="1" customWidth="1"/>
    <col min="10718" max="10718" width="19.5703125" style="1" bestFit="1" customWidth="1"/>
    <col min="10719" max="10746" width="0" style="1" hidden="1" customWidth="1"/>
    <col min="10747" max="10747" width="12.42578125" style="1" bestFit="1" customWidth="1"/>
    <col min="10748" max="10765" width="11.42578125" style="1" customWidth="1"/>
    <col min="10766" max="10961" width="9.140625" style="1" bestFit="1" customWidth="1"/>
    <col min="10962" max="10965" width="8.7109375" style="1"/>
    <col min="10966" max="10966" width="4.140625" style="1" customWidth="1"/>
    <col min="10967" max="10967" width="24" style="1" customWidth="1"/>
    <col min="10968" max="10968" width="9" style="1" customWidth="1"/>
    <col min="10969" max="10969" width="16.28515625" style="1" customWidth="1"/>
    <col min="10970" max="10970" width="12" style="1" customWidth="1"/>
    <col min="10971" max="10971" width="17.140625" style="1" customWidth="1"/>
    <col min="10972" max="10972" width="13.85546875" style="1" customWidth="1"/>
    <col min="10973" max="10973" width="19.28515625" style="1" customWidth="1"/>
    <col min="10974" max="10974" width="19.5703125" style="1" bestFit="1" customWidth="1"/>
    <col min="10975" max="11002" width="0" style="1" hidden="1" customWidth="1"/>
    <col min="11003" max="11003" width="12.42578125" style="1" bestFit="1" customWidth="1"/>
    <col min="11004" max="11021" width="11.42578125" style="1" customWidth="1"/>
    <col min="11022" max="11217" width="9.140625" style="1" bestFit="1" customWidth="1"/>
    <col min="11218" max="11221" width="8.7109375" style="1"/>
    <col min="11222" max="11222" width="4.140625" style="1" customWidth="1"/>
    <col min="11223" max="11223" width="24" style="1" customWidth="1"/>
    <col min="11224" max="11224" width="9" style="1" customWidth="1"/>
    <col min="11225" max="11225" width="16.28515625" style="1" customWidth="1"/>
    <col min="11226" max="11226" width="12" style="1" customWidth="1"/>
    <col min="11227" max="11227" width="17.140625" style="1" customWidth="1"/>
    <col min="11228" max="11228" width="13.85546875" style="1" customWidth="1"/>
    <col min="11229" max="11229" width="19.28515625" style="1" customWidth="1"/>
    <col min="11230" max="11230" width="19.5703125" style="1" bestFit="1" customWidth="1"/>
    <col min="11231" max="11258" width="0" style="1" hidden="1" customWidth="1"/>
    <col min="11259" max="11259" width="12.42578125" style="1" bestFit="1" customWidth="1"/>
    <col min="11260" max="11277" width="11.42578125" style="1" customWidth="1"/>
    <col min="11278" max="11473" width="9.140625" style="1" bestFit="1" customWidth="1"/>
    <col min="11474" max="11477" width="8.7109375" style="1"/>
    <col min="11478" max="11478" width="4.140625" style="1" customWidth="1"/>
    <col min="11479" max="11479" width="24" style="1" customWidth="1"/>
    <col min="11480" max="11480" width="9" style="1" customWidth="1"/>
    <col min="11481" max="11481" width="16.28515625" style="1" customWidth="1"/>
    <col min="11482" max="11482" width="12" style="1" customWidth="1"/>
    <col min="11483" max="11483" width="17.140625" style="1" customWidth="1"/>
    <col min="11484" max="11484" width="13.85546875" style="1" customWidth="1"/>
    <col min="11485" max="11485" width="19.28515625" style="1" customWidth="1"/>
    <col min="11486" max="11486" width="19.5703125" style="1" bestFit="1" customWidth="1"/>
    <col min="11487" max="11514" width="0" style="1" hidden="1" customWidth="1"/>
    <col min="11515" max="11515" width="12.42578125" style="1" bestFit="1" customWidth="1"/>
    <col min="11516" max="11533" width="11.42578125" style="1" customWidth="1"/>
    <col min="11534" max="11729" width="9.140625" style="1" bestFit="1" customWidth="1"/>
    <col min="11730" max="11733" width="8.7109375" style="1"/>
    <col min="11734" max="11734" width="4.140625" style="1" customWidth="1"/>
    <col min="11735" max="11735" width="24" style="1" customWidth="1"/>
    <col min="11736" max="11736" width="9" style="1" customWidth="1"/>
    <col min="11737" max="11737" width="16.28515625" style="1" customWidth="1"/>
    <col min="11738" max="11738" width="12" style="1" customWidth="1"/>
    <col min="11739" max="11739" width="17.140625" style="1" customWidth="1"/>
    <col min="11740" max="11740" width="13.85546875" style="1" customWidth="1"/>
    <col min="11741" max="11741" width="19.28515625" style="1" customWidth="1"/>
    <col min="11742" max="11742" width="19.5703125" style="1" bestFit="1" customWidth="1"/>
    <col min="11743" max="11770" width="0" style="1" hidden="1" customWidth="1"/>
    <col min="11771" max="11771" width="12.42578125" style="1" bestFit="1" customWidth="1"/>
    <col min="11772" max="11789" width="11.42578125" style="1" customWidth="1"/>
    <col min="11790" max="11985" width="9.140625" style="1" bestFit="1" customWidth="1"/>
    <col min="11986" max="11989" width="8.7109375" style="1"/>
    <col min="11990" max="11990" width="4.140625" style="1" customWidth="1"/>
    <col min="11991" max="11991" width="24" style="1" customWidth="1"/>
    <col min="11992" max="11992" width="9" style="1" customWidth="1"/>
    <col min="11993" max="11993" width="16.28515625" style="1" customWidth="1"/>
    <col min="11994" max="11994" width="12" style="1" customWidth="1"/>
    <col min="11995" max="11995" width="17.140625" style="1" customWidth="1"/>
    <col min="11996" max="11996" width="13.85546875" style="1" customWidth="1"/>
    <col min="11997" max="11997" width="19.28515625" style="1" customWidth="1"/>
    <col min="11998" max="11998" width="19.5703125" style="1" bestFit="1" customWidth="1"/>
    <col min="11999" max="12026" width="0" style="1" hidden="1" customWidth="1"/>
    <col min="12027" max="12027" width="12.42578125" style="1" bestFit="1" customWidth="1"/>
    <col min="12028" max="12045" width="11.42578125" style="1" customWidth="1"/>
    <col min="12046" max="12241" width="9.140625" style="1" bestFit="1" customWidth="1"/>
    <col min="12242" max="12245" width="8.7109375" style="1"/>
    <col min="12246" max="12246" width="4.140625" style="1" customWidth="1"/>
    <col min="12247" max="12247" width="24" style="1" customWidth="1"/>
    <col min="12248" max="12248" width="9" style="1" customWidth="1"/>
    <col min="12249" max="12249" width="16.28515625" style="1" customWidth="1"/>
    <col min="12250" max="12250" width="12" style="1" customWidth="1"/>
    <col min="12251" max="12251" width="17.140625" style="1" customWidth="1"/>
    <col min="12252" max="12252" width="13.85546875" style="1" customWidth="1"/>
    <col min="12253" max="12253" width="19.28515625" style="1" customWidth="1"/>
    <col min="12254" max="12254" width="19.5703125" style="1" bestFit="1" customWidth="1"/>
    <col min="12255" max="12282" width="0" style="1" hidden="1" customWidth="1"/>
    <col min="12283" max="12283" width="12.42578125" style="1" bestFit="1" customWidth="1"/>
    <col min="12284" max="12301" width="11.42578125" style="1" customWidth="1"/>
    <col min="12302" max="12497" width="9.140625" style="1" bestFit="1" customWidth="1"/>
    <col min="12498" max="12501" width="8.7109375" style="1"/>
    <col min="12502" max="12502" width="4.140625" style="1" customWidth="1"/>
    <col min="12503" max="12503" width="24" style="1" customWidth="1"/>
    <col min="12504" max="12504" width="9" style="1" customWidth="1"/>
    <col min="12505" max="12505" width="16.28515625" style="1" customWidth="1"/>
    <col min="12506" max="12506" width="12" style="1" customWidth="1"/>
    <col min="12507" max="12507" width="17.140625" style="1" customWidth="1"/>
    <col min="12508" max="12508" width="13.85546875" style="1" customWidth="1"/>
    <col min="12509" max="12509" width="19.28515625" style="1" customWidth="1"/>
    <col min="12510" max="12510" width="19.5703125" style="1" bestFit="1" customWidth="1"/>
    <col min="12511" max="12538" width="0" style="1" hidden="1" customWidth="1"/>
    <col min="12539" max="12539" width="12.42578125" style="1" bestFit="1" customWidth="1"/>
    <col min="12540" max="12557" width="11.42578125" style="1" customWidth="1"/>
    <col min="12558" max="12753" width="9.140625" style="1" bestFit="1" customWidth="1"/>
    <col min="12754" max="12757" width="8.7109375" style="1"/>
    <col min="12758" max="12758" width="4.140625" style="1" customWidth="1"/>
    <col min="12759" max="12759" width="24" style="1" customWidth="1"/>
    <col min="12760" max="12760" width="9" style="1" customWidth="1"/>
    <col min="12761" max="12761" width="16.28515625" style="1" customWidth="1"/>
    <col min="12762" max="12762" width="12" style="1" customWidth="1"/>
    <col min="12763" max="12763" width="17.140625" style="1" customWidth="1"/>
    <col min="12764" max="12764" width="13.85546875" style="1" customWidth="1"/>
    <col min="12765" max="12765" width="19.28515625" style="1" customWidth="1"/>
    <col min="12766" max="12766" width="19.5703125" style="1" bestFit="1" customWidth="1"/>
    <col min="12767" max="12794" width="0" style="1" hidden="1" customWidth="1"/>
    <col min="12795" max="12795" width="12.42578125" style="1" bestFit="1" customWidth="1"/>
    <col min="12796" max="12813" width="11.42578125" style="1" customWidth="1"/>
    <col min="12814" max="13009" width="9.140625" style="1" bestFit="1" customWidth="1"/>
    <col min="13010" max="13013" width="8.7109375" style="1"/>
    <col min="13014" max="13014" width="4.140625" style="1" customWidth="1"/>
    <col min="13015" max="13015" width="24" style="1" customWidth="1"/>
    <col min="13016" max="13016" width="9" style="1" customWidth="1"/>
    <col min="13017" max="13017" width="16.28515625" style="1" customWidth="1"/>
    <col min="13018" max="13018" width="12" style="1" customWidth="1"/>
    <col min="13019" max="13019" width="17.140625" style="1" customWidth="1"/>
    <col min="13020" max="13020" width="13.85546875" style="1" customWidth="1"/>
    <col min="13021" max="13021" width="19.28515625" style="1" customWidth="1"/>
    <col min="13022" max="13022" width="19.5703125" style="1" bestFit="1" customWidth="1"/>
    <col min="13023" max="13050" width="0" style="1" hidden="1" customWidth="1"/>
    <col min="13051" max="13051" width="12.42578125" style="1" bestFit="1" customWidth="1"/>
    <col min="13052" max="13069" width="11.42578125" style="1" customWidth="1"/>
    <col min="13070" max="13265" width="9.140625" style="1" bestFit="1" customWidth="1"/>
    <col min="13266" max="13269" width="8.7109375" style="1"/>
    <col min="13270" max="13270" width="4.140625" style="1" customWidth="1"/>
    <col min="13271" max="13271" width="24" style="1" customWidth="1"/>
    <col min="13272" max="13272" width="9" style="1" customWidth="1"/>
    <col min="13273" max="13273" width="16.28515625" style="1" customWidth="1"/>
    <col min="13274" max="13274" width="12" style="1" customWidth="1"/>
    <col min="13275" max="13275" width="17.140625" style="1" customWidth="1"/>
    <col min="13276" max="13276" width="13.85546875" style="1" customWidth="1"/>
    <col min="13277" max="13277" width="19.28515625" style="1" customWidth="1"/>
    <col min="13278" max="13278" width="19.5703125" style="1" bestFit="1" customWidth="1"/>
    <col min="13279" max="13306" width="0" style="1" hidden="1" customWidth="1"/>
    <col min="13307" max="13307" width="12.42578125" style="1" bestFit="1" customWidth="1"/>
    <col min="13308" max="13325" width="11.42578125" style="1" customWidth="1"/>
    <col min="13326" max="13521" width="9.140625" style="1" bestFit="1" customWidth="1"/>
    <col min="13522" max="13525" width="8.7109375" style="1"/>
    <col min="13526" max="13526" width="4.140625" style="1" customWidth="1"/>
    <col min="13527" max="13527" width="24" style="1" customWidth="1"/>
    <col min="13528" max="13528" width="9" style="1" customWidth="1"/>
    <col min="13529" max="13529" width="16.28515625" style="1" customWidth="1"/>
    <col min="13530" max="13530" width="12" style="1" customWidth="1"/>
    <col min="13531" max="13531" width="17.140625" style="1" customWidth="1"/>
    <col min="13532" max="13532" width="13.85546875" style="1" customWidth="1"/>
    <col min="13533" max="13533" width="19.28515625" style="1" customWidth="1"/>
    <col min="13534" max="13534" width="19.5703125" style="1" bestFit="1" customWidth="1"/>
    <col min="13535" max="13562" width="0" style="1" hidden="1" customWidth="1"/>
    <col min="13563" max="13563" width="12.42578125" style="1" bestFit="1" customWidth="1"/>
    <col min="13564" max="13581" width="11.42578125" style="1" customWidth="1"/>
    <col min="13582" max="13777" width="9.140625" style="1" bestFit="1" customWidth="1"/>
    <col min="13778" max="13781" width="8.7109375" style="1"/>
    <col min="13782" max="13782" width="4.140625" style="1" customWidth="1"/>
    <col min="13783" max="13783" width="24" style="1" customWidth="1"/>
    <col min="13784" max="13784" width="9" style="1" customWidth="1"/>
    <col min="13785" max="13785" width="16.28515625" style="1" customWidth="1"/>
    <col min="13786" max="13786" width="12" style="1" customWidth="1"/>
    <col min="13787" max="13787" width="17.140625" style="1" customWidth="1"/>
    <col min="13788" max="13788" width="13.85546875" style="1" customWidth="1"/>
    <col min="13789" max="13789" width="19.28515625" style="1" customWidth="1"/>
    <col min="13790" max="13790" width="19.5703125" style="1" bestFit="1" customWidth="1"/>
    <col min="13791" max="13818" width="0" style="1" hidden="1" customWidth="1"/>
    <col min="13819" max="13819" width="12.42578125" style="1" bestFit="1" customWidth="1"/>
    <col min="13820" max="13837" width="11.42578125" style="1" customWidth="1"/>
    <col min="13838" max="14033" width="9.140625" style="1" bestFit="1" customWidth="1"/>
    <col min="14034" max="14037" width="8.7109375" style="1"/>
    <col min="14038" max="14038" width="4.140625" style="1" customWidth="1"/>
    <col min="14039" max="14039" width="24" style="1" customWidth="1"/>
    <col min="14040" max="14040" width="9" style="1" customWidth="1"/>
    <col min="14041" max="14041" width="16.28515625" style="1" customWidth="1"/>
    <col min="14042" max="14042" width="12" style="1" customWidth="1"/>
    <col min="14043" max="14043" width="17.140625" style="1" customWidth="1"/>
    <col min="14044" max="14044" width="13.85546875" style="1" customWidth="1"/>
    <col min="14045" max="14045" width="19.28515625" style="1" customWidth="1"/>
    <col min="14046" max="14046" width="19.5703125" style="1" bestFit="1" customWidth="1"/>
    <col min="14047" max="14074" width="0" style="1" hidden="1" customWidth="1"/>
    <col min="14075" max="14075" width="12.42578125" style="1" bestFit="1" customWidth="1"/>
    <col min="14076" max="14093" width="11.42578125" style="1" customWidth="1"/>
    <col min="14094" max="14289" width="9.140625" style="1" bestFit="1" customWidth="1"/>
    <col min="14290" max="14293" width="8.7109375" style="1"/>
    <col min="14294" max="14294" width="4.140625" style="1" customWidth="1"/>
    <col min="14295" max="14295" width="24" style="1" customWidth="1"/>
    <col min="14296" max="14296" width="9" style="1" customWidth="1"/>
    <col min="14297" max="14297" width="16.28515625" style="1" customWidth="1"/>
    <col min="14298" max="14298" width="12" style="1" customWidth="1"/>
    <col min="14299" max="14299" width="17.140625" style="1" customWidth="1"/>
    <col min="14300" max="14300" width="13.85546875" style="1" customWidth="1"/>
    <col min="14301" max="14301" width="19.28515625" style="1" customWidth="1"/>
    <col min="14302" max="14302" width="19.5703125" style="1" bestFit="1" customWidth="1"/>
    <col min="14303" max="14330" width="0" style="1" hidden="1" customWidth="1"/>
    <col min="14331" max="14331" width="12.42578125" style="1" bestFit="1" customWidth="1"/>
    <col min="14332" max="14349" width="11.42578125" style="1" customWidth="1"/>
    <col min="14350" max="14545" width="9.140625" style="1" bestFit="1" customWidth="1"/>
    <col min="14546" max="14549" width="8.7109375" style="1"/>
    <col min="14550" max="14550" width="4.140625" style="1" customWidth="1"/>
    <col min="14551" max="14551" width="24" style="1" customWidth="1"/>
    <col min="14552" max="14552" width="9" style="1" customWidth="1"/>
    <col min="14553" max="14553" width="16.28515625" style="1" customWidth="1"/>
    <col min="14554" max="14554" width="12" style="1" customWidth="1"/>
    <col min="14555" max="14555" width="17.140625" style="1" customWidth="1"/>
    <col min="14556" max="14556" width="13.85546875" style="1" customWidth="1"/>
    <col min="14557" max="14557" width="19.28515625" style="1" customWidth="1"/>
    <col min="14558" max="14558" width="19.5703125" style="1" bestFit="1" customWidth="1"/>
    <col min="14559" max="14586" width="0" style="1" hidden="1" customWidth="1"/>
    <col min="14587" max="14587" width="12.42578125" style="1" bestFit="1" customWidth="1"/>
    <col min="14588" max="14605" width="11.42578125" style="1" customWidth="1"/>
    <col min="14606" max="14801" width="9.140625" style="1" bestFit="1" customWidth="1"/>
    <col min="14802" max="14805" width="8.7109375" style="1"/>
    <col min="14806" max="14806" width="4.140625" style="1" customWidth="1"/>
    <col min="14807" max="14807" width="24" style="1" customWidth="1"/>
    <col min="14808" max="14808" width="9" style="1" customWidth="1"/>
    <col min="14809" max="14809" width="16.28515625" style="1" customWidth="1"/>
    <col min="14810" max="14810" width="12" style="1" customWidth="1"/>
    <col min="14811" max="14811" width="17.140625" style="1" customWidth="1"/>
    <col min="14812" max="14812" width="13.85546875" style="1" customWidth="1"/>
    <col min="14813" max="14813" width="19.28515625" style="1" customWidth="1"/>
    <col min="14814" max="14814" width="19.5703125" style="1" bestFit="1" customWidth="1"/>
    <col min="14815" max="14842" width="0" style="1" hidden="1" customWidth="1"/>
    <col min="14843" max="14843" width="12.42578125" style="1" bestFit="1" customWidth="1"/>
    <col min="14844" max="14861" width="11.42578125" style="1" customWidth="1"/>
    <col min="14862" max="15057" width="9.140625" style="1" bestFit="1" customWidth="1"/>
    <col min="15058" max="15061" width="8.7109375" style="1"/>
    <col min="15062" max="15062" width="4.140625" style="1" customWidth="1"/>
    <col min="15063" max="15063" width="24" style="1" customWidth="1"/>
    <col min="15064" max="15064" width="9" style="1" customWidth="1"/>
    <col min="15065" max="15065" width="16.28515625" style="1" customWidth="1"/>
    <col min="15066" max="15066" width="12" style="1" customWidth="1"/>
    <col min="15067" max="15067" width="17.140625" style="1" customWidth="1"/>
    <col min="15068" max="15068" width="13.85546875" style="1" customWidth="1"/>
    <col min="15069" max="15069" width="19.28515625" style="1" customWidth="1"/>
    <col min="15070" max="15070" width="19.5703125" style="1" bestFit="1" customWidth="1"/>
    <col min="15071" max="15098" width="0" style="1" hidden="1" customWidth="1"/>
    <col min="15099" max="15099" width="12.42578125" style="1" bestFit="1" customWidth="1"/>
    <col min="15100" max="15117" width="11.42578125" style="1" customWidth="1"/>
    <col min="15118" max="15313" width="9.140625" style="1" bestFit="1" customWidth="1"/>
    <col min="15314" max="15317" width="8.7109375" style="1"/>
    <col min="15318" max="15318" width="4.140625" style="1" customWidth="1"/>
    <col min="15319" max="15319" width="24" style="1" customWidth="1"/>
    <col min="15320" max="15320" width="9" style="1" customWidth="1"/>
    <col min="15321" max="15321" width="16.28515625" style="1" customWidth="1"/>
    <col min="15322" max="15322" width="12" style="1" customWidth="1"/>
    <col min="15323" max="15323" width="17.140625" style="1" customWidth="1"/>
    <col min="15324" max="15324" width="13.85546875" style="1" customWidth="1"/>
    <col min="15325" max="15325" width="19.28515625" style="1" customWidth="1"/>
    <col min="15326" max="15326" width="19.5703125" style="1" bestFit="1" customWidth="1"/>
    <col min="15327" max="15354" width="0" style="1" hidden="1" customWidth="1"/>
    <col min="15355" max="15355" width="12.42578125" style="1" bestFit="1" customWidth="1"/>
    <col min="15356" max="15373" width="11.42578125" style="1" customWidth="1"/>
    <col min="15374" max="15569" width="9.140625" style="1" bestFit="1" customWidth="1"/>
    <col min="15570" max="15573" width="8.7109375" style="1"/>
    <col min="15574" max="15574" width="4.140625" style="1" customWidth="1"/>
    <col min="15575" max="15575" width="24" style="1" customWidth="1"/>
    <col min="15576" max="15576" width="9" style="1" customWidth="1"/>
    <col min="15577" max="15577" width="16.28515625" style="1" customWidth="1"/>
    <col min="15578" max="15578" width="12" style="1" customWidth="1"/>
    <col min="15579" max="15579" width="17.140625" style="1" customWidth="1"/>
    <col min="15580" max="15580" width="13.85546875" style="1" customWidth="1"/>
    <col min="15581" max="15581" width="19.28515625" style="1" customWidth="1"/>
    <col min="15582" max="15582" width="19.5703125" style="1" bestFit="1" customWidth="1"/>
    <col min="15583" max="15610" width="0" style="1" hidden="1" customWidth="1"/>
    <col min="15611" max="15611" width="12.42578125" style="1" bestFit="1" customWidth="1"/>
    <col min="15612" max="15629" width="11.42578125" style="1" customWidth="1"/>
    <col min="15630" max="15825" width="9.140625" style="1" bestFit="1" customWidth="1"/>
    <col min="15826" max="15829" width="8.7109375" style="1"/>
    <col min="15830" max="15830" width="4.140625" style="1" customWidth="1"/>
    <col min="15831" max="15831" width="24" style="1" customWidth="1"/>
    <col min="15832" max="15832" width="9" style="1" customWidth="1"/>
    <col min="15833" max="15833" width="16.28515625" style="1" customWidth="1"/>
    <col min="15834" max="15834" width="12" style="1" customWidth="1"/>
    <col min="15835" max="15835" width="17.140625" style="1" customWidth="1"/>
    <col min="15836" max="15836" width="13.85546875" style="1" customWidth="1"/>
    <col min="15837" max="15837" width="19.28515625" style="1" customWidth="1"/>
    <col min="15838" max="15838" width="19.5703125" style="1" bestFit="1" customWidth="1"/>
    <col min="15839" max="15866" width="0" style="1" hidden="1" customWidth="1"/>
    <col min="15867" max="15867" width="12.42578125" style="1" bestFit="1" customWidth="1"/>
    <col min="15868" max="15885" width="11.42578125" style="1" customWidth="1"/>
    <col min="15886" max="16081" width="9.140625" style="1" bestFit="1" customWidth="1"/>
    <col min="16082" max="16085" width="8.7109375" style="1"/>
    <col min="16086" max="16086" width="4.140625" style="1" customWidth="1"/>
    <col min="16087" max="16087" width="24" style="1" customWidth="1"/>
    <col min="16088" max="16088" width="9" style="1" customWidth="1"/>
    <col min="16089" max="16089" width="16.28515625" style="1" customWidth="1"/>
    <col min="16090" max="16090" width="12" style="1" customWidth="1"/>
    <col min="16091" max="16091" width="17.140625" style="1" customWidth="1"/>
    <col min="16092" max="16092" width="13.85546875" style="1" customWidth="1"/>
    <col min="16093" max="16093" width="19.28515625" style="1" customWidth="1"/>
    <col min="16094" max="16094" width="19.5703125" style="1" bestFit="1" customWidth="1"/>
    <col min="16095" max="16122" width="0" style="1" hidden="1" customWidth="1"/>
    <col min="16123" max="16123" width="12.42578125" style="1" bestFit="1" customWidth="1"/>
    <col min="16124" max="16141" width="11.42578125" style="1" customWidth="1"/>
    <col min="16142" max="16337" width="9.140625" style="1" bestFit="1" customWidth="1"/>
    <col min="16338" max="16384" width="8.7109375" style="1"/>
  </cols>
  <sheetData>
    <row r="1" spans="1:21" ht="18" customHeight="1">
      <c r="A1" s="1" t="s">
        <v>186</v>
      </c>
    </row>
    <row r="2" spans="1:21" s="6" customFormat="1" ht="37.5" customHeight="1">
      <c r="A2" s="159" t="s">
        <v>167</v>
      </c>
      <c r="B2" s="159"/>
      <c r="C2" s="159"/>
      <c r="D2" s="13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</row>
    <row r="3" spans="1:21" ht="18" customHeight="1">
      <c r="A3" s="160"/>
      <c r="B3" s="160"/>
      <c r="C3" s="160"/>
    </row>
    <row r="4" spans="1:21" ht="18" customHeight="1">
      <c r="D4" s="138"/>
      <c r="E4" s="3"/>
      <c r="F4" s="8"/>
      <c r="G4" s="9"/>
      <c r="H4" s="9"/>
      <c r="I4" s="9"/>
      <c r="J4" s="9"/>
      <c r="K4" s="9"/>
      <c r="L4" s="9"/>
      <c r="M4" s="3"/>
    </row>
    <row r="5" spans="1:21" ht="18" customHeight="1">
      <c r="A5" s="161" t="s">
        <v>0</v>
      </c>
      <c r="B5" s="161" t="s">
        <v>1</v>
      </c>
      <c r="C5" s="161" t="s">
        <v>2</v>
      </c>
      <c r="D5" s="158" t="s">
        <v>157</v>
      </c>
      <c r="E5" s="152" t="s">
        <v>4</v>
      </c>
      <c r="F5" s="157" t="s">
        <v>5</v>
      </c>
      <c r="G5" s="153" t="s">
        <v>6</v>
      </c>
      <c r="H5" s="153" t="s">
        <v>7</v>
      </c>
      <c r="I5" s="153" t="s">
        <v>165</v>
      </c>
      <c r="J5" s="153" t="s">
        <v>8</v>
      </c>
      <c r="K5" s="153" t="s">
        <v>9</v>
      </c>
      <c r="L5" s="153" t="s">
        <v>10</v>
      </c>
      <c r="M5" s="152" t="s">
        <v>11</v>
      </c>
      <c r="N5" s="154" t="s">
        <v>16</v>
      </c>
      <c r="O5" s="152" t="s">
        <v>34</v>
      </c>
      <c r="P5" s="152" t="s">
        <v>12</v>
      </c>
      <c r="Q5" s="149" t="s">
        <v>159</v>
      </c>
      <c r="R5" s="149" t="s">
        <v>160</v>
      </c>
      <c r="S5" s="149" t="s">
        <v>161</v>
      </c>
      <c r="T5" s="149" t="s">
        <v>179</v>
      </c>
      <c r="U5" s="149" t="s">
        <v>162</v>
      </c>
    </row>
    <row r="6" spans="1:21" ht="18" customHeight="1">
      <c r="A6" s="162"/>
      <c r="B6" s="162"/>
      <c r="C6" s="162"/>
      <c r="D6" s="158"/>
      <c r="E6" s="152"/>
      <c r="F6" s="157"/>
      <c r="G6" s="153"/>
      <c r="H6" s="153"/>
      <c r="I6" s="153"/>
      <c r="J6" s="153"/>
      <c r="K6" s="153"/>
      <c r="L6" s="153"/>
      <c r="M6" s="152"/>
      <c r="N6" s="155"/>
      <c r="O6" s="152"/>
      <c r="P6" s="152"/>
      <c r="Q6" s="150"/>
      <c r="R6" s="150"/>
      <c r="S6" s="150"/>
      <c r="T6" s="150"/>
      <c r="U6" s="150"/>
    </row>
    <row r="7" spans="1:21" ht="18" hidden="1" customHeight="1">
      <c r="A7" s="4"/>
      <c r="B7" s="4"/>
      <c r="C7" s="4"/>
      <c r="E7" s="11"/>
      <c r="G7" s="12"/>
      <c r="H7" s="12"/>
      <c r="I7" s="12"/>
      <c r="J7" s="12"/>
      <c r="K7" s="12"/>
      <c r="L7" s="12"/>
      <c r="O7" s="102"/>
      <c r="P7" s="102"/>
      <c r="Q7" s="150"/>
      <c r="R7" s="151"/>
      <c r="S7" s="151"/>
      <c r="T7" s="151"/>
      <c r="U7" s="151"/>
    </row>
    <row r="8" spans="1:21" ht="18" customHeight="1">
      <c r="A8" s="140"/>
      <c r="B8" s="140"/>
      <c r="C8" s="140"/>
      <c r="D8" s="69"/>
      <c r="E8" s="141"/>
      <c r="F8" s="15"/>
      <c r="G8" s="103"/>
      <c r="H8" s="103"/>
      <c r="I8" s="103"/>
      <c r="J8" s="103"/>
      <c r="K8" s="103"/>
      <c r="L8" s="103"/>
      <c r="M8" s="103"/>
      <c r="N8" s="103"/>
      <c r="O8" s="69"/>
      <c r="P8" s="16"/>
      <c r="Q8" s="104"/>
      <c r="R8" s="103"/>
      <c r="S8" s="103"/>
      <c r="T8" s="103"/>
      <c r="U8" s="143"/>
    </row>
    <row r="9" spans="1:21" ht="18" customHeight="1">
      <c r="A9" s="119"/>
      <c r="B9" s="120"/>
      <c r="C9" s="120"/>
      <c r="D9" s="139"/>
      <c r="E9" s="121"/>
      <c r="F9" s="122"/>
      <c r="G9" s="142"/>
      <c r="H9" s="142"/>
      <c r="I9" s="142"/>
      <c r="J9" s="142"/>
      <c r="K9" s="142"/>
      <c r="L9" s="142"/>
      <c r="M9" s="143"/>
      <c r="N9" s="143">
        <f>12000*(G9+U9)</f>
        <v>0</v>
      </c>
      <c r="O9" s="143"/>
      <c r="P9" s="122">
        <f>10000*(G9+U9)</f>
        <v>0</v>
      </c>
      <c r="Q9" s="144"/>
      <c r="R9" s="143"/>
      <c r="S9" s="143"/>
      <c r="T9" s="143"/>
      <c r="U9" s="143"/>
    </row>
    <row r="10" spans="1:21" ht="18" customHeight="1">
      <c r="A10" s="115"/>
      <c r="B10" s="120"/>
      <c r="C10" s="120"/>
      <c r="D10" s="122"/>
      <c r="E10" s="117"/>
      <c r="F10" s="122"/>
      <c r="G10" s="143"/>
      <c r="H10" s="143"/>
      <c r="I10" s="143"/>
      <c r="J10" s="143"/>
      <c r="K10" s="143"/>
      <c r="L10" s="143"/>
      <c r="M10" s="143"/>
      <c r="N10" s="103"/>
      <c r="O10" s="122"/>
      <c r="P10" s="16"/>
      <c r="Q10" s="144"/>
      <c r="R10" s="143"/>
      <c r="S10" s="143"/>
      <c r="T10" s="143"/>
      <c r="U10" s="143"/>
    </row>
    <row r="11" spans="1:21" ht="18" customHeight="1">
      <c r="A11" s="119"/>
      <c r="B11" s="123"/>
      <c r="C11" s="116"/>
      <c r="D11" s="139"/>
      <c r="E11" s="121"/>
      <c r="F11" s="122"/>
      <c r="G11" s="142"/>
      <c r="H11" s="142"/>
      <c r="I11" s="142"/>
      <c r="J11" s="142"/>
      <c r="K11" s="142"/>
      <c r="L11" s="142"/>
      <c r="M11" s="143"/>
      <c r="N11" s="143">
        <f>12000*(G11+U11)</f>
        <v>0</v>
      </c>
      <c r="O11" s="143"/>
      <c r="P11" s="122">
        <f t="shared" ref="P11" si="0">10000*(G11+U11)</f>
        <v>0</v>
      </c>
      <c r="Q11" s="144"/>
      <c r="R11" s="143"/>
      <c r="S11" s="143"/>
      <c r="T11" s="143"/>
      <c r="U11" s="143"/>
    </row>
    <row r="12" spans="1:21" ht="18" customHeight="1">
      <c r="A12" s="115"/>
      <c r="B12" s="120"/>
      <c r="C12" s="120"/>
      <c r="D12" s="122"/>
      <c r="E12" s="117"/>
      <c r="F12" s="122"/>
      <c r="G12" s="143"/>
      <c r="H12" s="143"/>
      <c r="I12" s="143"/>
      <c r="J12" s="143"/>
      <c r="K12" s="143"/>
      <c r="L12" s="143"/>
      <c r="M12" s="143"/>
      <c r="N12" s="103"/>
      <c r="O12" s="122"/>
      <c r="P12" s="16"/>
      <c r="Q12" s="144"/>
      <c r="R12" s="143"/>
      <c r="S12" s="143"/>
      <c r="T12" s="143"/>
      <c r="U12" s="143"/>
    </row>
    <row r="13" spans="1:21" ht="18" customHeight="1">
      <c r="A13" s="119"/>
      <c r="B13" s="120"/>
      <c r="C13" s="120"/>
      <c r="D13" s="139"/>
      <c r="E13" s="121"/>
      <c r="F13" s="122"/>
      <c r="G13" s="142"/>
      <c r="H13" s="142"/>
      <c r="I13" s="142"/>
      <c r="J13" s="142"/>
      <c r="K13" s="142"/>
      <c r="L13" s="142"/>
      <c r="M13" s="143"/>
      <c r="N13" s="143">
        <f t="shared" ref="N13" si="1">12000*(G13+U13)</f>
        <v>0</v>
      </c>
      <c r="O13" s="143"/>
      <c r="P13" s="122">
        <f t="shared" ref="P13" si="2">10000*(G13+U13)</f>
        <v>0</v>
      </c>
      <c r="Q13" s="144"/>
      <c r="R13" s="143"/>
      <c r="S13" s="143"/>
      <c r="T13" s="143"/>
      <c r="U13" s="143"/>
    </row>
    <row r="14" spans="1:21" ht="18" customHeight="1">
      <c r="A14" s="115"/>
      <c r="B14" s="116"/>
      <c r="C14" s="116"/>
      <c r="D14" s="122"/>
      <c r="E14" s="118"/>
      <c r="F14" s="118"/>
      <c r="G14" s="143"/>
      <c r="H14" s="143"/>
      <c r="I14" s="143"/>
      <c r="J14" s="143"/>
      <c r="K14" s="143"/>
      <c r="L14" s="143"/>
      <c r="M14" s="143"/>
      <c r="N14" s="103"/>
      <c r="O14" s="122"/>
      <c r="P14" s="16"/>
      <c r="Q14" s="144"/>
      <c r="R14" s="143"/>
      <c r="S14" s="143"/>
      <c r="T14" s="143"/>
      <c r="U14" s="143"/>
    </row>
    <row r="15" spans="1:21" s="13" customFormat="1" ht="18" customHeight="1">
      <c r="A15" s="119"/>
      <c r="B15" s="120"/>
      <c r="C15" s="120"/>
      <c r="D15" s="139"/>
      <c r="E15" s="121"/>
      <c r="F15" s="122"/>
      <c r="G15" s="142"/>
      <c r="H15" s="142"/>
      <c r="I15" s="142"/>
      <c r="J15" s="142"/>
      <c r="K15" s="142"/>
      <c r="L15" s="142"/>
      <c r="M15" s="143"/>
      <c r="N15" s="143">
        <f t="shared" ref="N15" si="3">12000*(G15+U15)</f>
        <v>0</v>
      </c>
      <c r="O15" s="143"/>
      <c r="P15" s="122">
        <f t="shared" ref="P15" si="4">10000*(G15+U15)</f>
        <v>0</v>
      </c>
      <c r="Q15" s="144"/>
      <c r="R15" s="143"/>
      <c r="S15" s="143"/>
      <c r="T15" s="143"/>
      <c r="U15" s="143"/>
    </row>
    <row r="16" spans="1:21" s="13" customFormat="1" ht="18" customHeight="1">
      <c r="A16" s="115"/>
      <c r="B16" s="123"/>
      <c r="C16" s="116"/>
      <c r="D16" s="122"/>
      <c r="E16" s="117"/>
      <c r="F16" s="122"/>
      <c r="G16" s="143"/>
      <c r="H16" s="143"/>
      <c r="I16" s="143"/>
      <c r="J16" s="143"/>
      <c r="K16" s="143"/>
      <c r="L16" s="143"/>
      <c r="M16" s="143"/>
      <c r="N16" s="103"/>
      <c r="O16" s="122"/>
      <c r="P16" s="16"/>
      <c r="Q16" s="144"/>
      <c r="R16" s="143"/>
      <c r="S16" s="143"/>
      <c r="T16" s="143"/>
      <c r="U16" s="143"/>
    </row>
    <row r="17" spans="1:21" s="13" customFormat="1" ht="18" customHeight="1">
      <c r="A17" s="119"/>
      <c r="B17" s="124"/>
      <c r="C17" s="116"/>
      <c r="D17" s="139"/>
      <c r="E17" s="121"/>
      <c r="F17" s="122"/>
      <c r="G17" s="142"/>
      <c r="H17" s="142"/>
      <c r="I17" s="142"/>
      <c r="J17" s="142"/>
      <c r="K17" s="142"/>
      <c r="L17" s="142"/>
      <c r="M17" s="143"/>
      <c r="N17" s="143">
        <f t="shared" ref="N17" si="5">12000*(G17+U17)</f>
        <v>0</v>
      </c>
      <c r="O17" s="143"/>
      <c r="P17" s="122">
        <f t="shared" ref="P17" si="6">10000*(G17+U17)</f>
        <v>0</v>
      </c>
      <c r="Q17" s="144"/>
      <c r="R17" s="143"/>
      <c r="S17" s="143"/>
      <c r="T17" s="143"/>
      <c r="U17" s="143"/>
    </row>
    <row r="18" spans="1:21" s="13" customFormat="1" ht="18" customHeight="1">
      <c r="A18" s="115"/>
      <c r="B18" s="123"/>
      <c r="C18" s="116"/>
      <c r="D18" s="122"/>
      <c r="E18" s="117"/>
      <c r="F18" s="122"/>
      <c r="G18" s="143"/>
      <c r="H18" s="143"/>
      <c r="I18" s="143"/>
      <c r="J18" s="143"/>
      <c r="K18" s="143"/>
      <c r="L18" s="143"/>
      <c r="M18" s="143"/>
      <c r="N18" s="103"/>
      <c r="O18" s="122"/>
      <c r="P18" s="16"/>
      <c r="Q18" s="144"/>
      <c r="R18" s="143"/>
      <c r="S18" s="143"/>
      <c r="T18" s="143"/>
      <c r="U18" s="143"/>
    </row>
    <row r="19" spans="1:21" s="13" customFormat="1" ht="18" customHeight="1">
      <c r="A19" s="119"/>
      <c r="B19" s="116"/>
      <c r="C19" s="116"/>
      <c r="D19" s="139"/>
      <c r="E19" s="130"/>
      <c r="F19" s="125"/>
      <c r="G19" s="142"/>
      <c r="H19" s="142"/>
      <c r="I19" s="142"/>
      <c r="J19" s="142"/>
      <c r="K19" s="142"/>
      <c r="L19" s="142"/>
      <c r="M19" s="143"/>
      <c r="N19" s="143">
        <f t="shared" ref="N19" si="7">12000*(G19+U19)</f>
        <v>0</v>
      </c>
      <c r="O19" s="143"/>
      <c r="P19" s="122">
        <f t="shared" ref="P19" si="8">10000*(G19+U19)</f>
        <v>0</v>
      </c>
      <c r="Q19" s="144"/>
      <c r="R19" s="143"/>
      <c r="S19" s="143"/>
      <c r="T19" s="143"/>
      <c r="U19" s="143"/>
    </row>
    <row r="20" spans="1:21" s="13" customFormat="1" ht="18" customHeight="1">
      <c r="A20" s="115"/>
      <c r="B20" s="116"/>
      <c r="C20" s="116"/>
      <c r="D20" s="122"/>
      <c r="E20" s="119"/>
      <c r="F20" s="116"/>
      <c r="G20" s="143"/>
      <c r="H20" s="143"/>
      <c r="I20" s="143"/>
      <c r="J20" s="143"/>
      <c r="K20" s="143"/>
      <c r="L20" s="143"/>
      <c r="M20" s="143"/>
      <c r="N20" s="103"/>
      <c r="O20" s="122"/>
      <c r="P20" s="16"/>
      <c r="Q20" s="144"/>
      <c r="R20" s="143"/>
      <c r="S20" s="143"/>
      <c r="T20" s="143"/>
      <c r="U20" s="143"/>
    </row>
    <row r="21" spans="1:21" s="13" customFormat="1" ht="18" customHeight="1">
      <c r="A21" s="119"/>
      <c r="B21" s="116"/>
      <c r="C21" s="116"/>
      <c r="D21" s="139"/>
      <c r="E21" s="130"/>
      <c r="F21" s="125"/>
      <c r="G21" s="142"/>
      <c r="H21" s="142"/>
      <c r="I21" s="142"/>
      <c r="J21" s="142"/>
      <c r="K21" s="142"/>
      <c r="L21" s="142"/>
      <c r="M21" s="143"/>
      <c r="N21" s="143">
        <f t="shared" ref="N21" si="9">12000*(G21+U21)</f>
        <v>0</v>
      </c>
      <c r="O21" s="143"/>
      <c r="P21" s="122">
        <f t="shared" ref="P21" si="10">10000*(G21+U21)</f>
        <v>0</v>
      </c>
      <c r="Q21" s="144"/>
      <c r="R21" s="143"/>
      <c r="S21" s="143"/>
      <c r="T21" s="143"/>
      <c r="U21" s="143"/>
    </row>
    <row r="22" spans="1:21" s="13" customFormat="1" ht="18" customHeight="1">
      <c r="A22" s="115"/>
      <c r="B22" s="123"/>
      <c r="C22" s="116"/>
      <c r="D22" s="122"/>
      <c r="E22" s="117"/>
      <c r="F22" s="122"/>
      <c r="G22" s="143"/>
      <c r="H22" s="143"/>
      <c r="I22" s="143"/>
      <c r="J22" s="145"/>
      <c r="K22" s="145"/>
      <c r="L22" s="145"/>
      <c r="M22" s="118"/>
      <c r="N22" s="103"/>
      <c r="O22" s="122"/>
      <c r="P22" s="16"/>
      <c r="Q22" s="144"/>
      <c r="R22" s="143"/>
      <c r="S22" s="143"/>
      <c r="T22" s="143"/>
      <c r="U22" s="143"/>
    </row>
    <row r="23" spans="1:21" s="13" customFormat="1" ht="18" customHeight="1">
      <c r="A23" s="119"/>
      <c r="B23" s="123"/>
      <c r="C23" s="116"/>
      <c r="D23" s="139"/>
      <c r="E23" s="117"/>
      <c r="F23" s="122"/>
      <c r="G23" s="146"/>
      <c r="H23" s="146"/>
      <c r="I23" s="145"/>
      <c r="J23" s="145"/>
      <c r="K23" s="145"/>
      <c r="L23" s="145"/>
      <c r="M23" s="118"/>
      <c r="N23" s="143">
        <f t="shared" ref="N23" si="11">12000*(G23+U23)</f>
        <v>0</v>
      </c>
      <c r="O23" s="122"/>
      <c r="P23" s="122">
        <f t="shared" ref="P23" si="12">10000*(G23+U23)</f>
        <v>0</v>
      </c>
      <c r="Q23" s="116"/>
      <c r="R23" s="116"/>
      <c r="S23" s="116"/>
      <c r="T23" s="116"/>
      <c r="U23" s="116"/>
    </row>
    <row r="24" spans="1:21" s="13" customFormat="1" ht="18" customHeight="1">
      <c r="A24" s="115"/>
      <c r="B24" s="123"/>
      <c r="C24" s="116"/>
      <c r="D24" s="122"/>
      <c r="E24" s="117"/>
      <c r="F24" s="118"/>
      <c r="G24" s="118"/>
      <c r="H24" s="118"/>
      <c r="I24" s="145"/>
      <c r="J24" s="118"/>
      <c r="K24" s="118"/>
      <c r="L24" s="145"/>
      <c r="M24" s="118"/>
      <c r="N24" s="103"/>
      <c r="O24" s="118"/>
      <c r="P24" s="16"/>
      <c r="Q24" s="116"/>
      <c r="R24" s="116"/>
      <c r="S24" s="116"/>
      <c r="T24" s="116"/>
      <c r="U24" s="116"/>
    </row>
    <row r="25" spans="1:21" s="13" customFormat="1" ht="18" customHeight="1">
      <c r="A25" s="119"/>
      <c r="B25" s="123"/>
      <c r="C25" s="116"/>
      <c r="D25" s="122"/>
      <c r="E25" s="117"/>
      <c r="F25" s="118"/>
      <c r="G25" s="118"/>
      <c r="H25" s="118"/>
      <c r="I25" s="118"/>
      <c r="J25" s="118"/>
      <c r="K25" s="118"/>
      <c r="L25" s="118"/>
      <c r="M25" s="118"/>
      <c r="N25" s="143">
        <f t="shared" ref="N25:N83" si="13">12000*(G25+U25)</f>
        <v>0</v>
      </c>
      <c r="O25" s="118"/>
      <c r="P25" s="122">
        <f t="shared" ref="P25" si="14">10000*(G25+U25)</f>
        <v>0</v>
      </c>
      <c r="Q25" s="116"/>
      <c r="R25" s="116"/>
      <c r="S25" s="116"/>
      <c r="T25" s="116"/>
      <c r="U25" s="116"/>
    </row>
    <row r="26" spans="1:21" s="13" customFormat="1" ht="18" customHeight="1">
      <c r="A26" s="115"/>
      <c r="B26" s="123"/>
      <c r="C26" s="116"/>
      <c r="D26" s="122"/>
      <c r="E26" s="117"/>
      <c r="F26" s="118"/>
      <c r="G26" s="118"/>
      <c r="H26" s="145"/>
      <c r="I26" s="145"/>
      <c r="J26" s="145"/>
      <c r="K26" s="145"/>
      <c r="L26" s="145"/>
      <c r="M26" s="118"/>
      <c r="N26" s="103"/>
      <c r="O26" s="118"/>
      <c r="P26" s="16"/>
      <c r="Q26" s="116"/>
      <c r="R26" s="116"/>
      <c r="S26" s="116"/>
      <c r="T26" s="116"/>
      <c r="U26" s="116"/>
    </row>
    <row r="27" spans="1:21" s="13" customFormat="1" ht="18" customHeight="1">
      <c r="A27" s="119"/>
      <c r="B27" s="123"/>
      <c r="C27" s="116"/>
      <c r="D27" s="122"/>
      <c r="E27" s="117"/>
      <c r="F27" s="118"/>
      <c r="G27" s="118"/>
      <c r="H27" s="118"/>
      <c r="I27" s="118"/>
      <c r="J27" s="118"/>
      <c r="K27" s="118"/>
      <c r="L27" s="118"/>
      <c r="M27" s="118"/>
      <c r="N27" s="143">
        <f t="shared" si="13"/>
        <v>0</v>
      </c>
      <c r="O27" s="118"/>
      <c r="P27" s="122">
        <f t="shared" ref="P27" si="15">10000*(G27+U27)</f>
        <v>0</v>
      </c>
      <c r="Q27" s="116"/>
      <c r="R27" s="116"/>
      <c r="S27" s="116"/>
      <c r="T27" s="116"/>
      <c r="U27" s="116"/>
    </row>
    <row r="28" spans="1:21" s="13" customFormat="1" ht="18" customHeight="1">
      <c r="A28" s="115"/>
      <c r="B28" s="123"/>
      <c r="C28" s="116"/>
      <c r="D28" s="122"/>
      <c r="E28" s="117"/>
      <c r="F28" s="118"/>
      <c r="G28" s="118"/>
      <c r="H28" s="145"/>
      <c r="I28" s="145"/>
      <c r="J28" s="145"/>
      <c r="K28" s="145"/>
      <c r="L28" s="145"/>
      <c r="M28" s="118"/>
      <c r="N28" s="103"/>
      <c r="O28" s="147"/>
      <c r="P28" s="16"/>
      <c r="Q28" s="116"/>
      <c r="R28" s="116"/>
      <c r="S28" s="116"/>
      <c r="T28" s="116"/>
      <c r="U28" s="116"/>
    </row>
    <row r="29" spans="1:21" s="13" customFormat="1" ht="18" customHeight="1">
      <c r="A29" s="119"/>
      <c r="B29" s="123"/>
      <c r="C29" s="116"/>
      <c r="D29" s="122"/>
      <c r="E29" s="117"/>
      <c r="F29" s="118"/>
      <c r="G29" s="118"/>
      <c r="H29" s="118"/>
      <c r="I29" s="118"/>
      <c r="J29" s="118"/>
      <c r="K29" s="118"/>
      <c r="L29" s="118"/>
      <c r="M29" s="118"/>
      <c r="N29" s="143">
        <f t="shared" si="13"/>
        <v>0</v>
      </c>
      <c r="O29" s="118"/>
      <c r="P29" s="122">
        <f t="shared" ref="P29" si="16">10000*(G29+U29)</f>
        <v>0</v>
      </c>
      <c r="Q29" s="116"/>
      <c r="R29" s="116"/>
      <c r="S29" s="116"/>
      <c r="T29" s="116"/>
      <c r="U29" s="116"/>
    </row>
    <row r="30" spans="1:21" s="13" customFormat="1" ht="18" customHeight="1">
      <c r="A30" s="115"/>
      <c r="B30" s="123"/>
      <c r="C30" s="116"/>
      <c r="D30" s="122"/>
      <c r="E30" s="117"/>
      <c r="F30" s="118"/>
      <c r="G30" s="118"/>
      <c r="H30" s="145"/>
      <c r="I30" s="145"/>
      <c r="J30" s="145"/>
      <c r="K30" s="145"/>
      <c r="L30" s="145"/>
      <c r="M30" s="118"/>
      <c r="N30" s="103"/>
      <c r="O30" s="147"/>
      <c r="P30" s="16"/>
      <c r="Q30" s="116"/>
      <c r="R30" s="116"/>
      <c r="S30" s="116"/>
      <c r="T30" s="116"/>
      <c r="U30" s="116"/>
    </row>
    <row r="31" spans="1:21" s="13" customFormat="1" ht="18" customHeight="1">
      <c r="A31" s="119"/>
      <c r="B31" s="123"/>
      <c r="C31" s="116"/>
      <c r="D31" s="122"/>
      <c r="E31" s="117"/>
      <c r="F31" s="118"/>
      <c r="G31" s="118"/>
      <c r="H31" s="118"/>
      <c r="I31" s="118"/>
      <c r="J31" s="118"/>
      <c r="K31" s="118"/>
      <c r="L31" s="118"/>
      <c r="M31" s="118"/>
      <c r="N31" s="143">
        <f t="shared" si="13"/>
        <v>0</v>
      </c>
      <c r="O31" s="118"/>
      <c r="P31" s="122">
        <f t="shared" ref="P31" si="17">10000*(G31+U31)</f>
        <v>0</v>
      </c>
      <c r="Q31" s="116"/>
      <c r="R31" s="116"/>
      <c r="S31" s="116"/>
      <c r="T31" s="116"/>
      <c r="U31" s="116"/>
    </row>
    <row r="32" spans="1:21" s="13" customFormat="1" ht="18" hidden="1" customHeight="1">
      <c r="A32" s="115"/>
      <c r="B32" s="123"/>
      <c r="C32" s="116"/>
      <c r="D32" s="122"/>
      <c r="E32" s="117"/>
      <c r="F32" s="118"/>
      <c r="G32" s="118"/>
      <c r="H32" s="145"/>
      <c r="I32" s="145"/>
      <c r="J32" s="145"/>
      <c r="K32" s="145"/>
      <c r="L32" s="145"/>
      <c r="M32" s="118"/>
      <c r="N32" s="103"/>
      <c r="O32" s="118"/>
      <c r="P32" s="16"/>
      <c r="Q32" s="116"/>
      <c r="R32" s="116"/>
      <c r="S32" s="116"/>
      <c r="T32" s="116"/>
      <c r="U32" s="116"/>
    </row>
    <row r="33" spans="1:21" s="13" customFormat="1" ht="18" customHeight="1">
      <c r="A33" s="119"/>
      <c r="B33" s="123"/>
      <c r="C33" s="116"/>
      <c r="D33" s="122"/>
      <c r="E33" s="117"/>
      <c r="F33" s="118"/>
      <c r="G33" s="118"/>
      <c r="H33" s="118"/>
      <c r="I33" s="118"/>
      <c r="J33" s="118"/>
      <c r="K33" s="118"/>
      <c r="L33" s="118"/>
      <c r="M33" s="118"/>
      <c r="N33" s="143">
        <f t="shared" si="13"/>
        <v>0</v>
      </c>
      <c r="O33" s="118"/>
      <c r="P33" s="122">
        <f t="shared" ref="P33" si="18">10000*(G33+U33)</f>
        <v>0</v>
      </c>
      <c r="Q33" s="116"/>
      <c r="R33" s="116"/>
      <c r="S33" s="116"/>
      <c r="T33" s="116"/>
      <c r="U33" s="116"/>
    </row>
    <row r="34" spans="1:21" s="13" customFormat="1" ht="18" hidden="1" customHeight="1">
      <c r="A34" s="115"/>
      <c r="B34" s="123"/>
      <c r="C34" s="116"/>
      <c r="D34" s="122"/>
      <c r="E34" s="117"/>
      <c r="F34" s="118"/>
      <c r="G34" s="118"/>
      <c r="H34" s="145"/>
      <c r="I34" s="145"/>
      <c r="J34" s="145"/>
      <c r="K34" s="145"/>
      <c r="L34" s="145"/>
      <c r="M34" s="118"/>
      <c r="N34" s="103"/>
      <c r="O34" s="118"/>
      <c r="P34" s="16"/>
      <c r="Q34" s="116"/>
      <c r="R34" s="116"/>
      <c r="S34" s="116"/>
      <c r="T34" s="116"/>
      <c r="U34" s="116"/>
    </row>
    <row r="35" spans="1:21" s="13" customFormat="1" ht="18" customHeight="1">
      <c r="A35" s="119"/>
      <c r="B35" s="123"/>
      <c r="C35" s="116"/>
      <c r="D35" s="122"/>
      <c r="E35" s="117"/>
      <c r="F35" s="118"/>
      <c r="G35" s="118"/>
      <c r="H35" s="118"/>
      <c r="I35" s="118"/>
      <c r="J35" s="118"/>
      <c r="K35" s="118"/>
      <c r="L35" s="118"/>
      <c r="M35" s="118"/>
      <c r="N35" s="143">
        <f t="shared" si="13"/>
        <v>0</v>
      </c>
      <c r="O35" s="118"/>
      <c r="P35" s="122">
        <f t="shared" ref="P35" si="19">10000*(G35+U35)</f>
        <v>0</v>
      </c>
      <c r="Q35" s="116"/>
      <c r="R35" s="116"/>
      <c r="S35" s="116"/>
      <c r="T35" s="116"/>
      <c r="U35" s="116"/>
    </row>
    <row r="36" spans="1:21" s="13" customFormat="1" ht="18" hidden="1" customHeight="1">
      <c r="A36" s="115"/>
      <c r="B36" s="123"/>
      <c r="C36" s="116"/>
      <c r="D36" s="122"/>
      <c r="E36" s="117"/>
      <c r="F36" s="118"/>
      <c r="G36" s="118"/>
      <c r="H36" s="145"/>
      <c r="I36" s="145"/>
      <c r="J36" s="145"/>
      <c r="K36" s="145"/>
      <c r="L36" s="145"/>
      <c r="M36" s="118"/>
      <c r="N36" s="103"/>
      <c r="O36" s="118"/>
      <c r="P36" s="16"/>
      <c r="Q36" s="116"/>
      <c r="R36" s="116"/>
      <c r="S36" s="116"/>
      <c r="T36" s="116"/>
      <c r="U36" s="116"/>
    </row>
    <row r="37" spans="1:21" s="13" customFormat="1" ht="18" customHeight="1">
      <c r="A37" s="119"/>
      <c r="B37" s="123"/>
      <c r="C37" s="116"/>
      <c r="D37" s="122"/>
      <c r="E37" s="117"/>
      <c r="F37" s="118"/>
      <c r="G37" s="118"/>
      <c r="H37" s="118"/>
      <c r="I37" s="118"/>
      <c r="J37" s="118"/>
      <c r="K37" s="118"/>
      <c r="L37" s="118"/>
      <c r="M37" s="118"/>
      <c r="N37" s="143">
        <f t="shared" si="13"/>
        <v>0</v>
      </c>
      <c r="O37" s="118"/>
      <c r="P37" s="122">
        <f t="shared" ref="P37" si="20">10000*(G37+U37)</f>
        <v>0</v>
      </c>
      <c r="Q37" s="116"/>
      <c r="R37" s="116"/>
      <c r="S37" s="116"/>
      <c r="T37" s="116"/>
      <c r="U37" s="116"/>
    </row>
    <row r="38" spans="1:21" s="13" customFormat="1" ht="18" hidden="1" customHeight="1">
      <c r="A38" s="115"/>
      <c r="B38" s="123"/>
      <c r="C38" s="116"/>
      <c r="D38" s="122"/>
      <c r="E38" s="117"/>
      <c r="F38" s="118"/>
      <c r="G38" s="118"/>
      <c r="H38" s="145"/>
      <c r="I38" s="145"/>
      <c r="J38" s="145"/>
      <c r="K38" s="145"/>
      <c r="L38" s="145"/>
      <c r="M38" s="118"/>
      <c r="N38" s="103"/>
      <c r="O38" s="118"/>
      <c r="P38" s="16"/>
      <c r="Q38" s="116"/>
      <c r="R38" s="116"/>
      <c r="S38" s="116"/>
      <c r="T38" s="116"/>
      <c r="U38" s="116"/>
    </row>
    <row r="39" spans="1:21" s="13" customFormat="1" ht="18" customHeight="1">
      <c r="A39" s="119"/>
      <c r="B39" s="123"/>
      <c r="C39" s="116"/>
      <c r="D39" s="122"/>
      <c r="E39" s="117"/>
      <c r="F39" s="118"/>
      <c r="G39" s="118"/>
      <c r="H39" s="118"/>
      <c r="I39" s="118"/>
      <c r="J39" s="118"/>
      <c r="K39" s="118"/>
      <c r="L39" s="118"/>
      <c r="M39" s="118"/>
      <c r="N39" s="143">
        <f t="shared" si="13"/>
        <v>0</v>
      </c>
      <c r="O39" s="118"/>
      <c r="P39" s="122">
        <f t="shared" ref="P39" si="21">10000*(G39+U39)</f>
        <v>0</v>
      </c>
      <c r="Q39" s="116"/>
      <c r="R39" s="116"/>
      <c r="S39" s="116"/>
      <c r="T39" s="116"/>
      <c r="U39" s="116"/>
    </row>
    <row r="40" spans="1:21" s="13" customFormat="1" ht="18" hidden="1" customHeight="1">
      <c r="A40" s="115"/>
      <c r="B40" s="123"/>
      <c r="C40" s="116"/>
      <c r="D40" s="122"/>
      <c r="E40" s="117"/>
      <c r="F40" s="118"/>
      <c r="G40" s="118"/>
      <c r="H40" s="145"/>
      <c r="I40" s="145"/>
      <c r="J40" s="145"/>
      <c r="K40" s="145"/>
      <c r="L40" s="145"/>
      <c r="M40" s="118"/>
      <c r="N40" s="103"/>
      <c r="O40" s="118"/>
      <c r="P40" s="16"/>
      <c r="Q40" s="116"/>
      <c r="R40" s="116"/>
      <c r="S40" s="116"/>
      <c r="T40" s="116"/>
      <c r="U40" s="116"/>
    </row>
    <row r="41" spans="1:21" s="13" customFormat="1" ht="18" customHeight="1">
      <c r="A41" s="119"/>
      <c r="B41" s="123"/>
      <c r="C41" s="116"/>
      <c r="D41" s="122"/>
      <c r="E41" s="117"/>
      <c r="F41" s="118"/>
      <c r="G41" s="118"/>
      <c r="H41" s="118"/>
      <c r="I41" s="118"/>
      <c r="J41" s="118"/>
      <c r="K41" s="118"/>
      <c r="L41" s="118"/>
      <c r="M41" s="118"/>
      <c r="N41" s="143">
        <f t="shared" si="13"/>
        <v>0</v>
      </c>
      <c r="O41" s="118"/>
      <c r="P41" s="122">
        <f t="shared" ref="P41" si="22">10000*(G41+U41)</f>
        <v>0</v>
      </c>
      <c r="Q41" s="116"/>
      <c r="R41" s="116"/>
      <c r="S41" s="116"/>
      <c r="T41" s="116"/>
      <c r="U41" s="116"/>
    </row>
    <row r="42" spans="1:21" s="13" customFormat="1" ht="18" hidden="1" customHeight="1">
      <c r="A42" s="115"/>
      <c r="B42" s="123"/>
      <c r="C42" s="116"/>
      <c r="D42" s="122"/>
      <c r="E42" s="117"/>
      <c r="F42" s="118"/>
      <c r="G42" s="118"/>
      <c r="H42" s="145"/>
      <c r="I42" s="145"/>
      <c r="J42" s="145"/>
      <c r="K42" s="145"/>
      <c r="L42" s="145"/>
      <c r="M42" s="118"/>
      <c r="N42" s="103"/>
      <c r="O42" s="118"/>
      <c r="P42" s="16"/>
      <c r="Q42" s="116"/>
      <c r="R42" s="116"/>
      <c r="S42" s="116"/>
      <c r="T42" s="116"/>
      <c r="U42" s="116"/>
    </row>
    <row r="43" spans="1:21" s="13" customFormat="1" ht="18" customHeight="1">
      <c r="A43" s="119"/>
      <c r="B43" s="123"/>
      <c r="C43" s="116"/>
      <c r="D43" s="122"/>
      <c r="E43" s="117"/>
      <c r="F43" s="118"/>
      <c r="G43" s="118"/>
      <c r="H43" s="118"/>
      <c r="I43" s="118"/>
      <c r="J43" s="118"/>
      <c r="K43" s="118"/>
      <c r="L43" s="118"/>
      <c r="M43" s="118"/>
      <c r="N43" s="143">
        <f t="shared" si="13"/>
        <v>0</v>
      </c>
      <c r="O43" s="118"/>
      <c r="P43" s="122">
        <f t="shared" ref="P43" si="23">10000*(G43+U43)</f>
        <v>0</v>
      </c>
      <c r="Q43" s="116"/>
      <c r="R43" s="116"/>
      <c r="S43" s="116"/>
      <c r="T43" s="116"/>
      <c r="U43" s="116"/>
    </row>
    <row r="44" spans="1:21" s="13" customFormat="1" ht="18" hidden="1" customHeight="1">
      <c r="A44" s="119"/>
      <c r="B44" s="123"/>
      <c r="C44" s="116"/>
      <c r="D44" s="122"/>
      <c r="E44" s="117"/>
      <c r="F44" s="118"/>
      <c r="G44" s="118"/>
      <c r="H44" s="145"/>
      <c r="I44" s="145"/>
      <c r="J44" s="145"/>
      <c r="K44" s="145"/>
      <c r="L44" s="145"/>
      <c r="M44" s="118"/>
      <c r="N44" s="103"/>
      <c r="O44" s="118"/>
      <c r="P44" s="16"/>
      <c r="Q44" s="116"/>
      <c r="R44" s="116"/>
      <c r="S44" s="116"/>
      <c r="T44" s="116"/>
      <c r="U44" s="116"/>
    </row>
    <row r="45" spans="1:21" s="13" customFormat="1" ht="18" customHeight="1">
      <c r="A45" s="119"/>
      <c r="B45" s="123"/>
      <c r="C45" s="116"/>
      <c r="D45" s="122"/>
      <c r="E45" s="117"/>
      <c r="F45" s="118"/>
      <c r="G45" s="118"/>
      <c r="H45" s="118"/>
      <c r="I45" s="118"/>
      <c r="J45" s="118"/>
      <c r="K45" s="118"/>
      <c r="L45" s="118"/>
      <c r="M45" s="118"/>
      <c r="N45" s="143">
        <f t="shared" si="13"/>
        <v>0</v>
      </c>
      <c r="O45" s="118"/>
      <c r="P45" s="122">
        <f t="shared" ref="P45" si="24">10000*(G45+U45)</f>
        <v>0</v>
      </c>
      <c r="Q45" s="116"/>
      <c r="R45" s="116"/>
      <c r="S45" s="116"/>
      <c r="T45" s="116"/>
      <c r="U45" s="116"/>
    </row>
    <row r="46" spans="1:21" s="13" customFormat="1" ht="18" hidden="1" customHeight="1">
      <c r="A46" s="119"/>
      <c r="B46" s="123"/>
      <c r="C46" s="116"/>
      <c r="D46" s="122"/>
      <c r="E46" s="117"/>
      <c r="F46" s="118"/>
      <c r="G46" s="145"/>
      <c r="H46" s="145"/>
      <c r="I46" s="145"/>
      <c r="J46" s="145"/>
      <c r="K46" s="145"/>
      <c r="L46" s="118"/>
      <c r="M46" s="118"/>
      <c r="N46" s="103"/>
      <c r="O46" s="118"/>
      <c r="P46" s="16"/>
      <c r="Q46" s="116"/>
      <c r="R46" s="116"/>
      <c r="S46" s="116"/>
      <c r="T46" s="116"/>
      <c r="U46" s="116"/>
    </row>
    <row r="47" spans="1:21" s="13" customFormat="1" ht="18" customHeight="1">
      <c r="A47" s="119"/>
      <c r="B47" s="123"/>
      <c r="C47" s="116"/>
      <c r="D47" s="122"/>
      <c r="E47" s="117"/>
      <c r="F47" s="118"/>
      <c r="G47" s="118"/>
      <c r="H47" s="118"/>
      <c r="I47" s="118"/>
      <c r="J47" s="118"/>
      <c r="K47" s="118"/>
      <c r="L47" s="118"/>
      <c r="M47" s="118"/>
      <c r="N47" s="143">
        <f t="shared" si="13"/>
        <v>0</v>
      </c>
      <c r="O47" s="118"/>
      <c r="P47" s="122">
        <f t="shared" ref="P47" si="25">10000*(G47+U47)</f>
        <v>0</v>
      </c>
      <c r="Q47" s="116"/>
      <c r="R47" s="116"/>
      <c r="S47" s="116"/>
      <c r="T47" s="116"/>
      <c r="U47" s="116"/>
    </row>
    <row r="48" spans="1:21" s="13" customFormat="1" ht="18" hidden="1" customHeight="1">
      <c r="A48" s="119"/>
      <c r="B48" s="123"/>
      <c r="C48" s="116"/>
      <c r="D48" s="122"/>
      <c r="E48" s="117"/>
      <c r="F48" s="118"/>
      <c r="G48" s="145"/>
      <c r="H48" s="145"/>
      <c r="I48" s="145"/>
      <c r="J48" s="145"/>
      <c r="K48" s="145"/>
      <c r="L48" s="145"/>
      <c r="M48" s="118"/>
      <c r="N48" s="103"/>
      <c r="O48" s="118"/>
      <c r="P48" s="16"/>
      <c r="Q48" s="116"/>
      <c r="R48" s="116"/>
      <c r="S48" s="116"/>
      <c r="T48" s="116"/>
      <c r="U48" s="116"/>
    </row>
    <row r="49" spans="1:21" s="13" customFormat="1" ht="18" customHeight="1">
      <c r="A49" s="119"/>
      <c r="B49" s="123"/>
      <c r="C49" s="116"/>
      <c r="D49" s="122"/>
      <c r="E49" s="117"/>
      <c r="F49" s="118"/>
      <c r="G49" s="118"/>
      <c r="H49" s="118"/>
      <c r="I49" s="118"/>
      <c r="J49" s="118"/>
      <c r="K49" s="118"/>
      <c r="L49" s="118"/>
      <c r="M49" s="118"/>
      <c r="N49" s="143">
        <f t="shared" si="13"/>
        <v>0</v>
      </c>
      <c r="O49" s="118"/>
      <c r="P49" s="122">
        <f t="shared" ref="P49" si="26">10000*(G49+U49)</f>
        <v>0</v>
      </c>
      <c r="Q49" s="116"/>
      <c r="R49" s="116"/>
      <c r="S49" s="116"/>
      <c r="T49" s="116"/>
      <c r="U49" s="116"/>
    </row>
    <row r="50" spans="1:21" s="13" customFormat="1" ht="18" customHeight="1">
      <c r="A50" s="119"/>
      <c r="B50" s="123"/>
      <c r="C50" s="116"/>
      <c r="D50" s="122"/>
      <c r="E50" s="117"/>
      <c r="F50" s="118"/>
      <c r="G50" s="145"/>
      <c r="H50" s="145"/>
      <c r="I50" s="145"/>
      <c r="J50" s="145"/>
      <c r="K50" s="145"/>
      <c r="L50" s="145"/>
      <c r="M50" s="118"/>
      <c r="N50" s="103"/>
      <c r="O50" s="118"/>
      <c r="P50" s="16"/>
      <c r="Q50" s="116"/>
      <c r="R50" s="116"/>
      <c r="S50" s="116"/>
      <c r="T50" s="116"/>
      <c r="U50" s="116"/>
    </row>
    <row r="51" spans="1:21" s="13" customFormat="1" ht="18" customHeight="1">
      <c r="A51" s="119"/>
      <c r="B51" s="123"/>
      <c r="C51" s="116"/>
      <c r="D51" s="122"/>
      <c r="E51" s="117"/>
      <c r="F51" s="118"/>
      <c r="G51" s="118"/>
      <c r="H51" s="118"/>
      <c r="I51" s="118"/>
      <c r="J51" s="118"/>
      <c r="K51" s="118"/>
      <c r="L51" s="118"/>
      <c r="M51" s="118"/>
      <c r="N51" s="143">
        <f t="shared" si="13"/>
        <v>0</v>
      </c>
      <c r="O51" s="118"/>
      <c r="P51" s="122">
        <f t="shared" ref="P51" si="27">10000*(G51+U51)</f>
        <v>0</v>
      </c>
      <c r="Q51" s="116"/>
      <c r="R51" s="116"/>
      <c r="S51" s="116"/>
      <c r="T51" s="116"/>
      <c r="U51" s="116"/>
    </row>
    <row r="52" spans="1:21" s="13" customFormat="1" ht="18" customHeight="1">
      <c r="A52" s="119"/>
      <c r="B52" s="123"/>
      <c r="C52" s="116"/>
      <c r="D52" s="122"/>
      <c r="E52" s="117"/>
      <c r="F52" s="118"/>
      <c r="G52" s="145"/>
      <c r="H52" s="145"/>
      <c r="I52" s="145"/>
      <c r="J52" s="145"/>
      <c r="K52" s="145"/>
      <c r="L52" s="145"/>
      <c r="M52" s="118"/>
      <c r="N52" s="103"/>
      <c r="O52" s="118"/>
      <c r="P52" s="16"/>
      <c r="Q52" s="116"/>
      <c r="R52" s="116"/>
      <c r="S52" s="116"/>
      <c r="T52" s="116"/>
      <c r="U52" s="116"/>
    </row>
    <row r="53" spans="1:21" s="13" customFormat="1" ht="18" customHeight="1">
      <c r="A53" s="119"/>
      <c r="B53" s="123"/>
      <c r="C53" s="116"/>
      <c r="D53" s="122"/>
      <c r="E53" s="117"/>
      <c r="F53" s="118"/>
      <c r="G53" s="118"/>
      <c r="H53" s="118"/>
      <c r="I53" s="118"/>
      <c r="J53" s="118"/>
      <c r="K53" s="118"/>
      <c r="L53" s="118"/>
      <c r="M53" s="118"/>
      <c r="N53" s="143">
        <f t="shared" si="13"/>
        <v>0</v>
      </c>
      <c r="O53" s="118"/>
      <c r="P53" s="122">
        <f t="shared" ref="P53" si="28">10000*(G53+U53)</f>
        <v>0</v>
      </c>
      <c r="Q53" s="116"/>
      <c r="R53" s="116"/>
      <c r="S53" s="116"/>
      <c r="T53" s="116"/>
      <c r="U53" s="116"/>
    </row>
    <row r="54" spans="1:21" s="13" customFormat="1" ht="18" customHeight="1">
      <c r="A54" s="119"/>
      <c r="B54" s="123"/>
      <c r="C54" s="116"/>
      <c r="D54" s="122"/>
      <c r="E54" s="117"/>
      <c r="F54" s="118"/>
      <c r="G54" s="145"/>
      <c r="H54" s="145"/>
      <c r="I54" s="145"/>
      <c r="J54" s="145"/>
      <c r="K54" s="145"/>
      <c r="L54" s="145"/>
      <c r="M54" s="118"/>
      <c r="N54" s="103"/>
      <c r="O54" s="118"/>
      <c r="P54" s="16"/>
      <c r="Q54" s="116"/>
      <c r="R54" s="116"/>
      <c r="S54" s="116"/>
      <c r="T54" s="116"/>
      <c r="U54" s="116"/>
    </row>
    <row r="55" spans="1:21" s="13" customFormat="1" ht="18" customHeight="1">
      <c r="A55" s="119"/>
      <c r="B55" s="123"/>
      <c r="C55" s="116"/>
      <c r="D55" s="122"/>
      <c r="E55" s="117"/>
      <c r="F55" s="118"/>
      <c r="G55" s="118"/>
      <c r="H55" s="118"/>
      <c r="I55" s="118"/>
      <c r="J55" s="118"/>
      <c r="K55" s="118"/>
      <c r="L55" s="118"/>
      <c r="M55" s="118"/>
      <c r="N55" s="143">
        <f t="shared" si="13"/>
        <v>0</v>
      </c>
      <c r="O55" s="118"/>
      <c r="P55" s="122">
        <f t="shared" ref="P55" si="29">10000*(G55+U55)</f>
        <v>0</v>
      </c>
      <c r="Q55" s="116"/>
      <c r="R55" s="116"/>
      <c r="S55" s="116"/>
      <c r="T55" s="116"/>
      <c r="U55" s="116"/>
    </row>
    <row r="56" spans="1:21" s="13" customFormat="1" ht="18" customHeight="1">
      <c r="A56" s="119"/>
      <c r="B56" s="123"/>
      <c r="C56" s="116"/>
      <c r="D56" s="122"/>
      <c r="E56" s="117"/>
      <c r="F56" s="118"/>
      <c r="G56" s="145"/>
      <c r="H56" s="145"/>
      <c r="I56" s="145"/>
      <c r="J56" s="145"/>
      <c r="K56" s="145"/>
      <c r="L56" s="145"/>
      <c r="M56" s="118"/>
      <c r="N56" s="103"/>
      <c r="O56" s="118"/>
      <c r="P56" s="16"/>
      <c r="Q56" s="116"/>
      <c r="R56" s="116"/>
      <c r="S56" s="116"/>
      <c r="T56" s="116"/>
      <c r="U56" s="116"/>
    </row>
    <row r="57" spans="1:21" s="13" customFormat="1" ht="18" customHeight="1">
      <c r="A57" s="119"/>
      <c r="B57" s="123"/>
      <c r="C57" s="116"/>
      <c r="D57" s="122"/>
      <c r="E57" s="117"/>
      <c r="F57" s="118"/>
      <c r="G57" s="118"/>
      <c r="H57" s="118"/>
      <c r="I57" s="118"/>
      <c r="J57" s="118"/>
      <c r="K57" s="118"/>
      <c r="L57" s="118"/>
      <c r="M57" s="118"/>
      <c r="N57" s="143">
        <f t="shared" si="13"/>
        <v>0</v>
      </c>
      <c r="O57" s="118"/>
      <c r="P57" s="122">
        <f t="shared" ref="P57" si="30">10000*(G57+U57)</f>
        <v>0</v>
      </c>
      <c r="Q57" s="116"/>
      <c r="R57" s="116"/>
      <c r="S57" s="116"/>
      <c r="T57" s="116"/>
      <c r="U57" s="116"/>
    </row>
    <row r="58" spans="1:21" s="13" customFormat="1" ht="18" customHeight="1">
      <c r="A58" s="119"/>
      <c r="B58" s="123"/>
      <c r="C58" s="116"/>
      <c r="D58" s="122"/>
      <c r="E58" s="117"/>
      <c r="F58" s="118"/>
      <c r="G58" s="145"/>
      <c r="H58" s="145"/>
      <c r="I58" s="145"/>
      <c r="J58" s="145"/>
      <c r="K58" s="145"/>
      <c r="L58" s="145"/>
      <c r="M58" s="118"/>
      <c r="N58" s="103"/>
      <c r="O58" s="118"/>
      <c r="P58" s="16"/>
      <c r="Q58" s="116"/>
      <c r="R58" s="116"/>
      <c r="S58" s="116"/>
      <c r="T58" s="116"/>
      <c r="U58" s="116"/>
    </row>
    <row r="59" spans="1:21" s="13" customFormat="1" ht="18" customHeight="1">
      <c r="A59" s="119"/>
      <c r="B59" s="123"/>
      <c r="C59" s="116"/>
      <c r="D59" s="122"/>
      <c r="E59" s="117"/>
      <c r="F59" s="118"/>
      <c r="G59" s="118"/>
      <c r="H59" s="118"/>
      <c r="I59" s="118"/>
      <c r="J59" s="118"/>
      <c r="K59" s="118"/>
      <c r="L59" s="118"/>
      <c r="M59" s="118"/>
      <c r="N59" s="143">
        <f t="shared" si="13"/>
        <v>0</v>
      </c>
      <c r="O59" s="118"/>
      <c r="P59" s="122">
        <f t="shared" ref="P59" si="31">10000*(G59+U59)</f>
        <v>0</v>
      </c>
      <c r="Q59" s="116"/>
      <c r="R59" s="116"/>
      <c r="S59" s="116"/>
      <c r="T59" s="116"/>
      <c r="U59" s="116"/>
    </row>
    <row r="60" spans="1:21" s="13" customFormat="1" ht="18" customHeight="1">
      <c r="A60" s="119"/>
      <c r="B60" s="123"/>
      <c r="C60" s="116"/>
      <c r="D60" s="122"/>
      <c r="E60" s="117"/>
      <c r="F60" s="118"/>
      <c r="G60" s="145"/>
      <c r="H60" s="145"/>
      <c r="I60" s="145"/>
      <c r="J60" s="145"/>
      <c r="K60" s="145"/>
      <c r="L60" s="145"/>
      <c r="M60" s="118"/>
      <c r="N60" s="103"/>
      <c r="O60" s="118"/>
      <c r="P60" s="16"/>
      <c r="Q60" s="116"/>
      <c r="R60" s="116"/>
      <c r="S60" s="116"/>
      <c r="T60" s="116"/>
      <c r="U60" s="116"/>
    </row>
    <row r="61" spans="1:21" s="13" customFormat="1" ht="18" customHeight="1">
      <c r="A61" s="119"/>
      <c r="B61" s="123"/>
      <c r="C61" s="116"/>
      <c r="D61" s="122"/>
      <c r="E61" s="117"/>
      <c r="F61" s="118"/>
      <c r="G61" s="118"/>
      <c r="H61" s="118"/>
      <c r="I61" s="118"/>
      <c r="J61" s="118"/>
      <c r="K61" s="118"/>
      <c r="L61" s="118"/>
      <c r="M61" s="118"/>
      <c r="N61" s="143">
        <f t="shared" si="13"/>
        <v>0</v>
      </c>
      <c r="O61" s="118"/>
      <c r="P61" s="122">
        <f t="shared" ref="P61" si="32">10000*(G61+U61)</f>
        <v>0</v>
      </c>
      <c r="Q61" s="116"/>
      <c r="R61" s="116"/>
      <c r="S61" s="116"/>
      <c r="T61" s="116"/>
      <c r="U61" s="116"/>
    </row>
    <row r="62" spans="1:21" s="13" customFormat="1" ht="18" customHeight="1">
      <c r="A62" s="119"/>
      <c r="B62" s="123"/>
      <c r="C62" s="116"/>
      <c r="D62" s="122"/>
      <c r="E62" s="117"/>
      <c r="F62" s="118"/>
      <c r="G62" s="145"/>
      <c r="H62" s="145"/>
      <c r="I62" s="145"/>
      <c r="J62" s="145"/>
      <c r="K62" s="145"/>
      <c r="L62" s="145"/>
      <c r="M62" s="118"/>
      <c r="N62" s="103"/>
      <c r="O62" s="118"/>
      <c r="P62" s="16"/>
      <c r="Q62" s="116"/>
      <c r="R62" s="116"/>
      <c r="S62" s="116"/>
      <c r="T62" s="116"/>
      <c r="U62" s="116"/>
    </row>
    <row r="63" spans="1:21" s="13" customFormat="1" ht="18" customHeight="1">
      <c r="A63" s="119"/>
      <c r="B63" s="123"/>
      <c r="C63" s="116"/>
      <c r="D63" s="122"/>
      <c r="E63" s="117"/>
      <c r="F63" s="118"/>
      <c r="G63" s="118"/>
      <c r="H63" s="118"/>
      <c r="I63" s="118"/>
      <c r="J63" s="118"/>
      <c r="K63" s="118"/>
      <c r="L63" s="145"/>
      <c r="M63" s="118"/>
      <c r="N63" s="143">
        <f t="shared" si="13"/>
        <v>0</v>
      </c>
      <c r="O63" s="118"/>
      <c r="P63" s="122">
        <f t="shared" ref="P63" si="33">10000*(G63+U63)</f>
        <v>0</v>
      </c>
      <c r="Q63" s="116"/>
      <c r="R63" s="116"/>
      <c r="S63" s="116"/>
      <c r="T63" s="116"/>
      <c r="U63" s="116"/>
    </row>
    <row r="64" spans="1:21" s="13" customFormat="1" ht="18" customHeight="1">
      <c r="A64" s="119"/>
      <c r="B64" s="123"/>
      <c r="C64" s="116"/>
      <c r="D64" s="122"/>
      <c r="E64" s="117"/>
      <c r="F64" s="118"/>
      <c r="G64" s="145"/>
      <c r="H64" s="145"/>
      <c r="I64" s="145"/>
      <c r="J64" s="145"/>
      <c r="K64" s="145"/>
      <c r="L64" s="145"/>
      <c r="M64" s="118"/>
      <c r="N64" s="103"/>
      <c r="O64" s="118"/>
      <c r="P64" s="16"/>
      <c r="Q64" s="116"/>
      <c r="R64" s="116"/>
      <c r="S64" s="116"/>
      <c r="T64" s="116"/>
      <c r="U64" s="116"/>
    </row>
    <row r="65" spans="1:21" s="13" customFormat="1" ht="18" customHeight="1">
      <c r="A65" s="119"/>
      <c r="B65" s="123"/>
      <c r="C65" s="116"/>
      <c r="D65" s="122"/>
      <c r="E65" s="117"/>
      <c r="F65" s="118"/>
      <c r="G65" s="118"/>
      <c r="H65" s="118"/>
      <c r="I65" s="118"/>
      <c r="J65" s="118"/>
      <c r="K65" s="118"/>
      <c r="L65" s="118"/>
      <c r="M65" s="118"/>
      <c r="N65" s="143">
        <f t="shared" si="13"/>
        <v>0</v>
      </c>
      <c r="O65" s="118"/>
      <c r="P65" s="122">
        <f t="shared" ref="P65" si="34">10000*(G65+U65)</f>
        <v>0</v>
      </c>
      <c r="Q65" s="116"/>
      <c r="R65" s="116"/>
      <c r="S65" s="116"/>
      <c r="T65" s="116"/>
      <c r="U65" s="116"/>
    </row>
    <row r="66" spans="1:21" s="13" customFormat="1" ht="18" customHeight="1">
      <c r="A66" s="119"/>
      <c r="B66" s="123"/>
      <c r="C66" s="116"/>
      <c r="D66" s="122"/>
      <c r="E66" s="117"/>
      <c r="F66" s="118"/>
      <c r="G66" s="145"/>
      <c r="H66" s="145"/>
      <c r="I66" s="145"/>
      <c r="J66" s="145"/>
      <c r="K66" s="145"/>
      <c r="L66" s="145"/>
      <c r="M66" s="118"/>
      <c r="N66" s="103"/>
      <c r="O66" s="118"/>
      <c r="P66" s="16"/>
      <c r="Q66" s="116"/>
      <c r="R66" s="116"/>
      <c r="S66" s="116"/>
      <c r="T66" s="116"/>
      <c r="U66" s="116"/>
    </row>
    <row r="67" spans="1:21" s="13" customFormat="1" ht="18" customHeight="1">
      <c r="A67" s="119"/>
      <c r="B67" s="123"/>
      <c r="C67" s="116"/>
      <c r="D67" s="122"/>
      <c r="E67" s="117"/>
      <c r="F67" s="118"/>
      <c r="G67" s="118"/>
      <c r="H67" s="118"/>
      <c r="I67" s="118"/>
      <c r="J67" s="118"/>
      <c r="K67" s="118"/>
      <c r="L67" s="118"/>
      <c r="M67" s="118"/>
      <c r="N67" s="143">
        <f t="shared" si="13"/>
        <v>0</v>
      </c>
      <c r="O67" s="118"/>
      <c r="P67" s="122">
        <f t="shared" ref="P67" si="35">10000*(G67+U67)</f>
        <v>0</v>
      </c>
      <c r="Q67" s="116"/>
      <c r="R67" s="116"/>
      <c r="S67" s="116"/>
      <c r="T67" s="116"/>
      <c r="U67" s="116"/>
    </row>
    <row r="68" spans="1:21" s="13" customFormat="1" ht="18" customHeight="1">
      <c r="A68" s="119"/>
      <c r="B68" s="123"/>
      <c r="C68" s="116"/>
      <c r="D68" s="122"/>
      <c r="E68" s="117"/>
      <c r="F68" s="118"/>
      <c r="G68" s="145"/>
      <c r="H68" s="145"/>
      <c r="I68" s="145"/>
      <c r="J68" s="145"/>
      <c r="K68" s="145"/>
      <c r="L68" s="145"/>
      <c r="M68" s="118"/>
      <c r="N68" s="103"/>
      <c r="O68" s="118"/>
      <c r="P68" s="16"/>
      <c r="Q68" s="116"/>
      <c r="R68" s="116"/>
      <c r="S68" s="116"/>
      <c r="T68" s="116"/>
      <c r="U68" s="116"/>
    </row>
    <row r="69" spans="1:21" s="13" customFormat="1" ht="18" customHeight="1">
      <c r="A69" s="119"/>
      <c r="B69" s="123"/>
      <c r="C69" s="116"/>
      <c r="D69" s="122"/>
      <c r="E69" s="117"/>
      <c r="F69" s="118"/>
      <c r="G69" s="118"/>
      <c r="H69" s="118"/>
      <c r="I69" s="118"/>
      <c r="J69" s="118"/>
      <c r="K69" s="118"/>
      <c r="L69" s="118"/>
      <c r="M69" s="118"/>
      <c r="N69" s="143">
        <f t="shared" si="13"/>
        <v>0</v>
      </c>
      <c r="O69" s="118"/>
      <c r="P69" s="122">
        <f t="shared" ref="P69" si="36">10000*(G69+U69)</f>
        <v>0</v>
      </c>
      <c r="Q69" s="116"/>
      <c r="R69" s="116"/>
      <c r="S69" s="116"/>
      <c r="T69" s="116"/>
      <c r="U69" s="116"/>
    </row>
    <row r="70" spans="1:21" s="13" customFormat="1" ht="18" customHeight="1">
      <c r="A70" s="119"/>
      <c r="B70" s="123"/>
      <c r="C70" s="116"/>
      <c r="D70" s="122"/>
      <c r="E70" s="117"/>
      <c r="F70" s="118"/>
      <c r="G70" s="145"/>
      <c r="H70" s="145"/>
      <c r="I70" s="145"/>
      <c r="J70" s="145"/>
      <c r="K70" s="145"/>
      <c r="L70" s="145"/>
      <c r="M70" s="118"/>
      <c r="N70" s="103"/>
      <c r="O70" s="118"/>
      <c r="P70" s="16"/>
      <c r="Q70" s="116"/>
      <c r="R70" s="116"/>
      <c r="S70" s="116"/>
      <c r="T70" s="116"/>
      <c r="U70" s="116"/>
    </row>
    <row r="71" spans="1:21" s="13" customFormat="1" ht="18" customHeight="1">
      <c r="A71" s="119"/>
      <c r="B71" s="123"/>
      <c r="C71" s="116"/>
      <c r="D71" s="122"/>
      <c r="E71" s="117"/>
      <c r="F71" s="118"/>
      <c r="G71" s="118"/>
      <c r="H71" s="118"/>
      <c r="I71" s="118"/>
      <c r="J71" s="118"/>
      <c r="K71" s="118"/>
      <c r="L71" s="118"/>
      <c r="M71" s="118"/>
      <c r="N71" s="143">
        <f t="shared" si="13"/>
        <v>0</v>
      </c>
      <c r="O71" s="118"/>
      <c r="P71" s="122">
        <f t="shared" ref="P71" si="37">10000*(G71+U71)</f>
        <v>0</v>
      </c>
      <c r="Q71" s="116"/>
      <c r="R71" s="116"/>
      <c r="S71" s="116"/>
      <c r="T71" s="116"/>
      <c r="U71" s="116"/>
    </row>
    <row r="72" spans="1:21" s="13" customFormat="1" ht="18" customHeight="1">
      <c r="A72" s="119"/>
      <c r="B72" s="123"/>
      <c r="C72" s="116"/>
      <c r="D72" s="122"/>
      <c r="E72" s="117"/>
      <c r="F72" s="118"/>
      <c r="G72" s="145"/>
      <c r="H72" s="145"/>
      <c r="I72" s="145"/>
      <c r="J72" s="145"/>
      <c r="K72" s="145"/>
      <c r="L72" s="145"/>
      <c r="M72" s="118"/>
      <c r="N72" s="103"/>
      <c r="O72" s="118"/>
      <c r="P72" s="16"/>
      <c r="Q72" s="116"/>
      <c r="R72" s="116"/>
      <c r="S72" s="116"/>
      <c r="T72" s="116"/>
      <c r="U72" s="116"/>
    </row>
    <row r="73" spans="1:21" s="13" customFormat="1" ht="18" customHeight="1">
      <c r="A73" s="119"/>
      <c r="B73" s="123"/>
      <c r="C73" s="116"/>
      <c r="D73" s="122"/>
      <c r="E73" s="117"/>
      <c r="F73" s="118"/>
      <c r="G73" s="118"/>
      <c r="H73" s="118"/>
      <c r="I73" s="118"/>
      <c r="J73" s="118"/>
      <c r="K73" s="118"/>
      <c r="L73" s="118"/>
      <c r="M73" s="118"/>
      <c r="N73" s="143">
        <f t="shared" si="13"/>
        <v>0</v>
      </c>
      <c r="O73" s="118"/>
      <c r="P73" s="122">
        <f t="shared" ref="P73" si="38">10000*(G73+U73)</f>
        <v>0</v>
      </c>
      <c r="Q73" s="116"/>
      <c r="R73" s="116"/>
      <c r="S73" s="116"/>
      <c r="T73" s="116"/>
      <c r="U73" s="116"/>
    </row>
    <row r="74" spans="1:21" s="13" customFormat="1" ht="18" customHeight="1">
      <c r="A74" s="119"/>
      <c r="B74" s="123"/>
      <c r="C74" s="116"/>
      <c r="D74" s="122"/>
      <c r="E74" s="117"/>
      <c r="F74" s="118"/>
      <c r="G74" s="145"/>
      <c r="H74" s="145"/>
      <c r="I74" s="145"/>
      <c r="J74" s="145"/>
      <c r="K74" s="145"/>
      <c r="L74" s="145"/>
      <c r="M74" s="118"/>
      <c r="N74" s="103"/>
      <c r="O74" s="118"/>
      <c r="P74" s="16"/>
      <c r="Q74" s="116"/>
      <c r="R74" s="116"/>
      <c r="S74" s="116"/>
      <c r="T74" s="116"/>
      <c r="U74" s="116"/>
    </row>
    <row r="75" spans="1:21" s="13" customFormat="1" ht="18" customHeight="1">
      <c r="A75" s="119"/>
      <c r="B75" s="123"/>
      <c r="C75" s="116"/>
      <c r="D75" s="122"/>
      <c r="E75" s="117"/>
      <c r="F75" s="118"/>
      <c r="G75" s="118"/>
      <c r="H75" s="118"/>
      <c r="I75" s="118"/>
      <c r="J75" s="118"/>
      <c r="K75" s="118"/>
      <c r="L75" s="118"/>
      <c r="M75" s="118"/>
      <c r="N75" s="143">
        <f t="shared" si="13"/>
        <v>0</v>
      </c>
      <c r="O75" s="118"/>
      <c r="P75" s="122">
        <f t="shared" ref="P75" si="39">10000*(G75+U75)</f>
        <v>0</v>
      </c>
      <c r="Q75" s="116"/>
      <c r="R75" s="116"/>
      <c r="S75" s="116"/>
      <c r="T75" s="116"/>
      <c r="U75" s="116"/>
    </row>
    <row r="76" spans="1:21" s="13" customFormat="1" ht="18" customHeight="1">
      <c r="A76" s="119"/>
      <c r="B76" s="123"/>
      <c r="C76" s="116"/>
      <c r="D76" s="122"/>
      <c r="E76" s="117"/>
      <c r="F76" s="118"/>
      <c r="G76" s="145"/>
      <c r="H76" s="145"/>
      <c r="I76" s="145"/>
      <c r="J76" s="145"/>
      <c r="K76" s="145"/>
      <c r="L76" s="145"/>
      <c r="M76" s="118"/>
      <c r="N76" s="103"/>
      <c r="O76" s="118"/>
      <c r="P76" s="16"/>
      <c r="Q76" s="116"/>
      <c r="R76" s="116"/>
      <c r="S76" s="116"/>
      <c r="T76" s="116"/>
      <c r="U76" s="116"/>
    </row>
    <row r="77" spans="1:21" s="13" customFormat="1" ht="18" customHeight="1">
      <c r="A77" s="119"/>
      <c r="B77" s="123"/>
      <c r="C77" s="116"/>
      <c r="D77" s="122"/>
      <c r="E77" s="117"/>
      <c r="F77" s="118"/>
      <c r="G77" s="118"/>
      <c r="H77" s="118"/>
      <c r="I77" s="118"/>
      <c r="J77" s="118"/>
      <c r="K77" s="118"/>
      <c r="L77" s="118"/>
      <c r="M77" s="118"/>
      <c r="N77" s="143">
        <f t="shared" si="13"/>
        <v>0</v>
      </c>
      <c r="O77" s="118"/>
      <c r="P77" s="122">
        <f t="shared" ref="P77" si="40">10000*(G77+U77)</f>
        <v>0</v>
      </c>
      <c r="Q77" s="116"/>
      <c r="R77" s="116"/>
      <c r="S77" s="116"/>
      <c r="T77" s="116"/>
      <c r="U77" s="116"/>
    </row>
    <row r="78" spans="1:21" s="13" customFormat="1" ht="18" customHeight="1">
      <c r="A78" s="119"/>
      <c r="B78" s="123"/>
      <c r="C78" s="116"/>
      <c r="D78" s="122"/>
      <c r="E78" s="117"/>
      <c r="F78" s="118"/>
      <c r="G78" s="145"/>
      <c r="H78" s="145"/>
      <c r="I78" s="145"/>
      <c r="J78" s="145"/>
      <c r="K78" s="145"/>
      <c r="L78" s="145"/>
      <c r="M78" s="118"/>
      <c r="N78" s="103"/>
      <c r="O78" s="118"/>
      <c r="P78" s="16"/>
      <c r="Q78" s="116"/>
      <c r="R78" s="116"/>
      <c r="S78" s="116"/>
      <c r="T78" s="116"/>
      <c r="U78" s="116"/>
    </row>
    <row r="79" spans="1:21" s="13" customFormat="1" ht="18" customHeight="1">
      <c r="A79" s="119"/>
      <c r="B79" s="123"/>
      <c r="C79" s="116"/>
      <c r="D79" s="122"/>
      <c r="E79" s="117"/>
      <c r="F79" s="118"/>
      <c r="G79" s="118"/>
      <c r="H79" s="118"/>
      <c r="I79" s="118"/>
      <c r="J79" s="118"/>
      <c r="K79" s="118"/>
      <c r="L79" s="118"/>
      <c r="M79" s="118"/>
      <c r="N79" s="143">
        <f t="shared" si="13"/>
        <v>0</v>
      </c>
      <c r="O79" s="118"/>
      <c r="P79" s="122">
        <f t="shared" ref="P79" si="41">10000*(G79+U79)</f>
        <v>0</v>
      </c>
      <c r="Q79" s="116"/>
      <c r="R79" s="116"/>
      <c r="S79" s="116"/>
      <c r="T79" s="116"/>
      <c r="U79" s="116"/>
    </row>
    <row r="80" spans="1:21" s="13" customFormat="1" ht="18" customHeight="1">
      <c r="A80" s="119"/>
      <c r="B80" s="123"/>
      <c r="C80" s="116"/>
      <c r="D80" s="122"/>
      <c r="E80" s="117"/>
      <c r="F80" s="118"/>
      <c r="G80" s="145"/>
      <c r="H80" s="145"/>
      <c r="I80" s="145"/>
      <c r="J80" s="145"/>
      <c r="K80" s="145"/>
      <c r="L80" s="145"/>
      <c r="M80" s="118"/>
      <c r="N80" s="103"/>
      <c r="O80" s="118"/>
      <c r="P80" s="16"/>
      <c r="Q80" s="116"/>
      <c r="R80" s="116"/>
      <c r="S80" s="116"/>
      <c r="T80" s="116"/>
      <c r="U80" s="116"/>
    </row>
    <row r="81" spans="1:21" s="13" customFormat="1" ht="18" customHeight="1">
      <c r="A81" s="119"/>
      <c r="B81" s="123"/>
      <c r="C81" s="116"/>
      <c r="D81" s="122"/>
      <c r="E81" s="117"/>
      <c r="F81" s="118"/>
      <c r="G81" s="118"/>
      <c r="H81" s="118"/>
      <c r="I81" s="118"/>
      <c r="J81" s="118"/>
      <c r="K81" s="118"/>
      <c r="L81" s="118"/>
      <c r="M81" s="118"/>
      <c r="N81" s="143">
        <f t="shared" si="13"/>
        <v>0</v>
      </c>
      <c r="O81" s="118"/>
      <c r="P81" s="122">
        <f t="shared" ref="P81" si="42">10000*(G81+U81)</f>
        <v>0</v>
      </c>
      <c r="Q81" s="116"/>
      <c r="R81" s="116"/>
      <c r="S81" s="116"/>
      <c r="T81" s="116"/>
      <c r="U81" s="116"/>
    </row>
    <row r="82" spans="1:21" s="13" customFormat="1" ht="18" customHeight="1">
      <c r="A82" s="119"/>
      <c r="B82" s="123"/>
      <c r="C82" s="116"/>
      <c r="D82" s="122"/>
      <c r="E82" s="117"/>
      <c r="F82" s="118"/>
      <c r="G82" s="145"/>
      <c r="H82" s="145"/>
      <c r="I82" s="145"/>
      <c r="J82" s="145"/>
      <c r="K82" s="145"/>
      <c r="L82" s="145"/>
      <c r="M82" s="118"/>
      <c r="N82" s="103"/>
      <c r="O82" s="118"/>
      <c r="P82" s="16"/>
      <c r="Q82" s="116"/>
      <c r="R82" s="116"/>
      <c r="S82" s="116"/>
      <c r="T82" s="116"/>
      <c r="U82" s="116"/>
    </row>
    <row r="83" spans="1:21" ht="18" customHeight="1">
      <c r="A83" s="119"/>
      <c r="B83" s="116"/>
      <c r="C83" s="116"/>
      <c r="D83" s="122"/>
      <c r="E83" s="117"/>
      <c r="F83" s="118"/>
      <c r="G83" s="118"/>
      <c r="H83" s="118"/>
      <c r="I83" s="118"/>
      <c r="J83" s="118"/>
      <c r="K83" s="118"/>
      <c r="L83" s="118"/>
      <c r="M83" s="118"/>
      <c r="N83" s="143">
        <f t="shared" si="13"/>
        <v>0</v>
      </c>
      <c r="O83" s="118"/>
      <c r="P83" s="122">
        <f t="shared" ref="P83" si="43">10000*(G83+U83)</f>
        <v>0</v>
      </c>
      <c r="Q83" s="116"/>
      <c r="R83" s="116"/>
      <c r="S83" s="116"/>
      <c r="T83" s="116"/>
      <c r="U83" s="116"/>
    </row>
    <row r="84" spans="1:21" ht="18" customHeight="1">
      <c r="A84" s="116"/>
      <c r="B84" s="116"/>
      <c r="C84" s="116"/>
      <c r="D84" s="122"/>
      <c r="E84" s="117"/>
      <c r="F84" s="118"/>
      <c r="G84" s="145"/>
      <c r="H84" s="145"/>
      <c r="I84" s="145"/>
      <c r="J84" s="145"/>
      <c r="K84" s="145"/>
      <c r="L84" s="145"/>
      <c r="M84" s="118"/>
      <c r="N84" s="143"/>
      <c r="O84" s="118"/>
      <c r="P84" s="122"/>
      <c r="Q84" s="116"/>
      <c r="R84" s="116"/>
      <c r="S84" s="116"/>
      <c r="T84" s="116"/>
      <c r="U84" s="116"/>
    </row>
    <row r="85" spans="1:21" ht="18" customHeight="1">
      <c r="E85" s="11"/>
    </row>
    <row r="86" spans="1:21" s="5" customFormat="1" ht="18" customHeight="1">
      <c r="B86" s="5" t="s">
        <v>13</v>
      </c>
      <c r="D86" s="137"/>
      <c r="E86" s="11"/>
      <c r="F86" s="7"/>
      <c r="G86" s="12"/>
      <c r="H86" s="12"/>
      <c r="I86" s="12"/>
      <c r="J86" s="12"/>
      <c r="K86" s="12"/>
      <c r="L86" s="12"/>
      <c r="M86" s="7"/>
      <c r="N86" s="7"/>
      <c r="O86" s="7"/>
      <c r="P86" s="10"/>
    </row>
    <row r="87" spans="1:21" ht="18" customHeight="1">
      <c r="E87" s="11"/>
    </row>
    <row r="88" spans="1:21" ht="18" customHeight="1">
      <c r="E88" s="11"/>
      <c r="G88" s="12"/>
      <c r="H88" s="12"/>
      <c r="I88" s="12"/>
      <c r="J88" s="12"/>
      <c r="K88" s="12"/>
      <c r="L88" s="12"/>
    </row>
    <row r="89" spans="1:21" ht="18" customHeight="1">
      <c r="E89" s="11"/>
    </row>
    <row r="90" spans="1:21" ht="18" customHeight="1">
      <c r="E90" s="11"/>
      <c r="G90" s="12"/>
      <c r="H90" s="12"/>
      <c r="I90" s="12"/>
      <c r="J90" s="12"/>
      <c r="K90" s="12"/>
      <c r="L90" s="12"/>
    </row>
    <row r="91" spans="1:21" ht="18" customHeight="1">
      <c r="A91" s="156" t="s">
        <v>15</v>
      </c>
      <c r="B91" s="156"/>
      <c r="E91" s="11"/>
    </row>
    <row r="92" spans="1:21" ht="18" customHeight="1">
      <c r="E92" s="11"/>
      <c r="G92" s="12"/>
      <c r="H92" s="12"/>
      <c r="I92" s="12"/>
      <c r="J92" s="12"/>
      <c r="K92" s="12"/>
      <c r="L92" s="12"/>
    </row>
    <row r="94" spans="1:21" ht="18" customHeight="1">
      <c r="E94" s="11"/>
      <c r="G94" s="12"/>
      <c r="H94" s="12"/>
      <c r="I94" s="12"/>
      <c r="J94" s="12"/>
      <c r="K94" s="12"/>
      <c r="L94" s="12"/>
    </row>
    <row r="96" spans="1:21" ht="18" customHeight="1">
      <c r="E96" s="11"/>
      <c r="G96" s="12"/>
      <c r="H96" s="12"/>
      <c r="I96" s="12"/>
      <c r="J96" s="12"/>
      <c r="K96" s="12"/>
      <c r="L96" s="12"/>
    </row>
    <row r="98" spans="5:12" ht="18" customHeight="1">
      <c r="E98" s="11"/>
      <c r="G98" s="12"/>
      <c r="H98" s="12"/>
      <c r="I98" s="12"/>
      <c r="J98" s="12"/>
      <c r="K98" s="12"/>
      <c r="L98" s="12"/>
    </row>
    <row r="100" spans="5:12" ht="18" customHeight="1">
      <c r="E100" s="11"/>
      <c r="G100" s="12"/>
      <c r="H100" s="12"/>
      <c r="I100" s="12"/>
      <c r="J100" s="12"/>
      <c r="K100" s="12"/>
      <c r="L100" s="12"/>
    </row>
    <row r="102" spans="5:12" ht="18" customHeight="1">
      <c r="E102" s="11"/>
      <c r="G102" s="12"/>
      <c r="H102" s="12"/>
      <c r="I102" s="12"/>
      <c r="J102" s="12"/>
      <c r="K102" s="12"/>
      <c r="L102" s="12"/>
    </row>
    <row r="104" spans="5:12" ht="18" customHeight="1">
      <c r="E104" s="11"/>
      <c r="G104" s="12"/>
      <c r="H104" s="12"/>
      <c r="I104" s="12"/>
      <c r="J104" s="12"/>
      <c r="K104" s="12"/>
      <c r="L104" s="12"/>
    </row>
    <row r="106" spans="5:12" ht="18" customHeight="1">
      <c r="E106" s="11"/>
      <c r="G106" s="12"/>
      <c r="H106" s="12"/>
      <c r="I106" s="12"/>
      <c r="J106" s="12"/>
      <c r="K106" s="12"/>
      <c r="L106" s="12"/>
    </row>
    <row r="108" spans="5:12" ht="18" customHeight="1">
      <c r="E108" s="11"/>
      <c r="G108" s="12"/>
      <c r="H108" s="12"/>
      <c r="I108" s="12"/>
      <c r="J108" s="12"/>
      <c r="K108" s="12"/>
      <c r="L108" s="12"/>
    </row>
    <row r="110" spans="5:12" ht="18" customHeight="1">
      <c r="E110" s="11"/>
      <c r="G110" s="12"/>
      <c r="H110" s="12"/>
      <c r="I110" s="12"/>
      <c r="J110" s="12"/>
      <c r="K110" s="12"/>
      <c r="L110" s="12"/>
    </row>
    <row r="112" spans="5:12" ht="18" customHeight="1">
      <c r="E112" s="11"/>
      <c r="G112" s="12"/>
      <c r="H112" s="12"/>
      <c r="I112" s="12"/>
      <c r="J112" s="12"/>
      <c r="K112" s="12"/>
      <c r="L112" s="12"/>
    </row>
    <row r="114" spans="5:12" ht="18" customHeight="1">
      <c r="E114" s="11"/>
      <c r="G114" s="12"/>
      <c r="H114" s="12"/>
      <c r="I114" s="12"/>
      <c r="J114" s="12"/>
      <c r="K114" s="12"/>
      <c r="L114" s="12"/>
    </row>
    <row r="116" spans="5:12" ht="18" customHeight="1">
      <c r="E116" s="11"/>
      <c r="G116" s="12"/>
      <c r="H116" s="12"/>
      <c r="I116" s="12"/>
      <c r="J116" s="12"/>
      <c r="K116" s="12"/>
      <c r="L116" s="12"/>
    </row>
    <row r="118" spans="5:12" ht="18" customHeight="1">
      <c r="E118" s="11"/>
      <c r="G118" s="12"/>
      <c r="H118" s="12"/>
      <c r="I118" s="12"/>
      <c r="J118" s="12"/>
      <c r="K118" s="12"/>
      <c r="L118" s="12"/>
    </row>
    <row r="120" spans="5:12" ht="18" customHeight="1">
      <c r="E120" s="11"/>
      <c r="G120" s="12"/>
      <c r="H120" s="12"/>
      <c r="I120" s="12"/>
      <c r="J120" s="12"/>
      <c r="K120" s="12"/>
      <c r="L120" s="12"/>
    </row>
    <row r="122" spans="5:12" ht="18" customHeight="1">
      <c r="E122" s="11"/>
      <c r="G122" s="12"/>
      <c r="H122" s="12"/>
      <c r="I122" s="12"/>
      <c r="J122" s="12"/>
      <c r="K122" s="12"/>
      <c r="L122" s="12"/>
    </row>
    <row r="124" spans="5:12" ht="18" customHeight="1">
      <c r="E124" s="11"/>
      <c r="G124" s="12"/>
      <c r="H124" s="12"/>
      <c r="I124" s="12"/>
      <c r="J124" s="12"/>
      <c r="K124" s="12"/>
      <c r="L124" s="12"/>
    </row>
    <row r="126" spans="5:12" ht="18" customHeight="1">
      <c r="E126" s="11"/>
      <c r="G126" s="12"/>
      <c r="H126" s="12"/>
      <c r="I126" s="12"/>
      <c r="J126" s="12"/>
      <c r="K126" s="12"/>
      <c r="L126" s="12"/>
    </row>
    <row r="128" spans="5:12" ht="18" customHeight="1">
      <c r="E128" s="11"/>
      <c r="G128" s="12"/>
      <c r="H128" s="12"/>
      <c r="I128" s="12"/>
      <c r="J128" s="12"/>
      <c r="K128" s="12"/>
      <c r="L128" s="12"/>
    </row>
    <row r="130" spans="5:12" ht="18" customHeight="1">
      <c r="E130" s="11"/>
      <c r="G130" s="12"/>
      <c r="H130" s="12"/>
      <c r="I130" s="12"/>
      <c r="J130" s="12"/>
      <c r="K130" s="12"/>
      <c r="L130" s="12"/>
    </row>
    <row r="132" spans="5:12" ht="18" customHeight="1">
      <c r="E132" s="11"/>
      <c r="G132" s="12"/>
      <c r="H132" s="12"/>
      <c r="I132" s="12"/>
      <c r="J132" s="12"/>
      <c r="K132" s="12"/>
      <c r="L132" s="12"/>
    </row>
    <row r="134" spans="5:12" ht="18" customHeight="1">
      <c r="E134" s="11"/>
      <c r="G134" s="12"/>
      <c r="H134" s="12"/>
      <c r="I134" s="12"/>
      <c r="J134" s="12"/>
      <c r="K134" s="12"/>
      <c r="L134" s="12"/>
    </row>
    <row r="136" spans="5:12" ht="18" customHeight="1">
      <c r="E136" s="11"/>
      <c r="G136" s="12"/>
      <c r="H136" s="12"/>
      <c r="I136" s="12"/>
      <c r="J136" s="12"/>
      <c r="K136" s="12"/>
      <c r="L136" s="12"/>
    </row>
    <row r="138" spans="5:12" ht="18" customHeight="1">
      <c r="E138" s="11"/>
      <c r="G138" s="12"/>
      <c r="H138" s="12"/>
      <c r="I138" s="12"/>
      <c r="J138" s="12"/>
      <c r="K138" s="12"/>
      <c r="L138" s="12"/>
    </row>
    <row r="140" spans="5:12" ht="18" customHeight="1">
      <c r="E140" s="11"/>
      <c r="G140" s="12"/>
      <c r="H140" s="12"/>
      <c r="I140" s="12"/>
      <c r="J140" s="12"/>
      <c r="K140" s="12"/>
      <c r="L140" s="12"/>
    </row>
    <row r="142" spans="5:12" ht="18" customHeight="1">
      <c r="E142" s="11"/>
      <c r="G142" s="12"/>
      <c r="H142" s="12"/>
      <c r="I142" s="12"/>
      <c r="J142" s="12"/>
      <c r="K142" s="12"/>
      <c r="L142" s="12"/>
    </row>
    <row r="144" spans="5:12" ht="18" customHeight="1">
      <c r="E144" s="11"/>
      <c r="G144" s="12"/>
      <c r="H144" s="12"/>
      <c r="I144" s="12"/>
      <c r="J144" s="12"/>
      <c r="K144" s="12"/>
      <c r="L144" s="12"/>
    </row>
    <row r="146" spans="5:12" ht="18" customHeight="1">
      <c r="E146" s="11"/>
      <c r="G146" s="12"/>
      <c r="H146" s="12"/>
      <c r="I146" s="12"/>
      <c r="J146" s="12"/>
      <c r="K146" s="12"/>
      <c r="L146" s="12"/>
    </row>
    <row r="148" spans="5:12" ht="18" customHeight="1">
      <c r="E148" s="11"/>
      <c r="G148" s="12"/>
      <c r="H148" s="12"/>
      <c r="I148" s="12"/>
      <c r="J148" s="12"/>
      <c r="K148" s="12"/>
      <c r="L148" s="12"/>
    </row>
    <row r="150" spans="5:12" ht="18" customHeight="1">
      <c r="E150" s="11"/>
      <c r="G150" s="12"/>
      <c r="H150" s="12"/>
      <c r="I150" s="12"/>
      <c r="J150" s="12"/>
      <c r="K150" s="12"/>
      <c r="L150" s="12"/>
    </row>
    <row r="152" spans="5:12" ht="18" customHeight="1">
      <c r="E152" s="11"/>
      <c r="G152" s="12"/>
      <c r="H152" s="12"/>
      <c r="I152" s="12"/>
      <c r="J152" s="12"/>
      <c r="K152" s="12"/>
      <c r="L152" s="12"/>
    </row>
    <row r="154" spans="5:12" ht="18" customHeight="1">
      <c r="E154" s="11"/>
      <c r="G154" s="12"/>
      <c r="H154" s="12"/>
      <c r="I154" s="12"/>
      <c r="J154" s="12"/>
      <c r="K154" s="12"/>
      <c r="L154" s="12"/>
    </row>
    <row r="156" spans="5:12" ht="18" customHeight="1">
      <c r="E156" s="11"/>
      <c r="G156" s="12"/>
      <c r="H156" s="12"/>
      <c r="I156" s="12"/>
      <c r="J156" s="12"/>
      <c r="K156" s="12"/>
      <c r="L156" s="12"/>
    </row>
    <row r="158" spans="5:12" ht="18" customHeight="1">
      <c r="E158" s="11"/>
      <c r="G158" s="12"/>
      <c r="H158" s="12"/>
      <c r="I158" s="12"/>
      <c r="J158" s="12"/>
      <c r="K158" s="12"/>
      <c r="L158" s="12"/>
    </row>
    <row r="160" spans="5:12" ht="18" customHeight="1">
      <c r="E160" s="11"/>
      <c r="G160" s="12"/>
      <c r="H160" s="12"/>
      <c r="I160" s="12"/>
      <c r="J160" s="12"/>
      <c r="K160" s="12"/>
      <c r="L160" s="12"/>
    </row>
    <row r="162" spans="5:12" ht="18" customHeight="1">
      <c r="E162" s="11"/>
      <c r="G162" s="12"/>
      <c r="H162" s="12"/>
      <c r="I162" s="12"/>
      <c r="J162" s="12"/>
      <c r="K162" s="12"/>
      <c r="L162" s="12"/>
    </row>
    <row r="164" spans="5:12" ht="18" customHeight="1">
      <c r="E164" s="11"/>
      <c r="G164" s="12"/>
      <c r="H164" s="12"/>
      <c r="I164" s="12"/>
      <c r="J164" s="12"/>
      <c r="K164" s="12"/>
      <c r="L164" s="12"/>
    </row>
    <row r="166" spans="5:12" ht="18" customHeight="1">
      <c r="E166" s="11"/>
      <c r="G166" s="12"/>
      <c r="H166" s="12"/>
      <c r="I166" s="12"/>
      <c r="J166" s="12"/>
      <c r="K166" s="12"/>
      <c r="L166" s="12"/>
    </row>
    <row r="168" spans="5:12" ht="18" customHeight="1">
      <c r="E168" s="11"/>
      <c r="G168" s="12"/>
      <c r="H168" s="12"/>
      <c r="I168" s="12"/>
      <c r="J168" s="12"/>
      <c r="K168" s="12"/>
      <c r="L168" s="12"/>
    </row>
    <row r="170" spans="5:12" ht="18" customHeight="1">
      <c r="E170" s="11"/>
      <c r="G170" s="12"/>
      <c r="H170" s="12"/>
      <c r="I170" s="12"/>
      <c r="J170" s="12"/>
      <c r="K170" s="12"/>
      <c r="L170" s="12"/>
    </row>
    <row r="172" spans="5:12" ht="18" customHeight="1">
      <c r="E172" s="11"/>
      <c r="G172" s="12"/>
      <c r="H172" s="12"/>
      <c r="I172" s="12"/>
      <c r="J172" s="12"/>
      <c r="K172" s="12"/>
      <c r="L172" s="12"/>
    </row>
    <row r="174" spans="5:12" ht="18" customHeight="1">
      <c r="E174" s="11"/>
      <c r="G174" s="12"/>
      <c r="H174" s="12"/>
      <c r="I174" s="12"/>
      <c r="J174" s="12"/>
      <c r="K174" s="12"/>
      <c r="L174" s="12"/>
    </row>
    <row r="176" spans="5:12" ht="18" customHeight="1">
      <c r="E176" s="11"/>
      <c r="G176" s="12"/>
      <c r="H176" s="12"/>
      <c r="I176" s="12"/>
      <c r="J176" s="12"/>
      <c r="K176" s="12"/>
      <c r="L176" s="12"/>
    </row>
    <row r="178" spans="5:12" ht="18" customHeight="1">
      <c r="E178" s="11"/>
      <c r="G178" s="12"/>
      <c r="H178" s="12"/>
      <c r="I178" s="12"/>
      <c r="J178" s="12"/>
      <c r="K178" s="12"/>
      <c r="L178" s="12"/>
    </row>
    <row r="180" spans="5:12" ht="18" customHeight="1">
      <c r="E180" s="11"/>
      <c r="G180" s="12"/>
      <c r="H180" s="12"/>
      <c r="I180" s="12"/>
      <c r="J180" s="12"/>
      <c r="K180" s="12"/>
      <c r="L180" s="12"/>
    </row>
    <row r="182" spans="5:12" ht="18" customHeight="1">
      <c r="E182" s="11"/>
      <c r="G182" s="12"/>
      <c r="H182" s="12"/>
      <c r="I182" s="12"/>
      <c r="J182" s="12"/>
      <c r="K182" s="12"/>
    </row>
    <row r="183" spans="5:12" ht="18" customHeight="1">
      <c r="G183" s="12"/>
      <c r="H183" s="12"/>
      <c r="I183" s="12"/>
      <c r="J183" s="12"/>
      <c r="K183" s="12"/>
    </row>
    <row r="184" spans="5:12" ht="18" customHeight="1">
      <c r="E184" s="11"/>
      <c r="G184" s="12"/>
      <c r="H184" s="12"/>
      <c r="I184" s="12"/>
      <c r="J184" s="12"/>
      <c r="K184" s="12"/>
    </row>
    <row r="185" spans="5:12" ht="18" customHeight="1">
      <c r="G185" s="12"/>
      <c r="H185" s="12"/>
      <c r="I185" s="12"/>
      <c r="J185" s="12"/>
      <c r="K185" s="12"/>
    </row>
    <row r="186" spans="5:12" ht="18" customHeight="1">
      <c r="E186" s="11"/>
      <c r="G186" s="12"/>
      <c r="H186" s="12"/>
      <c r="I186" s="12"/>
      <c r="J186" s="12"/>
      <c r="K186" s="12"/>
    </row>
    <row r="187" spans="5:12" ht="18" customHeight="1">
      <c r="G187" s="12"/>
      <c r="H187" s="12"/>
      <c r="I187" s="12"/>
      <c r="J187" s="12"/>
      <c r="K187" s="12"/>
    </row>
    <row r="188" spans="5:12" ht="18" customHeight="1">
      <c r="E188" s="11"/>
      <c r="G188" s="12"/>
      <c r="H188" s="12"/>
      <c r="I188" s="12"/>
      <c r="J188" s="12"/>
      <c r="K188" s="12"/>
    </row>
    <row r="189" spans="5:12" ht="18" customHeight="1">
      <c r="G189" s="12"/>
      <c r="H189" s="12"/>
      <c r="I189" s="12"/>
      <c r="J189" s="12"/>
      <c r="K189" s="12"/>
    </row>
    <row r="190" spans="5:12" ht="18" customHeight="1">
      <c r="E190" s="11"/>
      <c r="G190" s="12"/>
      <c r="H190" s="12"/>
      <c r="I190" s="12"/>
      <c r="J190" s="12"/>
      <c r="K190" s="12"/>
    </row>
    <row r="191" spans="5:12" ht="18" customHeight="1">
      <c r="G191" s="12"/>
      <c r="H191" s="12"/>
      <c r="I191" s="12"/>
      <c r="J191" s="12"/>
      <c r="K191" s="12"/>
    </row>
    <row r="192" spans="5:12" ht="18" customHeight="1">
      <c r="E192" s="11"/>
      <c r="G192" s="12"/>
      <c r="H192" s="12"/>
      <c r="I192" s="12"/>
      <c r="J192" s="12"/>
      <c r="K192" s="12"/>
    </row>
    <row r="193" spans="5:11" ht="18" customHeight="1">
      <c r="G193" s="12"/>
      <c r="H193" s="12"/>
      <c r="I193" s="12"/>
      <c r="J193" s="12"/>
      <c r="K193" s="12"/>
    </row>
    <row r="194" spans="5:11" ht="18" customHeight="1">
      <c r="E194" s="11"/>
      <c r="G194" s="12"/>
      <c r="H194" s="12"/>
      <c r="I194" s="12"/>
      <c r="J194" s="12"/>
      <c r="K194" s="12"/>
    </row>
    <row r="195" spans="5:11" ht="18" customHeight="1">
      <c r="G195" s="12"/>
      <c r="H195" s="12"/>
      <c r="I195" s="12"/>
      <c r="J195" s="12"/>
      <c r="K195" s="12"/>
    </row>
    <row r="196" spans="5:11" ht="18" customHeight="1">
      <c r="E196" s="11"/>
      <c r="G196" s="12"/>
      <c r="H196" s="12"/>
      <c r="I196" s="12"/>
      <c r="J196" s="12"/>
      <c r="K196" s="12"/>
    </row>
    <row r="197" spans="5:11" ht="18" customHeight="1">
      <c r="G197" s="12"/>
      <c r="H197" s="12"/>
      <c r="I197" s="12"/>
      <c r="J197" s="12"/>
      <c r="K197" s="12"/>
    </row>
    <row r="198" spans="5:11" ht="18" customHeight="1">
      <c r="E198" s="11"/>
      <c r="G198" s="12"/>
      <c r="H198" s="12"/>
      <c r="I198" s="12"/>
      <c r="J198" s="12"/>
      <c r="K198" s="12"/>
    </row>
    <row r="199" spans="5:11" ht="18" customHeight="1">
      <c r="G199" s="12"/>
      <c r="H199" s="12"/>
      <c r="I199" s="12"/>
      <c r="J199" s="12"/>
      <c r="K199" s="12"/>
    </row>
    <row r="200" spans="5:11" ht="18" customHeight="1">
      <c r="E200" s="11"/>
      <c r="G200" s="12"/>
      <c r="H200" s="12"/>
      <c r="I200" s="12"/>
      <c r="J200" s="12"/>
      <c r="K200" s="12"/>
    </row>
    <row r="201" spans="5:11" ht="18" customHeight="1">
      <c r="G201" s="12"/>
      <c r="H201" s="12"/>
      <c r="I201" s="12"/>
      <c r="J201" s="12"/>
      <c r="K201" s="12"/>
    </row>
    <row r="202" spans="5:11" ht="18" customHeight="1">
      <c r="E202" s="11"/>
      <c r="G202" s="12"/>
      <c r="H202" s="12"/>
      <c r="I202" s="12"/>
      <c r="J202" s="12"/>
      <c r="K202" s="12"/>
    </row>
    <row r="203" spans="5:11" ht="18" customHeight="1">
      <c r="G203" s="12"/>
      <c r="H203" s="12"/>
      <c r="I203" s="12"/>
      <c r="J203" s="12"/>
      <c r="K203" s="12"/>
    </row>
    <row r="204" spans="5:11" ht="18" customHeight="1">
      <c r="E204" s="11"/>
      <c r="G204" s="12"/>
      <c r="H204" s="12"/>
      <c r="I204" s="12"/>
      <c r="J204" s="12"/>
      <c r="K204" s="12"/>
    </row>
    <row r="205" spans="5:11" ht="18" customHeight="1">
      <c r="G205" s="12"/>
      <c r="H205" s="12"/>
      <c r="I205" s="12"/>
      <c r="J205" s="12"/>
      <c r="K205" s="12"/>
    </row>
    <row r="206" spans="5:11" ht="18" customHeight="1">
      <c r="E206" s="11"/>
      <c r="G206" s="12"/>
      <c r="H206" s="12"/>
      <c r="I206" s="12"/>
      <c r="J206" s="12"/>
      <c r="K206" s="12"/>
    </row>
    <row r="207" spans="5:11" ht="18" customHeight="1">
      <c r="G207" s="12"/>
      <c r="H207" s="12"/>
      <c r="I207" s="12"/>
      <c r="J207" s="12"/>
      <c r="K207" s="12"/>
    </row>
    <row r="208" spans="5:11" ht="18" customHeight="1">
      <c r="E208" s="11"/>
      <c r="G208" s="12"/>
      <c r="H208" s="12"/>
      <c r="I208" s="12"/>
      <c r="J208" s="12"/>
      <c r="K208" s="12"/>
    </row>
    <row r="209" spans="5:11" ht="18" customHeight="1">
      <c r="G209" s="12"/>
      <c r="H209" s="12"/>
      <c r="I209" s="12"/>
      <c r="J209" s="12"/>
      <c r="K209" s="12"/>
    </row>
    <row r="210" spans="5:11" ht="18" customHeight="1">
      <c r="E210" s="11"/>
      <c r="G210" s="12"/>
      <c r="H210" s="12"/>
      <c r="I210" s="12"/>
      <c r="J210" s="12"/>
      <c r="K210" s="12"/>
    </row>
    <row r="211" spans="5:11" ht="18" customHeight="1">
      <c r="G211" s="12"/>
      <c r="H211" s="12"/>
      <c r="I211" s="12"/>
      <c r="J211" s="12"/>
      <c r="K211" s="12"/>
    </row>
    <row r="212" spans="5:11" ht="18" customHeight="1">
      <c r="E212" s="11"/>
      <c r="G212" s="12"/>
      <c r="H212" s="12"/>
      <c r="I212" s="12"/>
      <c r="J212" s="12"/>
      <c r="K212" s="12"/>
    </row>
    <row r="213" spans="5:11" ht="18" customHeight="1">
      <c r="G213" s="12"/>
      <c r="H213" s="12"/>
      <c r="I213" s="12"/>
      <c r="J213" s="12"/>
      <c r="K213" s="12"/>
    </row>
    <row r="214" spans="5:11" ht="18" customHeight="1">
      <c r="E214" s="11"/>
      <c r="G214" s="12"/>
      <c r="H214" s="12"/>
      <c r="I214" s="12"/>
      <c r="J214" s="12"/>
      <c r="K214" s="12"/>
    </row>
    <row r="215" spans="5:11" ht="18" customHeight="1">
      <c r="G215" s="12"/>
      <c r="H215" s="12"/>
      <c r="I215" s="12"/>
      <c r="J215" s="12"/>
      <c r="K215" s="12"/>
    </row>
    <row r="216" spans="5:11" ht="18" customHeight="1">
      <c r="E216" s="11"/>
      <c r="G216" s="12"/>
      <c r="H216" s="12"/>
      <c r="I216" s="12"/>
      <c r="J216" s="12"/>
      <c r="K216" s="12"/>
    </row>
    <row r="217" spans="5:11" ht="18" customHeight="1">
      <c r="G217" s="12"/>
      <c r="H217" s="12"/>
      <c r="I217" s="12"/>
      <c r="J217" s="12"/>
      <c r="K217" s="12"/>
    </row>
    <row r="218" spans="5:11" ht="18" customHeight="1">
      <c r="E218" s="11"/>
      <c r="G218" s="12"/>
      <c r="H218" s="12"/>
      <c r="I218" s="12"/>
      <c r="J218" s="12"/>
      <c r="K218" s="12"/>
    </row>
    <row r="219" spans="5:11" ht="18" customHeight="1">
      <c r="G219" s="12"/>
      <c r="H219" s="12"/>
      <c r="I219" s="12"/>
      <c r="J219" s="12"/>
      <c r="K219" s="12"/>
    </row>
    <row r="220" spans="5:11" ht="18" customHeight="1">
      <c r="E220" s="11"/>
      <c r="G220" s="12"/>
      <c r="H220" s="12"/>
      <c r="I220" s="12"/>
      <c r="J220" s="12"/>
      <c r="K220" s="12"/>
    </row>
    <row r="221" spans="5:11" ht="18" customHeight="1">
      <c r="G221" s="12"/>
      <c r="H221" s="12"/>
      <c r="I221" s="12"/>
      <c r="J221" s="12"/>
      <c r="K221" s="12"/>
    </row>
    <row r="222" spans="5:11" ht="18" customHeight="1">
      <c r="E222" s="11"/>
    </row>
    <row r="224" spans="5:11" ht="18" customHeight="1">
      <c r="E224" s="11"/>
    </row>
    <row r="226" spans="5:5" ht="18" customHeight="1">
      <c r="E226" s="11"/>
    </row>
    <row r="228" spans="5:5" ht="18" customHeight="1">
      <c r="E228" s="11"/>
    </row>
    <row r="230" spans="5:5" ht="18" customHeight="1">
      <c r="E230" s="11"/>
    </row>
    <row r="232" spans="5:5" ht="18" customHeight="1">
      <c r="E232" s="11"/>
    </row>
    <row r="234" spans="5:5" ht="18" customHeight="1">
      <c r="E234" s="11"/>
    </row>
    <row r="236" spans="5:5" ht="18" customHeight="1">
      <c r="E236" s="11"/>
    </row>
    <row r="238" spans="5:5" ht="18" customHeight="1">
      <c r="E238" s="11"/>
    </row>
    <row r="240" spans="5:5" ht="18" customHeight="1">
      <c r="E240" s="11"/>
    </row>
    <row r="242" spans="5:5" ht="18" customHeight="1">
      <c r="E242" s="11"/>
    </row>
    <row r="244" spans="5:5" ht="18" customHeight="1">
      <c r="E244" s="11"/>
    </row>
    <row r="246" spans="5:5" ht="18" customHeight="1">
      <c r="E246" s="11"/>
    </row>
    <row r="248" spans="5:5" ht="18" customHeight="1">
      <c r="E248" s="11"/>
    </row>
    <row r="250" spans="5:5" ht="18" customHeight="1">
      <c r="E250" s="11"/>
    </row>
    <row r="252" spans="5:5" ht="18" customHeight="1">
      <c r="E252" s="11"/>
    </row>
    <row r="254" spans="5:5" ht="18" customHeight="1">
      <c r="E254" s="11"/>
    </row>
    <row r="256" spans="5:5" ht="18" customHeight="1">
      <c r="E256" s="11"/>
    </row>
    <row r="258" spans="5:13" ht="18" customHeight="1">
      <c r="E258" s="11"/>
    </row>
    <row r="260" spans="5:13" ht="18" customHeight="1">
      <c r="E260" s="11"/>
    </row>
    <row r="262" spans="5:13" ht="18" customHeight="1">
      <c r="E262" s="11"/>
    </row>
    <row r="264" spans="5:13" ht="18" customHeight="1">
      <c r="E264" s="11"/>
    </row>
    <row r="266" spans="5:13" ht="18" customHeight="1">
      <c r="E266" s="11"/>
    </row>
    <row r="268" spans="5:13" ht="18" customHeight="1">
      <c r="E268" s="11"/>
    </row>
    <row r="270" spans="5:13" ht="18" customHeight="1">
      <c r="E270" s="11"/>
    </row>
    <row r="271" spans="5:13" ht="18" customHeight="1">
      <c r="G271" s="14"/>
      <c r="H271" s="14"/>
      <c r="I271" s="14"/>
      <c r="J271" s="14"/>
      <c r="K271" s="14"/>
      <c r="L271" s="14"/>
      <c r="M271" s="14"/>
    </row>
  </sheetData>
  <mergeCells count="24">
    <mergeCell ref="I5:I6"/>
    <mergeCell ref="A2:C2"/>
    <mergeCell ref="A3:C3"/>
    <mergeCell ref="A5:A6"/>
    <mergeCell ref="B5:B6"/>
    <mergeCell ref="C5:C6"/>
    <mergeCell ref="A91:B91"/>
    <mergeCell ref="E5:E6"/>
    <mergeCell ref="F5:F6"/>
    <mergeCell ref="G5:G6"/>
    <mergeCell ref="H5:H6"/>
    <mergeCell ref="D5:D6"/>
    <mergeCell ref="P5:P6"/>
    <mergeCell ref="J5:J6"/>
    <mergeCell ref="K5:K6"/>
    <mergeCell ref="L5:L6"/>
    <mergeCell ref="M5:M6"/>
    <mergeCell ref="N5:N6"/>
    <mergeCell ref="O5:O6"/>
    <mergeCell ref="T5:T7"/>
    <mergeCell ref="U5:U7"/>
    <mergeCell ref="Q5:Q7"/>
    <mergeCell ref="R5:R7"/>
    <mergeCell ref="S5:S7"/>
  </mergeCells>
  <printOptions horizontalCentered="1"/>
  <pageMargins left="0" right="0" top="0.15748031496062992" bottom="0.19685039370078741" header="0.19685039370078741" footer="0.19685039370078741"/>
  <pageSetup paperSize="9" scale="85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8"/>
  <sheetViews>
    <sheetView showZeros="0" tabSelected="1" zoomScale="70" zoomScaleNormal="70" workbookViewId="0">
      <selection activeCell="F16" sqref="F16"/>
    </sheetView>
  </sheetViews>
  <sheetFormatPr defaultRowHeight="15.75" outlineLevelRow="1"/>
  <cols>
    <col min="1" max="1" width="4.140625" style="23" customWidth="1"/>
    <col min="2" max="2" width="20.7109375" style="23" customWidth="1"/>
    <col min="3" max="3" width="6.85546875" style="129" customWidth="1"/>
    <col min="4" max="4" width="8.140625" style="23" customWidth="1"/>
    <col min="5" max="5" width="2.85546875" style="23" customWidth="1"/>
    <col min="6" max="6" width="10" style="23" customWidth="1"/>
    <col min="7" max="7" width="9" style="23" customWidth="1"/>
    <col min="8" max="8" width="8" style="23" customWidth="1"/>
    <col min="9" max="9" width="6.140625" style="23" customWidth="1"/>
    <col min="10" max="10" width="5.85546875" style="23" customWidth="1"/>
    <col min="11" max="11" width="5.5703125" style="23" customWidth="1"/>
    <col min="12" max="13" width="4.85546875" style="23" hidden="1" customWidth="1"/>
    <col min="14" max="14" width="6.140625" style="20" customWidth="1"/>
    <col min="15" max="15" width="7.5703125" style="23" customWidth="1"/>
    <col min="16" max="16" width="6.140625" style="23" customWidth="1"/>
    <col min="17" max="17" width="6.140625" style="24" customWidth="1"/>
    <col min="18" max="18" width="5.85546875" style="23" customWidth="1"/>
    <col min="19" max="19" width="6" style="23" customWidth="1"/>
    <col min="20" max="20" width="7.5703125" style="2" customWidth="1"/>
    <col min="21" max="21" width="7.140625" style="2" customWidth="1"/>
    <col min="22" max="22" width="6.85546875" style="2" customWidth="1"/>
    <col min="23" max="23" width="7.7109375" style="2" customWidth="1"/>
    <col min="24" max="24" width="9.140625" style="23"/>
    <col min="25" max="25" width="9.5703125" style="23" customWidth="1"/>
    <col min="26" max="26" width="14.5703125" style="23" bestFit="1" customWidth="1"/>
    <col min="27" max="28" width="12.28515625" style="23" customWidth="1"/>
    <col min="29" max="29" width="9.140625" style="23"/>
    <col min="30" max="30" width="14" style="23" bestFit="1" customWidth="1"/>
    <col min="31" max="241" width="9.140625" style="23"/>
    <col min="242" max="242" width="4.140625" style="23" customWidth="1"/>
    <col min="243" max="243" width="23.5703125" style="23" customWidth="1"/>
    <col min="244" max="244" width="5.5703125" style="23" customWidth="1"/>
    <col min="245" max="245" width="4.85546875" style="23" customWidth="1"/>
    <col min="246" max="246" width="4.42578125" style="23" customWidth="1"/>
    <col min="247" max="252" width="0" style="23" hidden="1" customWidth="1"/>
    <col min="253" max="253" width="9" style="23" customWidth="1"/>
    <col min="254" max="256" width="4.85546875" style="23" customWidth="1"/>
    <col min="257" max="259" width="0" style="23" hidden="1" customWidth="1"/>
    <col min="260" max="260" width="5.42578125" style="23" customWidth="1"/>
    <col min="261" max="261" width="4.85546875" style="23" customWidth="1"/>
    <col min="262" max="262" width="7.5703125" style="23" customWidth="1"/>
    <col min="263" max="263" width="4.85546875" style="23" customWidth="1"/>
    <col min="264" max="264" width="6.140625" style="23" customWidth="1"/>
    <col min="265" max="266" width="0" style="23" hidden="1" customWidth="1"/>
    <col min="267" max="267" width="7.5703125" style="23" customWidth="1"/>
    <col min="268" max="268" width="10.140625" style="23" customWidth="1"/>
    <col min="269" max="269" width="5.5703125" style="23" customWidth="1"/>
    <col min="270" max="270" width="7.7109375" style="23" customWidth="1"/>
    <col min="271" max="277" width="0" style="23" hidden="1" customWidth="1"/>
    <col min="278" max="497" width="9.140625" style="23"/>
    <col min="498" max="498" width="4.140625" style="23" customWidth="1"/>
    <col min="499" max="499" width="23.5703125" style="23" customWidth="1"/>
    <col min="500" max="500" width="5.5703125" style="23" customWidth="1"/>
    <col min="501" max="501" width="4.85546875" style="23" customWidth="1"/>
    <col min="502" max="502" width="4.42578125" style="23" customWidth="1"/>
    <col min="503" max="508" width="0" style="23" hidden="1" customWidth="1"/>
    <col min="509" max="509" width="9" style="23" customWidth="1"/>
    <col min="510" max="512" width="4.85546875" style="23" customWidth="1"/>
    <col min="513" max="515" width="0" style="23" hidden="1" customWidth="1"/>
    <col min="516" max="516" width="5.42578125" style="23" customWidth="1"/>
    <col min="517" max="517" width="4.85546875" style="23" customWidth="1"/>
    <col min="518" max="518" width="7.5703125" style="23" customWidth="1"/>
    <col min="519" max="519" width="4.85546875" style="23" customWidth="1"/>
    <col min="520" max="520" width="6.140625" style="23" customWidth="1"/>
    <col min="521" max="522" width="0" style="23" hidden="1" customWidth="1"/>
    <col min="523" max="523" width="7.5703125" style="23" customWidth="1"/>
    <col min="524" max="524" width="10.140625" style="23" customWidth="1"/>
    <col min="525" max="525" width="5.5703125" style="23" customWidth="1"/>
    <col min="526" max="526" width="7.7109375" style="23" customWidth="1"/>
    <col min="527" max="533" width="0" style="23" hidden="1" customWidth="1"/>
    <col min="534" max="753" width="9.140625" style="23"/>
    <col min="754" max="754" width="4.140625" style="23" customWidth="1"/>
    <col min="755" max="755" width="23.5703125" style="23" customWidth="1"/>
    <col min="756" max="756" width="5.5703125" style="23" customWidth="1"/>
    <col min="757" max="757" width="4.85546875" style="23" customWidth="1"/>
    <col min="758" max="758" width="4.42578125" style="23" customWidth="1"/>
    <col min="759" max="764" width="0" style="23" hidden="1" customWidth="1"/>
    <col min="765" max="765" width="9" style="23" customWidth="1"/>
    <col min="766" max="768" width="4.85546875" style="23" customWidth="1"/>
    <col min="769" max="771" width="0" style="23" hidden="1" customWidth="1"/>
    <col min="772" max="772" width="5.42578125" style="23" customWidth="1"/>
    <col min="773" max="773" width="4.85546875" style="23" customWidth="1"/>
    <col min="774" max="774" width="7.5703125" style="23" customWidth="1"/>
    <col min="775" max="775" width="4.85546875" style="23" customWidth="1"/>
    <col min="776" max="776" width="6.140625" style="23" customWidth="1"/>
    <col min="777" max="778" width="0" style="23" hidden="1" customWidth="1"/>
    <col min="779" max="779" width="7.5703125" style="23" customWidth="1"/>
    <col min="780" max="780" width="10.140625" style="23" customWidth="1"/>
    <col min="781" max="781" width="5.5703125" style="23" customWidth="1"/>
    <col min="782" max="782" width="7.7109375" style="23" customWidth="1"/>
    <col min="783" max="789" width="0" style="23" hidden="1" customWidth="1"/>
    <col min="790" max="1009" width="9.140625" style="23"/>
    <col min="1010" max="1010" width="4.140625" style="23" customWidth="1"/>
    <col min="1011" max="1011" width="23.5703125" style="23" customWidth="1"/>
    <col min="1012" max="1012" width="5.5703125" style="23" customWidth="1"/>
    <col min="1013" max="1013" width="4.85546875" style="23" customWidth="1"/>
    <col min="1014" max="1014" width="4.42578125" style="23" customWidth="1"/>
    <col min="1015" max="1020" width="0" style="23" hidden="1" customWidth="1"/>
    <col min="1021" max="1021" width="9" style="23" customWidth="1"/>
    <col min="1022" max="1024" width="4.85546875" style="23" customWidth="1"/>
    <col min="1025" max="1027" width="0" style="23" hidden="1" customWidth="1"/>
    <col min="1028" max="1028" width="5.42578125" style="23" customWidth="1"/>
    <col min="1029" max="1029" width="4.85546875" style="23" customWidth="1"/>
    <col min="1030" max="1030" width="7.5703125" style="23" customWidth="1"/>
    <col min="1031" max="1031" width="4.85546875" style="23" customWidth="1"/>
    <col min="1032" max="1032" width="6.140625" style="23" customWidth="1"/>
    <col min="1033" max="1034" width="0" style="23" hidden="1" customWidth="1"/>
    <col min="1035" max="1035" width="7.5703125" style="23" customWidth="1"/>
    <col min="1036" max="1036" width="10.140625" style="23" customWidth="1"/>
    <col min="1037" max="1037" width="5.5703125" style="23" customWidth="1"/>
    <col min="1038" max="1038" width="7.7109375" style="23" customWidth="1"/>
    <col min="1039" max="1045" width="0" style="23" hidden="1" customWidth="1"/>
    <col min="1046" max="1265" width="9.140625" style="23"/>
    <col min="1266" max="1266" width="4.140625" style="23" customWidth="1"/>
    <col min="1267" max="1267" width="23.5703125" style="23" customWidth="1"/>
    <col min="1268" max="1268" width="5.5703125" style="23" customWidth="1"/>
    <col min="1269" max="1269" width="4.85546875" style="23" customWidth="1"/>
    <col min="1270" max="1270" width="4.42578125" style="23" customWidth="1"/>
    <col min="1271" max="1276" width="0" style="23" hidden="1" customWidth="1"/>
    <col min="1277" max="1277" width="9" style="23" customWidth="1"/>
    <col min="1278" max="1280" width="4.85546875" style="23" customWidth="1"/>
    <col min="1281" max="1283" width="0" style="23" hidden="1" customWidth="1"/>
    <col min="1284" max="1284" width="5.42578125" style="23" customWidth="1"/>
    <col min="1285" max="1285" width="4.85546875" style="23" customWidth="1"/>
    <col min="1286" max="1286" width="7.5703125" style="23" customWidth="1"/>
    <col min="1287" max="1287" width="4.85546875" style="23" customWidth="1"/>
    <col min="1288" max="1288" width="6.140625" style="23" customWidth="1"/>
    <col min="1289" max="1290" width="0" style="23" hidden="1" customWidth="1"/>
    <col min="1291" max="1291" width="7.5703125" style="23" customWidth="1"/>
    <col min="1292" max="1292" width="10.140625" style="23" customWidth="1"/>
    <col min="1293" max="1293" width="5.5703125" style="23" customWidth="1"/>
    <col min="1294" max="1294" width="7.7109375" style="23" customWidth="1"/>
    <col min="1295" max="1301" width="0" style="23" hidden="1" customWidth="1"/>
    <col min="1302" max="1521" width="9.140625" style="23"/>
    <col min="1522" max="1522" width="4.140625" style="23" customWidth="1"/>
    <col min="1523" max="1523" width="23.5703125" style="23" customWidth="1"/>
    <col min="1524" max="1524" width="5.5703125" style="23" customWidth="1"/>
    <col min="1525" max="1525" width="4.85546875" style="23" customWidth="1"/>
    <col min="1526" max="1526" width="4.42578125" style="23" customWidth="1"/>
    <col min="1527" max="1532" width="0" style="23" hidden="1" customWidth="1"/>
    <col min="1533" max="1533" width="9" style="23" customWidth="1"/>
    <col min="1534" max="1536" width="4.85546875" style="23" customWidth="1"/>
    <col min="1537" max="1539" width="0" style="23" hidden="1" customWidth="1"/>
    <col min="1540" max="1540" width="5.42578125" style="23" customWidth="1"/>
    <col min="1541" max="1541" width="4.85546875" style="23" customWidth="1"/>
    <col min="1542" max="1542" width="7.5703125" style="23" customWidth="1"/>
    <col min="1543" max="1543" width="4.85546875" style="23" customWidth="1"/>
    <col min="1544" max="1544" width="6.140625" style="23" customWidth="1"/>
    <col min="1545" max="1546" width="0" style="23" hidden="1" customWidth="1"/>
    <col min="1547" max="1547" width="7.5703125" style="23" customWidth="1"/>
    <col min="1548" max="1548" width="10.140625" style="23" customWidth="1"/>
    <col min="1549" max="1549" width="5.5703125" style="23" customWidth="1"/>
    <col min="1550" max="1550" width="7.7109375" style="23" customWidth="1"/>
    <col min="1551" max="1557" width="0" style="23" hidden="1" customWidth="1"/>
    <col min="1558" max="1777" width="9.140625" style="23"/>
    <col min="1778" max="1778" width="4.140625" style="23" customWidth="1"/>
    <col min="1779" max="1779" width="23.5703125" style="23" customWidth="1"/>
    <col min="1780" max="1780" width="5.5703125" style="23" customWidth="1"/>
    <col min="1781" max="1781" width="4.85546875" style="23" customWidth="1"/>
    <col min="1782" max="1782" width="4.42578125" style="23" customWidth="1"/>
    <col min="1783" max="1788" width="0" style="23" hidden="1" customWidth="1"/>
    <col min="1789" max="1789" width="9" style="23" customWidth="1"/>
    <col min="1790" max="1792" width="4.85546875" style="23" customWidth="1"/>
    <col min="1793" max="1795" width="0" style="23" hidden="1" customWidth="1"/>
    <col min="1796" max="1796" width="5.42578125" style="23" customWidth="1"/>
    <col min="1797" max="1797" width="4.85546875" style="23" customWidth="1"/>
    <col min="1798" max="1798" width="7.5703125" style="23" customWidth="1"/>
    <col min="1799" max="1799" width="4.85546875" style="23" customWidth="1"/>
    <col min="1800" max="1800" width="6.140625" style="23" customWidth="1"/>
    <col min="1801" max="1802" width="0" style="23" hidden="1" customWidth="1"/>
    <col min="1803" max="1803" width="7.5703125" style="23" customWidth="1"/>
    <col min="1804" max="1804" width="10.140625" style="23" customWidth="1"/>
    <col min="1805" max="1805" width="5.5703125" style="23" customWidth="1"/>
    <col min="1806" max="1806" width="7.7109375" style="23" customWidth="1"/>
    <col min="1807" max="1813" width="0" style="23" hidden="1" customWidth="1"/>
    <col min="1814" max="2033" width="9.140625" style="23"/>
    <col min="2034" max="2034" width="4.140625" style="23" customWidth="1"/>
    <col min="2035" max="2035" width="23.5703125" style="23" customWidth="1"/>
    <col min="2036" max="2036" width="5.5703125" style="23" customWidth="1"/>
    <col min="2037" max="2037" width="4.85546875" style="23" customWidth="1"/>
    <col min="2038" max="2038" width="4.42578125" style="23" customWidth="1"/>
    <col min="2039" max="2044" width="0" style="23" hidden="1" customWidth="1"/>
    <col min="2045" max="2045" width="9" style="23" customWidth="1"/>
    <col min="2046" max="2048" width="4.85546875" style="23" customWidth="1"/>
    <col min="2049" max="2051" width="0" style="23" hidden="1" customWidth="1"/>
    <col min="2052" max="2052" width="5.42578125" style="23" customWidth="1"/>
    <col min="2053" max="2053" width="4.85546875" style="23" customWidth="1"/>
    <col min="2054" max="2054" width="7.5703125" style="23" customWidth="1"/>
    <col min="2055" max="2055" width="4.85546875" style="23" customWidth="1"/>
    <col min="2056" max="2056" width="6.140625" style="23" customWidth="1"/>
    <col min="2057" max="2058" width="0" style="23" hidden="1" customWidth="1"/>
    <col min="2059" max="2059" width="7.5703125" style="23" customWidth="1"/>
    <col min="2060" max="2060" width="10.140625" style="23" customWidth="1"/>
    <col min="2061" max="2061" width="5.5703125" style="23" customWidth="1"/>
    <col min="2062" max="2062" width="7.7109375" style="23" customWidth="1"/>
    <col min="2063" max="2069" width="0" style="23" hidden="1" customWidth="1"/>
    <col min="2070" max="2289" width="9.140625" style="23"/>
    <col min="2290" max="2290" width="4.140625" style="23" customWidth="1"/>
    <col min="2291" max="2291" width="23.5703125" style="23" customWidth="1"/>
    <col min="2292" max="2292" width="5.5703125" style="23" customWidth="1"/>
    <col min="2293" max="2293" width="4.85546875" style="23" customWidth="1"/>
    <col min="2294" max="2294" width="4.42578125" style="23" customWidth="1"/>
    <col min="2295" max="2300" width="0" style="23" hidden="1" customWidth="1"/>
    <col min="2301" max="2301" width="9" style="23" customWidth="1"/>
    <col min="2302" max="2304" width="4.85546875" style="23" customWidth="1"/>
    <col min="2305" max="2307" width="0" style="23" hidden="1" customWidth="1"/>
    <col min="2308" max="2308" width="5.42578125" style="23" customWidth="1"/>
    <col min="2309" max="2309" width="4.85546875" style="23" customWidth="1"/>
    <col min="2310" max="2310" width="7.5703125" style="23" customWidth="1"/>
    <col min="2311" max="2311" width="4.85546875" style="23" customWidth="1"/>
    <col min="2312" max="2312" width="6.140625" style="23" customWidth="1"/>
    <col min="2313" max="2314" width="0" style="23" hidden="1" customWidth="1"/>
    <col min="2315" max="2315" width="7.5703125" style="23" customWidth="1"/>
    <col min="2316" max="2316" width="10.140625" style="23" customWidth="1"/>
    <col min="2317" max="2317" width="5.5703125" style="23" customWidth="1"/>
    <col min="2318" max="2318" width="7.7109375" style="23" customWidth="1"/>
    <col min="2319" max="2325" width="0" style="23" hidden="1" customWidth="1"/>
    <col min="2326" max="2545" width="9.140625" style="23"/>
    <col min="2546" max="2546" width="4.140625" style="23" customWidth="1"/>
    <col min="2547" max="2547" width="23.5703125" style="23" customWidth="1"/>
    <col min="2548" max="2548" width="5.5703125" style="23" customWidth="1"/>
    <col min="2549" max="2549" width="4.85546875" style="23" customWidth="1"/>
    <col min="2550" max="2550" width="4.42578125" style="23" customWidth="1"/>
    <col min="2551" max="2556" width="0" style="23" hidden="1" customWidth="1"/>
    <col min="2557" max="2557" width="9" style="23" customWidth="1"/>
    <col min="2558" max="2560" width="4.85546875" style="23" customWidth="1"/>
    <col min="2561" max="2563" width="0" style="23" hidden="1" customWidth="1"/>
    <col min="2564" max="2564" width="5.42578125" style="23" customWidth="1"/>
    <col min="2565" max="2565" width="4.85546875" style="23" customWidth="1"/>
    <col min="2566" max="2566" width="7.5703125" style="23" customWidth="1"/>
    <col min="2567" max="2567" width="4.85546875" style="23" customWidth="1"/>
    <col min="2568" max="2568" width="6.140625" style="23" customWidth="1"/>
    <col min="2569" max="2570" width="0" style="23" hidden="1" customWidth="1"/>
    <col min="2571" max="2571" width="7.5703125" style="23" customWidth="1"/>
    <col min="2572" max="2572" width="10.140625" style="23" customWidth="1"/>
    <col min="2573" max="2573" width="5.5703125" style="23" customWidth="1"/>
    <col min="2574" max="2574" width="7.7109375" style="23" customWidth="1"/>
    <col min="2575" max="2581" width="0" style="23" hidden="1" customWidth="1"/>
    <col min="2582" max="2801" width="9.140625" style="23"/>
    <col min="2802" max="2802" width="4.140625" style="23" customWidth="1"/>
    <col min="2803" max="2803" width="23.5703125" style="23" customWidth="1"/>
    <col min="2804" max="2804" width="5.5703125" style="23" customWidth="1"/>
    <col min="2805" max="2805" width="4.85546875" style="23" customWidth="1"/>
    <col min="2806" max="2806" width="4.42578125" style="23" customWidth="1"/>
    <col min="2807" max="2812" width="0" style="23" hidden="1" customWidth="1"/>
    <col min="2813" max="2813" width="9" style="23" customWidth="1"/>
    <col min="2814" max="2816" width="4.85546875" style="23" customWidth="1"/>
    <col min="2817" max="2819" width="0" style="23" hidden="1" customWidth="1"/>
    <col min="2820" max="2820" width="5.42578125" style="23" customWidth="1"/>
    <col min="2821" max="2821" width="4.85546875" style="23" customWidth="1"/>
    <col min="2822" max="2822" width="7.5703125" style="23" customWidth="1"/>
    <col min="2823" max="2823" width="4.85546875" style="23" customWidth="1"/>
    <col min="2824" max="2824" width="6.140625" style="23" customWidth="1"/>
    <col min="2825" max="2826" width="0" style="23" hidden="1" customWidth="1"/>
    <col min="2827" max="2827" width="7.5703125" style="23" customWidth="1"/>
    <col min="2828" max="2828" width="10.140625" style="23" customWidth="1"/>
    <col min="2829" max="2829" width="5.5703125" style="23" customWidth="1"/>
    <col min="2830" max="2830" width="7.7109375" style="23" customWidth="1"/>
    <col min="2831" max="2837" width="0" style="23" hidden="1" customWidth="1"/>
    <col min="2838" max="3057" width="9.140625" style="23"/>
    <col min="3058" max="3058" width="4.140625" style="23" customWidth="1"/>
    <col min="3059" max="3059" width="23.5703125" style="23" customWidth="1"/>
    <col min="3060" max="3060" width="5.5703125" style="23" customWidth="1"/>
    <col min="3061" max="3061" width="4.85546875" style="23" customWidth="1"/>
    <col min="3062" max="3062" width="4.42578125" style="23" customWidth="1"/>
    <col min="3063" max="3068" width="0" style="23" hidden="1" customWidth="1"/>
    <col min="3069" max="3069" width="9" style="23" customWidth="1"/>
    <col min="3070" max="3072" width="4.85546875" style="23" customWidth="1"/>
    <col min="3073" max="3075" width="0" style="23" hidden="1" customWidth="1"/>
    <col min="3076" max="3076" width="5.42578125" style="23" customWidth="1"/>
    <col min="3077" max="3077" width="4.85546875" style="23" customWidth="1"/>
    <col min="3078" max="3078" width="7.5703125" style="23" customWidth="1"/>
    <col min="3079" max="3079" width="4.85546875" style="23" customWidth="1"/>
    <col min="3080" max="3080" width="6.140625" style="23" customWidth="1"/>
    <col min="3081" max="3082" width="0" style="23" hidden="1" customWidth="1"/>
    <col min="3083" max="3083" width="7.5703125" style="23" customWidth="1"/>
    <col min="3084" max="3084" width="10.140625" style="23" customWidth="1"/>
    <col min="3085" max="3085" width="5.5703125" style="23" customWidth="1"/>
    <col min="3086" max="3086" width="7.7109375" style="23" customWidth="1"/>
    <col min="3087" max="3093" width="0" style="23" hidden="1" customWidth="1"/>
    <col min="3094" max="3313" width="9.140625" style="23"/>
    <col min="3314" max="3314" width="4.140625" style="23" customWidth="1"/>
    <col min="3315" max="3315" width="23.5703125" style="23" customWidth="1"/>
    <col min="3316" max="3316" width="5.5703125" style="23" customWidth="1"/>
    <col min="3317" max="3317" width="4.85546875" style="23" customWidth="1"/>
    <col min="3318" max="3318" width="4.42578125" style="23" customWidth="1"/>
    <col min="3319" max="3324" width="0" style="23" hidden="1" customWidth="1"/>
    <col min="3325" max="3325" width="9" style="23" customWidth="1"/>
    <col min="3326" max="3328" width="4.85546875" style="23" customWidth="1"/>
    <col min="3329" max="3331" width="0" style="23" hidden="1" customWidth="1"/>
    <col min="3332" max="3332" width="5.42578125" style="23" customWidth="1"/>
    <col min="3333" max="3333" width="4.85546875" style="23" customWidth="1"/>
    <col min="3334" max="3334" width="7.5703125" style="23" customWidth="1"/>
    <col min="3335" max="3335" width="4.85546875" style="23" customWidth="1"/>
    <col min="3336" max="3336" width="6.140625" style="23" customWidth="1"/>
    <col min="3337" max="3338" width="0" style="23" hidden="1" customWidth="1"/>
    <col min="3339" max="3339" width="7.5703125" style="23" customWidth="1"/>
    <col min="3340" max="3340" width="10.140625" style="23" customWidth="1"/>
    <col min="3341" max="3341" width="5.5703125" style="23" customWidth="1"/>
    <col min="3342" max="3342" width="7.7109375" style="23" customWidth="1"/>
    <col min="3343" max="3349" width="0" style="23" hidden="1" customWidth="1"/>
    <col min="3350" max="3569" width="9.140625" style="23"/>
    <col min="3570" max="3570" width="4.140625" style="23" customWidth="1"/>
    <col min="3571" max="3571" width="23.5703125" style="23" customWidth="1"/>
    <col min="3572" max="3572" width="5.5703125" style="23" customWidth="1"/>
    <col min="3573" max="3573" width="4.85546875" style="23" customWidth="1"/>
    <col min="3574" max="3574" width="4.42578125" style="23" customWidth="1"/>
    <col min="3575" max="3580" width="0" style="23" hidden="1" customWidth="1"/>
    <col min="3581" max="3581" width="9" style="23" customWidth="1"/>
    <col min="3582" max="3584" width="4.85546875" style="23" customWidth="1"/>
    <col min="3585" max="3587" width="0" style="23" hidden="1" customWidth="1"/>
    <col min="3588" max="3588" width="5.42578125" style="23" customWidth="1"/>
    <col min="3589" max="3589" width="4.85546875" style="23" customWidth="1"/>
    <col min="3590" max="3590" width="7.5703125" style="23" customWidth="1"/>
    <col min="3591" max="3591" width="4.85546875" style="23" customWidth="1"/>
    <col min="3592" max="3592" width="6.140625" style="23" customWidth="1"/>
    <col min="3593" max="3594" width="0" style="23" hidden="1" customWidth="1"/>
    <col min="3595" max="3595" width="7.5703125" style="23" customWidth="1"/>
    <col min="3596" max="3596" width="10.140625" style="23" customWidth="1"/>
    <col min="3597" max="3597" width="5.5703125" style="23" customWidth="1"/>
    <col min="3598" max="3598" width="7.7109375" style="23" customWidth="1"/>
    <col min="3599" max="3605" width="0" style="23" hidden="1" customWidth="1"/>
    <col min="3606" max="3825" width="9.140625" style="23"/>
    <col min="3826" max="3826" width="4.140625" style="23" customWidth="1"/>
    <col min="3827" max="3827" width="23.5703125" style="23" customWidth="1"/>
    <col min="3828" max="3828" width="5.5703125" style="23" customWidth="1"/>
    <col min="3829" max="3829" width="4.85546875" style="23" customWidth="1"/>
    <col min="3830" max="3830" width="4.42578125" style="23" customWidth="1"/>
    <col min="3831" max="3836" width="0" style="23" hidden="1" customWidth="1"/>
    <col min="3837" max="3837" width="9" style="23" customWidth="1"/>
    <col min="3838" max="3840" width="4.85546875" style="23" customWidth="1"/>
    <col min="3841" max="3843" width="0" style="23" hidden="1" customWidth="1"/>
    <col min="3844" max="3844" width="5.42578125" style="23" customWidth="1"/>
    <col min="3845" max="3845" width="4.85546875" style="23" customWidth="1"/>
    <col min="3846" max="3846" width="7.5703125" style="23" customWidth="1"/>
    <col min="3847" max="3847" width="4.85546875" style="23" customWidth="1"/>
    <col min="3848" max="3848" width="6.140625" style="23" customWidth="1"/>
    <col min="3849" max="3850" width="0" style="23" hidden="1" customWidth="1"/>
    <col min="3851" max="3851" width="7.5703125" style="23" customWidth="1"/>
    <col min="3852" max="3852" width="10.140625" style="23" customWidth="1"/>
    <col min="3853" max="3853" width="5.5703125" style="23" customWidth="1"/>
    <col min="3854" max="3854" width="7.7109375" style="23" customWidth="1"/>
    <col min="3855" max="3861" width="0" style="23" hidden="1" customWidth="1"/>
    <col min="3862" max="4081" width="9.140625" style="23"/>
    <col min="4082" max="4082" width="4.140625" style="23" customWidth="1"/>
    <col min="4083" max="4083" width="23.5703125" style="23" customWidth="1"/>
    <col min="4084" max="4084" width="5.5703125" style="23" customWidth="1"/>
    <col min="4085" max="4085" width="4.85546875" style="23" customWidth="1"/>
    <col min="4086" max="4086" width="4.42578125" style="23" customWidth="1"/>
    <col min="4087" max="4092" width="0" style="23" hidden="1" customWidth="1"/>
    <col min="4093" max="4093" width="9" style="23" customWidth="1"/>
    <col min="4094" max="4096" width="4.85546875" style="23" customWidth="1"/>
    <col min="4097" max="4099" width="0" style="23" hidden="1" customWidth="1"/>
    <col min="4100" max="4100" width="5.42578125" style="23" customWidth="1"/>
    <col min="4101" max="4101" width="4.85546875" style="23" customWidth="1"/>
    <col min="4102" max="4102" width="7.5703125" style="23" customWidth="1"/>
    <col min="4103" max="4103" width="4.85546875" style="23" customWidth="1"/>
    <col min="4104" max="4104" width="6.140625" style="23" customWidth="1"/>
    <col min="4105" max="4106" width="0" style="23" hidden="1" customWidth="1"/>
    <col min="4107" max="4107" width="7.5703125" style="23" customWidth="1"/>
    <col min="4108" max="4108" width="10.140625" style="23" customWidth="1"/>
    <col min="4109" max="4109" width="5.5703125" style="23" customWidth="1"/>
    <col min="4110" max="4110" width="7.7109375" style="23" customWidth="1"/>
    <col min="4111" max="4117" width="0" style="23" hidden="1" customWidth="1"/>
    <col min="4118" max="4337" width="9.140625" style="23"/>
    <col min="4338" max="4338" width="4.140625" style="23" customWidth="1"/>
    <col min="4339" max="4339" width="23.5703125" style="23" customWidth="1"/>
    <col min="4340" max="4340" width="5.5703125" style="23" customWidth="1"/>
    <col min="4341" max="4341" width="4.85546875" style="23" customWidth="1"/>
    <col min="4342" max="4342" width="4.42578125" style="23" customWidth="1"/>
    <col min="4343" max="4348" width="0" style="23" hidden="1" customWidth="1"/>
    <col min="4349" max="4349" width="9" style="23" customWidth="1"/>
    <col min="4350" max="4352" width="4.85546875" style="23" customWidth="1"/>
    <col min="4353" max="4355" width="0" style="23" hidden="1" customWidth="1"/>
    <col min="4356" max="4356" width="5.42578125" style="23" customWidth="1"/>
    <col min="4357" max="4357" width="4.85546875" style="23" customWidth="1"/>
    <col min="4358" max="4358" width="7.5703125" style="23" customWidth="1"/>
    <col min="4359" max="4359" width="4.85546875" style="23" customWidth="1"/>
    <col min="4360" max="4360" width="6.140625" style="23" customWidth="1"/>
    <col min="4361" max="4362" width="0" style="23" hidden="1" customWidth="1"/>
    <col min="4363" max="4363" width="7.5703125" style="23" customWidth="1"/>
    <col min="4364" max="4364" width="10.140625" style="23" customWidth="1"/>
    <col min="4365" max="4365" width="5.5703125" style="23" customWidth="1"/>
    <col min="4366" max="4366" width="7.7109375" style="23" customWidth="1"/>
    <col min="4367" max="4373" width="0" style="23" hidden="1" customWidth="1"/>
    <col min="4374" max="4593" width="9.140625" style="23"/>
    <col min="4594" max="4594" width="4.140625" style="23" customWidth="1"/>
    <col min="4595" max="4595" width="23.5703125" style="23" customWidth="1"/>
    <col min="4596" max="4596" width="5.5703125" style="23" customWidth="1"/>
    <col min="4597" max="4597" width="4.85546875" style="23" customWidth="1"/>
    <col min="4598" max="4598" width="4.42578125" style="23" customWidth="1"/>
    <col min="4599" max="4604" width="0" style="23" hidden="1" customWidth="1"/>
    <col min="4605" max="4605" width="9" style="23" customWidth="1"/>
    <col min="4606" max="4608" width="4.85546875" style="23" customWidth="1"/>
    <col min="4609" max="4611" width="0" style="23" hidden="1" customWidth="1"/>
    <col min="4612" max="4612" width="5.42578125" style="23" customWidth="1"/>
    <col min="4613" max="4613" width="4.85546875" style="23" customWidth="1"/>
    <col min="4614" max="4614" width="7.5703125" style="23" customWidth="1"/>
    <col min="4615" max="4615" width="4.85546875" style="23" customWidth="1"/>
    <col min="4616" max="4616" width="6.140625" style="23" customWidth="1"/>
    <col min="4617" max="4618" width="0" style="23" hidden="1" customWidth="1"/>
    <col min="4619" max="4619" width="7.5703125" style="23" customWidth="1"/>
    <col min="4620" max="4620" width="10.140625" style="23" customWidth="1"/>
    <col min="4621" max="4621" width="5.5703125" style="23" customWidth="1"/>
    <col min="4622" max="4622" width="7.7109375" style="23" customWidth="1"/>
    <col min="4623" max="4629" width="0" style="23" hidden="1" customWidth="1"/>
    <col min="4630" max="4849" width="9.140625" style="23"/>
    <col min="4850" max="4850" width="4.140625" style="23" customWidth="1"/>
    <col min="4851" max="4851" width="23.5703125" style="23" customWidth="1"/>
    <col min="4852" max="4852" width="5.5703125" style="23" customWidth="1"/>
    <col min="4853" max="4853" width="4.85546875" style="23" customWidth="1"/>
    <col min="4854" max="4854" width="4.42578125" style="23" customWidth="1"/>
    <col min="4855" max="4860" width="0" style="23" hidden="1" customWidth="1"/>
    <col min="4861" max="4861" width="9" style="23" customWidth="1"/>
    <col min="4862" max="4864" width="4.85546875" style="23" customWidth="1"/>
    <col min="4865" max="4867" width="0" style="23" hidden="1" customWidth="1"/>
    <col min="4868" max="4868" width="5.42578125" style="23" customWidth="1"/>
    <col min="4869" max="4869" width="4.85546875" style="23" customWidth="1"/>
    <col min="4870" max="4870" width="7.5703125" style="23" customWidth="1"/>
    <col min="4871" max="4871" width="4.85546875" style="23" customWidth="1"/>
    <col min="4872" max="4872" width="6.140625" style="23" customWidth="1"/>
    <col min="4873" max="4874" width="0" style="23" hidden="1" customWidth="1"/>
    <col min="4875" max="4875" width="7.5703125" style="23" customWidth="1"/>
    <col min="4876" max="4876" width="10.140625" style="23" customWidth="1"/>
    <col min="4877" max="4877" width="5.5703125" style="23" customWidth="1"/>
    <col min="4878" max="4878" width="7.7109375" style="23" customWidth="1"/>
    <col min="4879" max="4885" width="0" style="23" hidden="1" customWidth="1"/>
    <col min="4886" max="5105" width="9.140625" style="23"/>
    <col min="5106" max="5106" width="4.140625" style="23" customWidth="1"/>
    <col min="5107" max="5107" width="23.5703125" style="23" customWidth="1"/>
    <col min="5108" max="5108" width="5.5703125" style="23" customWidth="1"/>
    <col min="5109" max="5109" width="4.85546875" style="23" customWidth="1"/>
    <col min="5110" max="5110" width="4.42578125" style="23" customWidth="1"/>
    <col min="5111" max="5116" width="0" style="23" hidden="1" customWidth="1"/>
    <col min="5117" max="5117" width="9" style="23" customWidth="1"/>
    <col min="5118" max="5120" width="4.85546875" style="23" customWidth="1"/>
    <col min="5121" max="5123" width="0" style="23" hidden="1" customWidth="1"/>
    <col min="5124" max="5124" width="5.42578125" style="23" customWidth="1"/>
    <col min="5125" max="5125" width="4.85546875" style="23" customWidth="1"/>
    <col min="5126" max="5126" width="7.5703125" style="23" customWidth="1"/>
    <col min="5127" max="5127" width="4.85546875" style="23" customWidth="1"/>
    <col min="5128" max="5128" width="6.140625" style="23" customWidth="1"/>
    <col min="5129" max="5130" width="0" style="23" hidden="1" customWidth="1"/>
    <col min="5131" max="5131" width="7.5703125" style="23" customWidth="1"/>
    <col min="5132" max="5132" width="10.140625" style="23" customWidth="1"/>
    <col min="5133" max="5133" width="5.5703125" style="23" customWidth="1"/>
    <col min="5134" max="5134" width="7.7109375" style="23" customWidth="1"/>
    <col min="5135" max="5141" width="0" style="23" hidden="1" customWidth="1"/>
    <col min="5142" max="5361" width="9.140625" style="23"/>
    <col min="5362" max="5362" width="4.140625" style="23" customWidth="1"/>
    <col min="5363" max="5363" width="23.5703125" style="23" customWidth="1"/>
    <col min="5364" max="5364" width="5.5703125" style="23" customWidth="1"/>
    <col min="5365" max="5365" width="4.85546875" style="23" customWidth="1"/>
    <col min="5366" max="5366" width="4.42578125" style="23" customWidth="1"/>
    <col min="5367" max="5372" width="0" style="23" hidden="1" customWidth="1"/>
    <col min="5373" max="5373" width="9" style="23" customWidth="1"/>
    <col min="5374" max="5376" width="4.85546875" style="23" customWidth="1"/>
    <col min="5377" max="5379" width="0" style="23" hidden="1" customWidth="1"/>
    <col min="5380" max="5380" width="5.42578125" style="23" customWidth="1"/>
    <col min="5381" max="5381" width="4.85546875" style="23" customWidth="1"/>
    <col min="5382" max="5382" width="7.5703125" style="23" customWidth="1"/>
    <col min="5383" max="5383" width="4.85546875" style="23" customWidth="1"/>
    <col min="5384" max="5384" width="6.140625" style="23" customWidth="1"/>
    <col min="5385" max="5386" width="0" style="23" hidden="1" customWidth="1"/>
    <col min="5387" max="5387" width="7.5703125" style="23" customWidth="1"/>
    <col min="5388" max="5388" width="10.140625" style="23" customWidth="1"/>
    <col min="5389" max="5389" width="5.5703125" style="23" customWidth="1"/>
    <col min="5390" max="5390" width="7.7109375" style="23" customWidth="1"/>
    <col min="5391" max="5397" width="0" style="23" hidden="1" customWidth="1"/>
    <col min="5398" max="5617" width="9.140625" style="23"/>
    <col min="5618" max="5618" width="4.140625" style="23" customWidth="1"/>
    <col min="5619" max="5619" width="23.5703125" style="23" customWidth="1"/>
    <col min="5620" max="5620" width="5.5703125" style="23" customWidth="1"/>
    <col min="5621" max="5621" width="4.85546875" style="23" customWidth="1"/>
    <col min="5622" max="5622" width="4.42578125" style="23" customWidth="1"/>
    <col min="5623" max="5628" width="0" style="23" hidden="1" customWidth="1"/>
    <col min="5629" max="5629" width="9" style="23" customWidth="1"/>
    <col min="5630" max="5632" width="4.85546875" style="23" customWidth="1"/>
    <col min="5633" max="5635" width="0" style="23" hidden="1" customWidth="1"/>
    <col min="5636" max="5636" width="5.42578125" style="23" customWidth="1"/>
    <col min="5637" max="5637" width="4.85546875" style="23" customWidth="1"/>
    <col min="5638" max="5638" width="7.5703125" style="23" customWidth="1"/>
    <col min="5639" max="5639" width="4.85546875" style="23" customWidth="1"/>
    <col min="5640" max="5640" width="6.140625" style="23" customWidth="1"/>
    <col min="5641" max="5642" width="0" style="23" hidden="1" customWidth="1"/>
    <col min="5643" max="5643" width="7.5703125" style="23" customWidth="1"/>
    <col min="5644" max="5644" width="10.140625" style="23" customWidth="1"/>
    <col min="5645" max="5645" width="5.5703125" style="23" customWidth="1"/>
    <col min="5646" max="5646" width="7.7109375" style="23" customWidth="1"/>
    <col min="5647" max="5653" width="0" style="23" hidden="1" customWidth="1"/>
    <col min="5654" max="5873" width="9.140625" style="23"/>
    <col min="5874" max="5874" width="4.140625" style="23" customWidth="1"/>
    <col min="5875" max="5875" width="23.5703125" style="23" customWidth="1"/>
    <col min="5876" max="5876" width="5.5703125" style="23" customWidth="1"/>
    <col min="5877" max="5877" width="4.85546875" style="23" customWidth="1"/>
    <col min="5878" max="5878" width="4.42578125" style="23" customWidth="1"/>
    <col min="5879" max="5884" width="0" style="23" hidden="1" customWidth="1"/>
    <col min="5885" max="5885" width="9" style="23" customWidth="1"/>
    <col min="5886" max="5888" width="4.85546875" style="23" customWidth="1"/>
    <col min="5889" max="5891" width="0" style="23" hidden="1" customWidth="1"/>
    <col min="5892" max="5892" width="5.42578125" style="23" customWidth="1"/>
    <col min="5893" max="5893" width="4.85546875" style="23" customWidth="1"/>
    <col min="5894" max="5894" width="7.5703125" style="23" customWidth="1"/>
    <col min="5895" max="5895" width="4.85546875" style="23" customWidth="1"/>
    <col min="5896" max="5896" width="6.140625" style="23" customWidth="1"/>
    <col min="5897" max="5898" width="0" style="23" hidden="1" customWidth="1"/>
    <col min="5899" max="5899" width="7.5703125" style="23" customWidth="1"/>
    <col min="5900" max="5900" width="10.140625" style="23" customWidth="1"/>
    <col min="5901" max="5901" width="5.5703125" style="23" customWidth="1"/>
    <col min="5902" max="5902" width="7.7109375" style="23" customWidth="1"/>
    <col min="5903" max="5909" width="0" style="23" hidden="1" customWidth="1"/>
    <col min="5910" max="6129" width="9.140625" style="23"/>
    <col min="6130" max="6130" width="4.140625" style="23" customWidth="1"/>
    <col min="6131" max="6131" width="23.5703125" style="23" customWidth="1"/>
    <col min="6132" max="6132" width="5.5703125" style="23" customWidth="1"/>
    <col min="6133" max="6133" width="4.85546875" style="23" customWidth="1"/>
    <col min="6134" max="6134" width="4.42578125" style="23" customWidth="1"/>
    <col min="6135" max="6140" width="0" style="23" hidden="1" customWidth="1"/>
    <col min="6141" max="6141" width="9" style="23" customWidth="1"/>
    <col min="6142" max="6144" width="4.85546875" style="23" customWidth="1"/>
    <col min="6145" max="6147" width="0" style="23" hidden="1" customWidth="1"/>
    <col min="6148" max="6148" width="5.42578125" style="23" customWidth="1"/>
    <col min="6149" max="6149" width="4.85546875" style="23" customWidth="1"/>
    <col min="6150" max="6150" width="7.5703125" style="23" customWidth="1"/>
    <col min="6151" max="6151" width="4.85546875" style="23" customWidth="1"/>
    <col min="6152" max="6152" width="6.140625" style="23" customWidth="1"/>
    <col min="6153" max="6154" width="0" style="23" hidden="1" customWidth="1"/>
    <col min="6155" max="6155" width="7.5703125" style="23" customWidth="1"/>
    <col min="6156" max="6156" width="10.140625" style="23" customWidth="1"/>
    <col min="6157" max="6157" width="5.5703125" style="23" customWidth="1"/>
    <col min="6158" max="6158" width="7.7109375" style="23" customWidth="1"/>
    <col min="6159" max="6165" width="0" style="23" hidden="1" customWidth="1"/>
    <col min="6166" max="6385" width="9.140625" style="23"/>
    <col min="6386" max="6386" width="4.140625" style="23" customWidth="1"/>
    <col min="6387" max="6387" width="23.5703125" style="23" customWidth="1"/>
    <col min="6388" max="6388" width="5.5703125" style="23" customWidth="1"/>
    <col min="6389" max="6389" width="4.85546875" style="23" customWidth="1"/>
    <col min="6390" max="6390" width="4.42578125" style="23" customWidth="1"/>
    <col min="6391" max="6396" width="0" style="23" hidden="1" customWidth="1"/>
    <col min="6397" max="6397" width="9" style="23" customWidth="1"/>
    <col min="6398" max="6400" width="4.85546875" style="23" customWidth="1"/>
    <col min="6401" max="6403" width="0" style="23" hidden="1" customWidth="1"/>
    <col min="6404" max="6404" width="5.42578125" style="23" customWidth="1"/>
    <col min="6405" max="6405" width="4.85546875" style="23" customWidth="1"/>
    <col min="6406" max="6406" width="7.5703125" style="23" customWidth="1"/>
    <col min="6407" max="6407" width="4.85546875" style="23" customWidth="1"/>
    <col min="6408" max="6408" width="6.140625" style="23" customWidth="1"/>
    <col min="6409" max="6410" width="0" style="23" hidden="1" customWidth="1"/>
    <col min="6411" max="6411" width="7.5703125" style="23" customWidth="1"/>
    <col min="6412" max="6412" width="10.140625" style="23" customWidth="1"/>
    <col min="6413" max="6413" width="5.5703125" style="23" customWidth="1"/>
    <col min="6414" max="6414" width="7.7109375" style="23" customWidth="1"/>
    <col min="6415" max="6421" width="0" style="23" hidden="1" customWidth="1"/>
    <col min="6422" max="6641" width="9.140625" style="23"/>
    <col min="6642" max="6642" width="4.140625" style="23" customWidth="1"/>
    <col min="6643" max="6643" width="23.5703125" style="23" customWidth="1"/>
    <col min="6644" max="6644" width="5.5703125" style="23" customWidth="1"/>
    <col min="6645" max="6645" width="4.85546875" style="23" customWidth="1"/>
    <col min="6646" max="6646" width="4.42578125" style="23" customWidth="1"/>
    <col min="6647" max="6652" width="0" style="23" hidden="1" customWidth="1"/>
    <col min="6653" max="6653" width="9" style="23" customWidth="1"/>
    <col min="6654" max="6656" width="4.85546875" style="23" customWidth="1"/>
    <col min="6657" max="6659" width="0" style="23" hidden="1" customWidth="1"/>
    <col min="6660" max="6660" width="5.42578125" style="23" customWidth="1"/>
    <col min="6661" max="6661" width="4.85546875" style="23" customWidth="1"/>
    <col min="6662" max="6662" width="7.5703125" style="23" customWidth="1"/>
    <col min="6663" max="6663" width="4.85546875" style="23" customWidth="1"/>
    <col min="6664" max="6664" width="6.140625" style="23" customWidth="1"/>
    <col min="6665" max="6666" width="0" style="23" hidden="1" customWidth="1"/>
    <col min="6667" max="6667" width="7.5703125" style="23" customWidth="1"/>
    <col min="6668" max="6668" width="10.140625" style="23" customWidth="1"/>
    <col min="6669" max="6669" width="5.5703125" style="23" customWidth="1"/>
    <col min="6670" max="6670" width="7.7109375" style="23" customWidth="1"/>
    <col min="6671" max="6677" width="0" style="23" hidden="1" customWidth="1"/>
    <col min="6678" max="6897" width="9.140625" style="23"/>
    <col min="6898" max="6898" width="4.140625" style="23" customWidth="1"/>
    <col min="6899" max="6899" width="23.5703125" style="23" customWidth="1"/>
    <col min="6900" max="6900" width="5.5703125" style="23" customWidth="1"/>
    <col min="6901" max="6901" width="4.85546875" style="23" customWidth="1"/>
    <col min="6902" max="6902" width="4.42578125" style="23" customWidth="1"/>
    <col min="6903" max="6908" width="0" style="23" hidden="1" customWidth="1"/>
    <col min="6909" max="6909" width="9" style="23" customWidth="1"/>
    <col min="6910" max="6912" width="4.85546875" style="23" customWidth="1"/>
    <col min="6913" max="6915" width="0" style="23" hidden="1" customWidth="1"/>
    <col min="6916" max="6916" width="5.42578125" style="23" customWidth="1"/>
    <col min="6917" max="6917" width="4.85546875" style="23" customWidth="1"/>
    <col min="6918" max="6918" width="7.5703125" style="23" customWidth="1"/>
    <col min="6919" max="6919" width="4.85546875" style="23" customWidth="1"/>
    <col min="6920" max="6920" width="6.140625" style="23" customWidth="1"/>
    <col min="6921" max="6922" width="0" style="23" hidden="1" customWidth="1"/>
    <col min="6923" max="6923" width="7.5703125" style="23" customWidth="1"/>
    <col min="6924" max="6924" width="10.140625" style="23" customWidth="1"/>
    <col min="6925" max="6925" width="5.5703125" style="23" customWidth="1"/>
    <col min="6926" max="6926" width="7.7109375" style="23" customWidth="1"/>
    <col min="6927" max="6933" width="0" style="23" hidden="1" customWidth="1"/>
    <col min="6934" max="7153" width="9.140625" style="23"/>
    <col min="7154" max="7154" width="4.140625" style="23" customWidth="1"/>
    <col min="7155" max="7155" width="23.5703125" style="23" customWidth="1"/>
    <col min="7156" max="7156" width="5.5703125" style="23" customWidth="1"/>
    <col min="7157" max="7157" width="4.85546875" style="23" customWidth="1"/>
    <col min="7158" max="7158" width="4.42578125" style="23" customWidth="1"/>
    <col min="7159" max="7164" width="0" style="23" hidden="1" customWidth="1"/>
    <col min="7165" max="7165" width="9" style="23" customWidth="1"/>
    <col min="7166" max="7168" width="4.85546875" style="23" customWidth="1"/>
    <col min="7169" max="7171" width="0" style="23" hidden="1" customWidth="1"/>
    <col min="7172" max="7172" width="5.42578125" style="23" customWidth="1"/>
    <col min="7173" max="7173" width="4.85546875" style="23" customWidth="1"/>
    <col min="7174" max="7174" width="7.5703125" style="23" customWidth="1"/>
    <col min="7175" max="7175" width="4.85546875" style="23" customWidth="1"/>
    <col min="7176" max="7176" width="6.140625" style="23" customWidth="1"/>
    <col min="7177" max="7178" width="0" style="23" hidden="1" customWidth="1"/>
    <col min="7179" max="7179" width="7.5703125" style="23" customWidth="1"/>
    <col min="7180" max="7180" width="10.140625" style="23" customWidth="1"/>
    <col min="7181" max="7181" width="5.5703125" style="23" customWidth="1"/>
    <col min="7182" max="7182" width="7.7109375" style="23" customWidth="1"/>
    <col min="7183" max="7189" width="0" style="23" hidden="1" customWidth="1"/>
    <col min="7190" max="7409" width="9.140625" style="23"/>
    <col min="7410" max="7410" width="4.140625" style="23" customWidth="1"/>
    <col min="7411" max="7411" width="23.5703125" style="23" customWidth="1"/>
    <col min="7412" max="7412" width="5.5703125" style="23" customWidth="1"/>
    <col min="7413" max="7413" width="4.85546875" style="23" customWidth="1"/>
    <col min="7414" max="7414" width="4.42578125" style="23" customWidth="1"/>
    <col min="7415" max="7420" width="0" style="23" hidden="1" customWidth="1"/>
    <col min="7421" max="7421" width="9" style="23" customWidth="1"/>
    <col min="7422" max="7424" width="4.85546875" style="23" customWidth="1"/>
    <col min="7425" max="7427" width="0" style="23" hidden="1" customWidth="1"/>
    <col min="7428" max="7428" width="5.42578125" style="23" customWidth="1"/>
    <col min="7429" max="7429" width="4.85546875" style="23" customWidth="1"/>
    <col min="7430" max="7430" width="7.5703125" style="23" customWidth="1"/>
    <col min="7431" max="7431" width="4.85546875" style="23" customWidth="1"/>
    <col min="7432" max="7432" width="6.140625" style="23" customWidth="1"/>
    <col min="7433" max="7434" width="0" style="23" hidden="1" customWidth="1"/>
    <col min="7435" max="7435" width="7.5703125" style="23" customWidth="1"/>
    <col min="7436" max="7436" width="10.140625" style="23" customWidth="1"/>
    <col min="7437" max="7437" width="5.5703125" style="23" customWidth="1"/>
    <col min="7438" max="7438" width="7.7109375" style="23" customWidth="1"/>
    <col min="7439" max="7445" width="0" style="23" hidden="1" customWidth="1"/>
    <col min="7446" max="7665" width="9.140625" style="23"/>
    <col min="7666" max="7666" width="4.140625" style="23" customWidth="1"/>
    <col min="7667" max="7667" width="23.5703125" style="23" customWidth="1"/>
    <col min="7668" max="7668" width="5.5703125" style="23" customWidth="1"/>
    <col min="7669" max="7669" width="4.85546875" style="23" customWidth="1"/>
    <col min="7670" max="7670" width="4.42578125" style="23" customWidth="1"/>
    <col min="7671" max="7676" width="0" style="23" hidden="1" customWidth="1"/>
    <col min="7677" max="7677" width="9" style="23" customWidth="1"/>
    <col min="7678" max="7680" width="4.85546875" style="23" customWidth="1"/>
    <col min="7681" max="7683" width="0" style="23" hidden="1" customWidth="1"/>
    <col min="7684" max="7684" width="5.42578125" style="23" customWidth="1"/>
    <col min="7685" max="7685" width="4.85546875" style="23" customWidth="1"/>
    <col min="7686" max="7686" width="7.5703125" style="23" customWidth="1"/>
    <col min="7687" max="7687" width="4.85546875" style="23" customWidth="1"/>
    <col min="7688" max="7688" width="6.140625" style="23" customWidth="1"/>
    <col min="7689" max="7690" width="0" style="23" hidden="1" customWidth="1"/>
    <col min="7691" max="7691" width="7.5703125" style="23" customWidth="1"/>
    <col min="7692" max="7692" width="10.140625" style="23" customWidth="1"/>
    <col min="7693" max="7693" width="5.5703125" style="23" customWidth="1"/>
    <col min="7694" max="7694" width="7.7109375" style="23" customWidth="1"/>
    <col min="7695" max="7701" width="0" style="23" hidden="1" customWidth="1"/>
    <col min="7702" max="7921" width="9.140625" style="23"/>
    <col min="7922" max="7922" width="4.140625" style="23" customWidth="1"/>
    <col min="7923" max="7923" width="23.5703125" style="23" customWidth="1"/>
    <col min="7924" max="7924" width="5.5703125" style="23" customWidth="1"/>
    <col min="7925" max="7925" width="4.85546875" style="23" customWidth="1"/>
    <col min="7926" max="7926" width="4.42578125" style="23" customWidth="1"/>
    <col min="7927" max="7932" width="0" style="23" hidden="1" customWidth="1"/>
    <col min="7933" max="7933" width="9" style="23" customWidth="1"/>
    <col min="7934" max="7936" width="4.85546875" style="23" customWidth="1"/>
    <col min="7937" max="7939" width="0" style="23" hidden="1" customWidth="1"/>
    <col min="7940" max="7940" width="5.42578125" style="23" customWidth="1"/>
    <col min="7941" max="7941" width="4.85546875" style="23" customWidth="1"/>
    <col min="7942" max="7942" width="7.5703125" style="23" customWidth="1"/>
    <col min="7943" max="7943" width="4.85546875" style="23" customWidth="1"/>
    <col min="7944" max="7944" width="6.140625" style="23" customWidth="1"/>
    <col min="7945" max="7946" width="0" style="23" hidden="1" customWidth="1"/>
    <col min="7947" max="7947" width="7.5703125" style="23" customWidth="1"/>
    <col min="7948" max="7948" width="10.140625" style="23" customWidth="1"/>
    <col min="7949" max="7949" width="5.5703125" style="23" customWidth="1"/>
    <col min="7950" max="7950" width="7.7109375" style="23" customWidth="1"/>
    <col min="7951" max="7957" width="0" style="23" hidden="1" customWidth="1"/>
    <col min="7958" max="8177" width="9.140625" style="23"/>
    <col min="8178" max="8178" width="4.140625" style="23" customWidth="1"/>
    <col min="8179" max="8179" width="23.5703125" style="23" customWidth="1"/>
    <col min="8180" max="8180" width="5.5703125" style="23" customWidth="1"/>
    <col min="8181" max="8181" width="4.85546875" style="23" customWidth="1"/>
    <col min="8182" max="8182" width="4.42578125" style="23" customWidth="1"/>
    <col min="8183" max="8188" width="0" style="23" hidden="1" customWidth="1"/>
    <col min="8189" max="8189" width="9" style="23" customWidth="1"/>
    <col min="8190" max="8192" width="4.85546875" style="23" customWidth="1"/>
    <col min="8193" max="8195" width="0" style="23" hidden="1" customWidth="1"/>
    <col min="8196" max="8196" width="5.42578125" style="23" customWidth="1"/>
    <col min="8197" max="8197" width="4.85546875" style="23" customWidth="1"/>
    <col min="8198" max="8198" width="7.5703125" style="23" customWidth="1"/>
    <col min="8199" max="8199" width="4.85546875" style="23" customWidth="1"/>
    <col min="8200" max="8200" width="6.140625" style="23" customWidth="1"/>
    <col min="8201" max="8202" width="0" style="23" hidden="1" customWidth="1"/>
    <col min="8203" max="8203" width="7.5703125" style="23" customWidth="1"/>
    <col min="8204" max="8204" width="10.140625" style="23" customWidth="1"/>
    <col min="8205" max="8205" width="5.5703125" style="23" customWidth="1"/>
    <col min="8206" max="8206" width="7.7109375" style="23" customWidth="1"/>
    <col min="8207" max="8213" width="0" style="23" hidden="1" customWidth="1"/>
    <col min="8214" max="8433" width="9.140625" style="23"/>
    <col min="8434" max="8434" width="4.140625" style="23" customWidth="1"/>
    <col min="8435" max="8435" width="23.5703125" style="23" customWidth="1"/>
    <col min="8436" max="8436" width="5.5703125" style="23" customWidth="1"/>
    <col min="8437" max="8437" width="4.85546875" style="23" customWidth="1"/>
    <col min="8438" max="8438" width="4.42578125" style="23" customWidth="1"/>
    <col min="8439" max="8444" width="0" style="23" hidden="1" customWidth="1"/>
    <col min="8445" max="8445" width="9" style="23" customWidth="1"/>
    <col min="8446" max="8448" width="4.85546875" style="23" customWidth="1"/>
    <col min="8449" max="8451" width="0" style="23" hidden="1" customWidth="1"/>
    <col min="8452" max="8452" width="5.42578125" style="23" customWidth="1"/>
    <col min="8453" max="8453" width="4.85546875" style="23" customWidth="1"/>
    <col min="8454" max="8454" width="7.5703125" style="23" customWidth="1"/>
    <col min="8455" max="8455" width="4.85546875" style="23" customWidth="1"/>
    <col min="8456" max="8456" width="6.140625" style="23" customWidth="1"/>
    <col min="8457" max="8458" width="0" style="23" hidden="1" customWidth="1"/>
    <col min="8459" max="8459" width="7.5703125" style="23" customWidth="1"/>
    <col min="8460" max="8460" width="10.140625" style="23" customWidth="1"/>
    <col min="8461" max="8461" width="5.5703125" style="23" customWidth="1"/>
    <col min="8462" max="8462" width="7.7109375" style="23" customWidth="1"/>
    <col min="8463" max="8469" width="0" style="23" hidden="1" customWidth="1"/>
    <col min="8470" max="8689" width="9.140625" style="23"/>
    <col min="8690" max="8690" width="4.140625" style="23" customWidth="1"/>
    <col min="8691" max="8691" width="23.5703125" style="23" customWidth="1"/>
    <col min="8692" max="8692" width="5.5703125" style="23" customWidth="1"/>
    <col min="8693" max="8693" width="4.85546875" style="23" customWidth="1"/>
    <col min="8694" max="8694" width="4.42578125" style="23" customWidth="1"/>
    <col min="8695" max="8700" width="0" style="23" hidden="1" customWidth="1"/>
    <col min="8701" max="8701" width="9" style="23" customWidth="1"/>
    <col min="8702" max="8704" width="4.85546875" style="23" customWidth="1"/>
    <col min="8705" max="8707" width="0" style="23" hidden="1" customWidth="1"/>
    <col min="8708" max="8708" width="5.42578125" style="23" customWidth="1"/>
    <col min="8709" max="8709" width="4.85546875" style="23" customWidth="1"/>
    <col min="8710" max="8710" width="7.5703125" style="23" customWidth="1"/>
    <col min="8711" max="8711" width="4.85546875" style="23" customWidth="1"/>
    <col min="8712" max="8712" width="6.140625" style="23" customWidth="1"/>
    <col min="8713" max="8714" width="0" style="23" hidden="1" customWidth="1"/>
    <col min="8715" max="8715" width="7.5703125" style="23" customWidth="1"/>
    <col min="8716" max="8716" width="10.140625" style="23" customWidth="1"/>
    <col min="8717" max="8717" width="5.5703125" style="23" customWidth="1"/>
    <col min="8718" max="8718" width="7.7109375" style="23" customWidth="1"/>
    <col min="8719" max="8725" width="0" style="23" hidden="1" customWidth="1"/>
    <col min="8726" max="8945" width="9.140625" style="23"/>
    <col min="8946" max="8946" width="4.140625" style="23" customWidth="1"/>
    <col min="8947" max="8947" width="23.5703125" style="23" customWidth="1"/>
    <col min="8948" max="8948" width="5.5703125" style="23" customWidth="1"/>
    <col min="8949" max="8949" width="4.85546875" style="23" customWidth="1"/>
    <col min="8950" max="8950" width="4.42578125" style="23" customWidth="1"/>
    <col min="8951" max="8956" width="0" style="23" hidden="1" customWidth="1"/>
    <col min="8957" max="8957" width="9" style="23" customWidth="1"/>
    <col min="8958" max="8960" width="4.85546875" style="23" customWidth="1"/>
    <col min="8961" max="8963" width="0" style="23" hidden="1" customWidth="1"/>
    <col min="8964" max="8964" width="5.42578125" style="23" customWidth="1"/>
    <col min="8965" max="8965" width="4.85546875" style="23" customWidth="1"/>
    <col min="8966" max="8966" width="7.5703125" style="23" customWidth="1"/>
    <col min="8967" max="8967" width="4.85546875" style="23" customWidth="1"/>
    <col min="8968" max="8968" width="6.140625" style="23" customWidth="1"/>
    <col min="8969" max="8970" width="0" style="23" hidden="1" customWidth="1"/>
    <col min="8971" max="8971" width="7.5703125" style="23" customWidth="1"/>
    <col min="8972" max="8972" width="10.140625" style="23" customWidth="1"/>
    <col min="8973" max="8973" width="5.5703125" style="23" customWidth="1"/>
    <col min="8974" max="8974" width="7.7109375" style="23" customWidth="1"/>
    <col min="8975" max="8981" width="0" style="23" hidden="1" customWidth="1"/>
    <col min="8982" max="9201" width="9.140625" style="23"/>
    <col min="9202" max="9202" width="4.140625" style="23" customWidth="1"/>
    <col min="9203" max="9203" width="23.5703125" style="23" customWidth="1"/>
    <col min="9204" max="9204" width="5.5703125" style="23" customWidth="1"/>
    <col min="9205" max="9205" width="4.85546875" style="23" customWidth="1"/>
    <col min="9206" max="9206" width="4.42578125" style="23" customWidth="1"/>
    <col min="9207" max="9212" width="0" style="23" hidden="1" customWidth="1"/>
    <col min="9213" max="9213" width="9" style="23" customWidth="1"/>
    <col min="9214" max="9216" width="4.85546875" style="23" customWidth="1"/>
    <col min="9217" max="9219" width="0" style="23" hidden="1" customWidth="1"/>
    <col min="9220" max="9220" width="5.42578125" style="23" customWidth="1"/>
    <col min="9221" max="9221" width="4.85546875" style="23" customWidth="1"/>
    <col min="9222" max="9222" width="7.5703125" style="23" customWidth="1"/>
    <col min="9223" max="9223" width="4.85546875" style="23" customWidth="1"/>
    <col min="9224" max="9224" width="6.140625" style="23" customWidth="1"/>
    <col min="9225" max="9226" width="0" style="23" hidden="1" customWidth="1"/>
    <col min="9227" max="9227" width="7.5703125" style="23" customWidth="1"/>
    <col min="9228" max="9228" width="10.140625" style="23" customWidth="1"/>
    <col min="9229" max="9229" width="5.5703125" style="23" customWidth="1"/>
    <col min="9230" max="9230" width="7.7109375" style="23" customWidth="1"/>
    <col min="9231" max="9237" width="0" style="23" hidden="1" customWidth="1"/>
    <col min="9238" max="9457" width="9.140625" style="23"/>
    <col min="9458" max="9458" width="4.140625" style="23" customWidth="1"/>
    <col min="9459" max="9459" width="23.5703125" style="23" customWidth="1"/>
    <col min="9460" max="9460" width="5.5703125" style="23" customWidth="1"/>
    <col min="9461" max="9461" width="4.85546875" style="23" customWidth="1"/>
    <col min="9462" max="9462" width="4.42578125" style="23" customWidth="1"/>
    <col min="9463" max="9468" width="0" style="23" hidden="1" customWidth="1"/>
    <col min="9469" max="9469" width="9" style="23" customWidth="1"/>
    <col min="9470" max="9472" width="4.85546875" style="23" customWidth="1"/>
    <col min="9473" max="9475" width="0" style="23" hidden="1" customWidth="1"/>
    <col min="9476" max="9476" width="5.42578125" style="23" customWidth="1"/>
    <col min="9477" max="9477" width="4.85546875" style="23" customWidth="1"/>
    <col min="9478" max="9478" width="7.5703125" style="23" customWidth="1"/>
    <col min="9479" max="9479" width="4.85546875" style="23" customWidth="1"/>
    <col min="9480" max="9480" width="6.140625" style="23" customWidth="1"/>
    <col min="9481" max="9482" width="0" style="23" hidden="1" customWidth="1"/>
    <col min="9483" max="9483" width="7.5703125" style="23" customWidth="1"/>
    <col min="9484" max="9484" width="10.140625" style="23" customWidth="1"/>
    <col min="9485" max="9485" width="5.5703125" style="23" customWidth="1"/>
    <col min="9486" max="9486" width="7.7109375" style="23" customWidth="1"/>
    <col min="9487" max="9493" width="0" style="23" hidden="1" customWidth="1"/>
    <col min="9494" max="9713" width="9.140625" style="23"/>
    <col min="9714" max="9714" width="4.140625" style="23" customWidth="1"/>
    <col min="9715" max="9715" width="23.5703125" style="23" customWidth="1"/>
    <col min="9716" max="9716" width="5.5703125" style="23" customWidth="1"/>
    <col min="9717" max="9717" width="4.85546875" style="23" customWidth="1"/>
    <col min="9718" max="9718" width="4.42578125" style="23" customWidth="1"/>
    <col min="9719" max="9724" width="0" style="23" hidden="1" customWidth="1"/>
    <col min="9725" max="9725" width="9" style="23" customWidth="1"/>
    <col min="9726" max="9728" width="4.85546875" style="23" customWidth="1"/>
    <col min="9729" max="9731" width="0" style="23" hidden="1" customWidth="1"/>
    <col min="9732" max="9732" width="5.42578125" style="23" customWidth="1"/>
    <col min="9733" max="9733" width="4.85546875" style="23" customWidth="1"/>
    <col min="9734" max="9734" width="7.5703125" style="23" customWidth="1"/>
    <col min="9735" max="9735" width="4.85546875" style="23" customWidth="1"/>
    <col min="9736" max="9736" width="6.140625" style="23" customWidth="1"/>
    <col min="9737" max="9738" width="0" style="23" hidden="1" customWidth="1"/>
    <col min="9739" max="9739" width="7.5703125" style="23" customWidth="1"/>
    <col min="9740" max="9740" width="10.140625" style="23" customWidth="1"/>
    <col min="9741" max="9741" width="5.5703125" style="23" customWidth="1"/>
    <col min="9742" max="9742" width="7.7109375" style="23" customWidth="1"/>
    <col min="9743" max="9749" width="0" style="23" hidden="1" customWidth="1"/>
    <col min="9750" max="9969" width="9.140625" style="23"/>
    <col min="9970" max="9970" width="4.140625" style="23" customWidth="1"/>
    <col min="9971" max="9971" width="23.5703125" style="23" customWidth="1"/>
    <col min="9972" max="9972" width="5.5703125" style="23" customWidth="1"/>
    <col min="9973" max="9973" width="4.85546875" style="23" customWidth="1"/>
    <col min="9974" max="9974" width="4.42578125" style="23" customWidth="1"/>
    <col min="9975" max="9980" width="0" style="23" hidden="1" customWidth="1"/>
    <col min="9981" max="9981" width="9" style="23" customWidth="1"/>
    <col min="9982" max="9984" width="4.85546875" style="23" customWidth="1"/>
    <col min="9985" max="9987" width="0" style="23" hidden="1" customWidth="1"/>
    <col min="9988" max="9988" width="5.42578125" style="23" customWidth="1"/>
    <col min="9989" max="9989" width="4.85546875" style="23" customWidth="1"/>
    <col min="9990" max="9990" width="7.5703125" style="23" customWidth="1"/>
    <col min="9991" max="9991" width="4.85546875" style="23" customWidth="1"/>
    <col min="9992" max="9992" width="6.140625" style="23" customWidth="1"/>
    <col min="9993" max="9994" width="0" style="23" hidden="1" customWidth="1"/>
    <col min="9995" max="9995" width="7.5703125" style="23" customWidth="1"/>
    <col min="9996" max="9996" width="10.140625" style="23" customWidth="1"/>
    <col min="9997" max="9997" width="5.5703125" style="23" customWidth="1"/>
    <col min="9998" max="9998" width="7.7109375" style="23" customWidth="1"/>
    <col min="9999" max="10005" width="0" style="23" hidden="1" customWidth="1"/>
    <col min="10006" max="10225" width="9.140625" style="23"/>
    <col min="10226" max="10226" width="4.140625" style="23" customWidth="1"/>
    <col min="10227" max="10227" width="23.5703125" style="23" customWidth="1"/>
    <col min="10228" max="10228" width="5.5703125" style="23" customWidth="1"/>
    <col min="10229" max="10229" width="4.85546875" style="23" customWidth="1"/>
    <col min="10230" max="10230" width="4.42578125" style="23" customWidth="1"/>
    <col min="10231" max="10236" width="0" style="23" hidden="1" customWidth="1"/>
    <col min="10237" max="10237" width="9" style="23" customWidth="1"/>
    <col min="10238" max="10240" width="4.85546875" style="23" customWidth="1"/>
    <col min="10241" max="10243" width="0" style="23" hidden="1" customWidth="1"/>
    <col min="10244" max="10244" width="5.42578125" style="23" customWidth="1"/>
    <col min="10245" max="10245" width="4.85546875" style="23" customWidth="1"/>
    <col min="10246" max="10246" width="7.5703125" style="23" customWidth="1"/>
    <col min="10247" max="10247" width="4.85546875" style="23" customWidth="1"/>
    <col min="10248" max="10248" width="6.140625" style="23" customWidth="1"/>
    <col min="10249" max="10250" width="0" style="23" hidden="1" customWidth="1"/>
    <col min="10251" max="10251" width="7.5703125" style="23" customWidth="1"/>
    <col min="10252" max="10252" width="10.140625" style="23" customWidth="1"/>
    <col min="10253" max="10253" width="5.5703125" style="23" customWidth="1"/>
    <col min="10254" max="10254" width="7.7109375" style="23" customWidth="1"/>
    <col min="10255" max="10261" width="0" style="23" hidden="1" customWidth="1"/>
    <col min="10262" max="10481" width="9.140625" style="23"/>
    <col min="10482" max="10482" width="4.140625" style="23" customWidth="1"/>
    <col min="10483" max="10483" width="23.5703125" style="23" customWidth="1"/>
    <col min="10484" max="10484" width="5.5703125" style="23" customWidth="1"/>
    <col min="10485" max="10485" width="4.85546875" style="23" customWidth="1"/>
    <col min="10486" max="10486" width="4.42578125" style="23" customWidth="1"/>
    <col min="10487" max="10492" width="0" style="23" hidden="1" customWidth="1"/>
    <col min="10493" max="10493" width="9" style="23" customWidth="1"/>
    <col min="10494" max="10496" width="4.85546875" style="23" customWidth="1"/>
    <col min="10497" max="10499" width="0" style="23" hidden="1" customWidth="1"/>
    <col min="10500" max="10500" width="5.42578125" style="23" customWidth="1"/>
    <col min="10501" max="10501" width="4.85546875" style="23" customWidth="1"/>
    <col min="10502" max="10502" width="7.5703125" style="23" customWidth="1"/>
    <col min="10503" max="10503" width="4.85546875" style="23" customWidth="1"/>
    <col min="10504" max="10504" width="6.140625" style="23" customWidth="1"/>
    <col min="10505" max="10506" width="0" style="23" hidden="1" customWidth="1"/>
    <col min="10507" max="10507" width="7.5703125" style="23" customWidth="1"/>
    <col min="10508" max="10508" width="10.140625" style="23" customWidth="1"/>
    <col min="10509" max="10509" width="5.5703125" style="23" customWidth="1"/>
    <col min="10510" max="10510" width="7.7109375" style="23" customWidth="1"/>
    <col min="10511" max="10517" width="0" style="23" hidden="1" customWidth="1"/>
    <col min="10518" max="10737" width="9.140625" style="23"/>
    <col min="10738" max="10738" width="4.140625" style="23" customWidth="1"/>
    <col min="10739" max="10739" width="23.5703125" style="23" customWidth="1"/>
    <col min="10740" max="10740" width="5.5703125" style="23" customWidth="1"/>
    <col min="10741" max="10741" width="4.85546875" style="23" customWidth="1"/>
    <col min="10742" max="10742" width="4.42578125" style="23" customWidth="1"/>
    <col min="10743" max="10748" width="0" style="23" hidden="1" customWidth="1"/>
    <col min="10749" max="10749" width="9" style="23" customWidth="1"/>
    <col min="10750" max="10752" width="4.85546875" style="23" customWidth="1"/>
    <col min="10753" max="10755" width="0" style="23" hidden="1" customWidth="1"/>
    <col min="10756" max="10756" width="5.42578125" style="23" customWidth="1"/>
    <col min="10757" max="10757" width="4.85546875" style="23" customWidth="1"/>
    <col min="10758" max="10758" width="7.5703125" style="23" customWidth="1"/>
    <col min="10759" max="10759" width="4.85546875" style="23" customWidth="1"/>
    <col min="10760" max="10760" width="6.140625" style="23" customWidth="1"/>
    <col min="10761" max="10762" width="0" style="23" hidden="1" customWidth="1"/>
    <col min="10763" max="10763" width="7.5703125" style="23" customWidth="1"/>
    <col min="10764" max="10764" width="10.140625" style="23" customWidth="1"/>
    <col min="10765" max="10765" width="5.5703125" style="23" customWidth="1"/>
    <col min="10766" max="10766" width="7.7109375" style="23" customWidth="1"/>
    <col min="10767" max="10773" width="0" style="23" hidden="1" customWidth="1"/>
    <col min="10774" max="10993" width="9.140625" style="23"/>
    <col min="10994" max="10994" width="4.140625" style="23" customWidth="1"/>
    <col min="10995" max="10995" width="23.5703125" style="23" customWidth="1"/>
    <col min="10996" max="10996" width="5.5703125" style="23" customWidth="1"/>
    <col min="10997" max="10997" width="4.85546875" style="23" customWidth="1"/>
    <col min="10998" max="10998" width="4.42578125" style="23" customWidth="1"/>
    <col min="10999" max="11004" width="0" style="23" hidden="1" customWidth="1"/>
    <col min="11005" max="11005" width="9" style="23" customWidth="1"/>
    <col min="11006" max="11008" width="4.85546875" style="23" customWidth="1"/>
    <col min="11009" max="11011" width="0" style="23" hidden="1" customWidth="1"/>
    <col min="11012" max="11012" width="5.42578125" style="23" customWidth="1"/>
    <col min="11013" max="11013" width="4.85546875" style="23" customWidth="1"/>
    <col min="11014" max="11014" width="7.5703125" style="23" customWidth="1"/>
    <col min="11015" max="11015" width="4.85546875" style="23" customWidth="1"/>
    <col min="11016" max="11016" width="6.140625" style="23" customWidth="1"/>
    <col min="11017" max="11018" width="0" style="23" hidden="1" customWidth="1"/>
    <col min="11019" max="11019" width="7.5703125" style="23" customWidth="1"/>
    <col min="11020" max="11020" width="10.140625" style="23" customWidth="1"/>
    <col min="11021" max="11021" width="5.5703125" style="23" customWidth="1"/>
    <col min="11022" max="11022" width="7.7109375" style="23" customWidth="1"/>
    <col min="11023" max="11029" width="0" style="23" hidden="1" customWidth="1"/>
    <col min="11030" max="11249" width="9.140625" style="23"/>
    <col min="11250" max="11250" width="4.140625" style="23" customWidth="1"/>
    <col min="11251" max="11251" width="23.5703125" style="23" customWidth="1"/>
    <col min="11252" max="11252" width="5.5703125" style="23" customWidth="1"/>
    <col min="11253" max="11253" width="4.85546875" style="23" customWidth="1"/>
    <col min="11254" max="11254" width="4.42578125" style="23" customWidth="1"/>
    <col min="11255" max="11260" width="0" style="23" hidden="1" customWidth="1"/>
    <col min="11261" max="11261" width="9" style="23" customWidth="1"/>
    <col min="11262" max="11264" width="4.85546875" style="23" customWidth="1"/>
    <col min="11265" max="11267" width="0" style="23" hidden="1" customWidth="1"/>
    <col min="11268" max="11268" width="5.42578125" style="23" customWidth="1"/>
    <col min="11269" max="11269" width="4.85546875" style="23" customWidth="1"/>
    <col min="11270" max="11270" width="7.5703125" style="23" customWidth="1"/>
    <col min="11271" max="11271" width="4.85546875" style="23" customWidth="1"/>
    <col min="11272" max="11272" width="6.140625" style="23" customWidth="1"/>
    <col min="11273" max="11274" width="0" style="23" hidden="1" customWidth="1"/>
    <col min="11275" max="11275" width="7.5703125" style="23" customWidth="1"/>
    <col min="11276" max="11276" width="10.140625" style="23" customWidth="1"/>
    <col min="11277" max="11277" width="5.5703125" style="23" customWidth="1"/>
    <col min="11278" max="11278" width="7.7109375" style="23" customWidth="1"/>
    <col min="11279" max="11285" width="0" style="23" hidden="1" customWidth="1"/>
    <col min="11286" max="11505" width="9.140625" style="23"/>
    <col min="11506" max="11506" width="4.140625" style="23" customWidth="1"/>
    <col min="11507" max="11507" width="23.5703125" style="23" customWidth="1"/>
    <col min="11508" max="11508" width="5.5703125" style="23" customWidth="1"/>
    <col min="11509" max="11509" width="4.85546875" style="23" customWidth="1"/>
    <col min="11510" max="11510" width="4.42578125" style="23" customWidth="1"/>
    <col min="11511" max="11516" width="0" style="23" hidden="1" customWidth="1"/>
    <col min="11517" max="11517" width="9" style="23" customWidth="1"/>
    <col min="11518" max="11520" width="4.85546875" style="23" customWidth="1"/>
    <col min="11521" max="11523" width="0" style="23" hidden="1" customWidth="1"/>
    <col min="11524" max="11524" width="5.42578125" style="23" customWidth="1"/>
    <col min="11525" max="11525" width="4.85546875" style="23" customWidth="1"/>
    <col min="11526" max="11526" width="7.5703125" style="23" customWidth="1"/>
    <col min="11527" max="11527" width="4.85546875" style="23" customWidth="1"/>
    <col min="11528" max="11528" width="6.140625" style="23" customWidth="1"/>
    <col min="11529" max="11530" width="0" style="23" hidden="1" customWidth="1"/>
    <col min="11531" max="11531" width="7.5703125" style="23" customWidth="1"/>
    <col min="11532" max="11532" width="10.140625" style="23" customWidth="1"/>
    <col min="11533" max="11533" width="5.5703125" style="23" customWidth="1"/>
    <col min="11534" max="11534" width="7.7109375" style="23" customWidth="1"/>
    <col min="11535" max="11541" width="0" style="23" hidden="1" customWidth="1"/>
    <col min="11542" max="11761" width="9.140625" style="23"/>
    <col min="11762" max="11762" width="4.140625" style="23" customWidth="1"/>
    <col min="11763" max="11763" width="23.5703125" style="23" customWidth="1"/>
    <col min="11764" max="11764" width="5.5703125" style="23" customWidth="1"/>
    <col min="11765" max="11765" width="4.85546875" style="23" customWidth="1"/>
    <col min="11766" max="11766" width="4.42578125" style="23" customWidth="1"/>
    <col min="11767" max="11772" width="0" style="23" hidden="1" customWidth="1"/>
    <col min="11773" max="11773" width="9" style="23" customWidth="1"/>
    <col min="11774" max="11776" width="4.85546875" style="23" customWidth="1"/>
    <col min="11777" max="11779" width="0" style="23" hidden="1" customWidth="1"/>
    <col min="11780" max="11780" width="5.42578125" style="23" customWidth="1"/>
    <col min="11781" max="11781" width="4.85546875" style="23" customWidth="1"/>
    <col min="11782" max="11782" width="7.5703125" style="23" customWidth="1"/>
    <col min="11783" max="11783" width="4.85546875" style="23" customWidth="1"/>
    <col min="11784" max="11784" width="6.140625" style="23" customWidth="1"/>
    <col min="11785" max="11786" width="0" style="23" hidden="1" customWidth="1"/>
    <col min="11787" max="11787" width="7.5703125" style="23" customWidth="1"/>
    <col min="11788" max="11788" width="10.140625" style="23" customWidth="1"/>
    <col min="11789" max="11789" width="5.5703125" style="23" customWidth="1"/>
    <col min="11790" max="11790" width="7.7109375" style="23" customWidth="1"/>
    <col min="11791" max="11797" width="0" style="23" hidden="1" customWidth="1"/>
    <col min="11798" max="12017" width="9.140625" style="23"/>
    <col min="12018" max="12018" width="4.140625" style="23" customWidth="1"/>
    <col min="12019" max="12019" width="23.5703125" style="23" customWidth="1"/>
    <col min="12020" max="12020" width="5.5703125" style="23" customWidth="1"/>
    <col min="12021" max="12021" width="4.85546875" style="23" customWidth="1"/>
    <col min="12022" max="12022" width="4.42578125" style="23" customWidth="1"/>
    <col min="12023" max="12028" width="0" style="23" hidden="1" customWidth="1"/>
    <col min="12029" max="12029" width="9" style="23" customWidth="1"/>
    <col min="12030" max="12032" width="4.85546875" style="23" customWidth="1"/>
    <col min="12033" max="12035" width="0" style="23" hidden="1" customWidth="1"/>
    <col min="12036" max="12036" width="5.42578125" style="23" customWidth="1"/>
    <col min="12037" max="12037" width="4.85546875" style="23" customWidth="1"/>
    <col min="12038" max="12038" width="7.5703125" style="23" customWidth="1"/>
    <col min="12039" max="12039" width="4.85546875" style="23" customWidth="1"/>
    <col min="12040" max="12040" width="6.140625" style="23" customWidth="1"/>
    <col min="12041" max="12042" width="0" style="23" hidden="1" customWidth="1"/>
    <col min="12043" max="12043" width="7.5703125" style="23" customWidth="1"/>
    <col min="12044" max="12044" width="10.140625" style="23" customWidth="1"/>
    <col min="12045" max="12045" width="5.5703125" style="23" customWidth="1"/>
    <col min="12046" max="12046" width="7.7109375" style="23" customWidth="1"/>
    <col min="12047" max="12053" width="0" style="23" hidden="1" customWidth="1"/>
    <col min="12054" max="12273" width="9.140625" style="23"/>
    <col min="12274" max="12274" width="4.140625" style="23" customWidth="1"/>
    <col min="12275" max="12275" width="23.5703125" style="23" customWidth="1"/>
    <col min="12276" max="12276" width="5.5703125" style="23" customWidth="1"/>
    <col min="12277" max="12277" width="4.85546875" style="23" customWidth="1"/>
    <col min="12278" max="12278" width="4.42578125" style="23" customWidth="1"/>
    <col min="12279" max="12284" width="0" style="23" hidden="1" customWidth="1"/>
    <col min="12285" max="12285" width="9" style="23" customWidth="1"/>
    <col min="12286" max="12288" width="4.85546875" style="23" customWidth="1"/>
    <col min="12289" max="12291" width="0" style="23" hidden="1" customWidth="1"/>
    <col min="12292" max="12292" width="5.42578125" style="23" customWidth="1"/>
    <col min="12293" max="12293" width="4.85546875" style="23" customWidth="1"/>
    <col min="12294" max="12294" width="7.5703125" style="23" customWidth="1"/>
    <col min="12295" max="12295" width="4.85546875" style="23" customWidth="1"/>
    <col min="12296" max="12296" width="6.140625" style="23" customWidth="1"/>
    <col min="12297" max="12298" width="0" style="23" hidden="1" customWidth="1"/>
    <col min="12299" max="12299" width="7.5703125" style="23" customWidth="1"/>
    <col min="12300" max="12300" width="10.140625" style="23" customWidth="1"/>
    <col min="12301" max="12301" width="5.5703125" style="23" customWidth="1"/>
    <col min="12302" max="12302" width="7.7109375" style="23" customWidth="1"/>
    <col min="12303" max="12309" width="0" style="23" hidden="1" customWidth="1"/>
    <col min="12310" max="12529" width="9.140625" style="23"/>
    <col min="12530" max="12530" width="4.140625" style="23" customWidth="1"/>
    <col min="12531" max="12531" width="23.5703125" style="23" customWidth="1"/>
    <col min="12532" max="12532" width="5.5703125" style="23" customWidth="1"/>
    <col min="12533" max="12533" width="4.85546875" style="23" customWidth="1"/>
    <col min="12534" max="12534" width="4.42578125" style="23" customWidth="1"/>
    <col min="12535" max="12540" width="0" style="23" hidden="1" customWidth="1"/>
    <col min="12541" max="12541" width="9" style="23" customWidth="1"/>
    <col min="12542" max="12544" width="4.85546875" style="23" customWidth="1"/>
    <col min="12545" max="12547" width="0" style="23" hidden="1" customWidth="1"/>
    <col min="12548" max="12548" width="5.42578125" style="23" customWidth="1"/>
    <col min="12549" max="12549" width="4.85546875" style="23" customWidth="1"/>
    <col min="12550" max="12550" width="7.5703125" style="23" customWidth="1"/>
    <col min="12551" max="12551" width="4.85546875" style="23" customWidth="1"/>
    <col min="12552" max="12552" width="6.140625" style="23" customWidth="1"/>
    <col min="12553" max="12554" width="0" style="23" hidden="1" customWidth="1"/>
    <col min="12555" max="12555" width="7.5703125" style="23" customWidth="1"/>
    <col min="12556" max="12556" width="10.140625" style="23" customWidth="1"/>
    <col min="12557" max="12557" width="5.5703125" style="23" customWidth="1"/>
    <col min="12558" max="12558" width="7.7109375" style="23" customWidth="1"/>
    <col min="12559" max="12565" width="0" style="23" hidden="1" customWidth="1"/>
    <col min="12566" max="12785" width="9.140625" style="23"/>
    <col min="12786" max="12786" width="4.140625" style="23" customWidth="1"/>
    <col min="12787" max="12787" width="23.5703125" style="23" customWidth="1"/>
    <col min="12788" max="12788" width="5.5703125" style="23" customWidth="1"/>
    <col min="12789" max="12789" width="4.85546875" style="23" customWidth="1"/>
    <col min="12790" max="12790" width="4.42578125" style="23" customWidth="1"/>
    <col min="12791" max="12796" width="0" style="23" hidden="1" customWidth="1"/>
    <col min="12797" max="12797" width="9" style="23" customWidth="1"/>
    <col min="12798" max="12800" width="4.85546875" style="23" customWidth="1"/>
    <col min="12801" max="12803" width="0" style="23" hidden="1" customWidth="1"/>
    <col min="12804" max="12804" width="5.42578125" style="23" customWidth="1"/>
    <col min="12805" max="12805" width="4.85546875" style="23" customWidth="1"/>
    <col min="12806" max="12806" width="7.5703125" style="23" customWidth="1"/>
    <col min="12807" max="12807" width="4.85546875" style="23" customWidth="1"/>
    <col min="12808" max="12808" width="6.140625" style="23" customWidth="1"/>
    <col min="12809" max="12810" width="0" style="23" hidden="1" customWidth="1"/>
    <col min="12811" max="12811" width="7.5703125" style="23" customWidth="1"/>
    <col min="12812" max="12812" width="10.140625" style="23" customWidth="1"/>
    <col min="12813" max="12813" width="5.5703125" style="23" customWidth="1"/>
    <col min="12814" max="12814" width="7.7109375" style="23" customWidth="1"/>
    <col min="12815" max="12821" width="0" style="23" hidden="1" customWidth="1"/>
    <col min="12822" max="13041" width="9.140625" style="23"/>
    <col min="13042" max="13042" width="4.140625" style="23" customWidth="1"/>
    <col min="13043" max="13043" width="23.5703125" style="23" customWidth="1"/>
    <col min="13044" max="13044" width="5.5703125" style="23" customWidth="1"/>
    <col min="13045" max="13045" width="4.85546875" style="23" customWidth="1"/>
    <col min="13046" max="13046" width="4.42578125" style="23" customWidth="1"/>
    <col min="13047" max="13052" width="0" style="23" hidden="1" customWidth="1"/>
    <col min="13053" max="13053" width="9" style="23" customWidth="1"/>
    <col min="13054" max="13056" width="4.85546875" style="23" customWidth="1"/>
    <col min="13057" max="13059" width="0" style="23" hidden="1" customWidth="1"/>
    <col min="13060" max="13060" width="5.42578125" style="23" customWidth="1"/>
    <col min="13061" max="13061" width="4.85546875" style="23" customWidth="1"/>
    <col min="13062" max="13062" width="7.5703125" style="23" customWidth="1"/>
    <col min="13063" max="13063" width="4.85546875" style="23" customWidth="1"/>
    <col min="13064" max="13064" width="6.140625" style="23" customWidth="1"/>
    <col min="13065" max="13066" width="0" style="23" hidden="1" customWidth="1"/>
    <col min="13067" max="13067" width="7.5703125" style="23" customWidth="1"/>
    <col min="13068" max="13068" width="10.140625" style="23" customWidth="1"/>
    <col min="13069" max="13069" width="5.5703125" style="23" customWidth="1"/>
    <col min="13070" max="13070" width="7.7109375" style="23" customWidth="1"/>
    <col min="13071" max="13077" width="0" style="23" hidden="1" customWidth="1"/>
    <col min="13078" max="13297" width="9.140625" style="23"/>
    <col min="13298" max="13298" width="4.140625" style="23" customWidth="1"/>
    <col min="13299" max="13299" width="23.5703125" style="23" customWidth="1"/>
    <col min="13300" max="13300" width="5.5703125" style="23" customWidth="1"/>
    <col min="13301" max="13301" width="4.85546875" style="23" customWidth="1"/>
    <col min="13302" max="13302" width="4.42578125" style="23" customWidth="1"/>
    <col min="13303" max="13308" width="0" style="23" hidden="1" customWidth="1"/>
    <col min="13309" max="13309" width="9" style="23" customWidth="1"/>
    <col min="13310" max="13312" width="4.85546875" style="23" customWidth="1"/>
    <col min="13313" max="13315" width="0" style="23" hidden="1" customWidth="1"/>
    <col min="13316" max="13316" width="5.42578125" style="23" customWidth="1"/>
    <col min="13317" max="13317" width="4.85546875" style="23" customWidth="1"/>
    <col min="13318" max="13318" width="7.5703125" style="23" customWidth="1"/>
    <col min="13319" max="13319" width="4.85546875" style="23" customWidth="1"/>
    <col min="13320" max="13320" width="6.140625" style="23" customWidth="1"/>
    <col min="13321" max="13322" width="0" style="23" hidden="1" customWidth="1"/>
    <col min="13323" max="13323" width="7.5703125" style="23" customWidth="1"/>
    <col min="13324" max="13324" width="10.140625" style="23" customWidth="1"/>
    <col min="13325" max="13325" width="5.5703125" style="23" customWidth="1"/>
    <col min="13326" max="13326" width="7.7109375" style="23" customWidth="1"/>
    <col min="13327" max="13333" width="0" style="23" hidden="1" customWidth="1"/>
    <col min="13334" max="13553" width="9.140625" style="23"/>
    <col min="13554" max="13554" width="4.140625" style="23" customWidth="1"/>
    <col min="13555" max="13555" width="23.5703125" style="23" customWidth="1"/>
    <col min="13556" max="13556" width="5.5703125" style="23" customWidth="1"/>
    <col min="13557" max="13557" width="4.85546875" style="23" customWidth="1"/>
    <col min="13558" max="13558" width="4.42578125" style="23" customWidth="1"/>
    <col min="13559" max="13564" width="0" style="23" hidden="1" customWidth="1"/>
    <col min="13565" max="13565" width="9" style="23" customWidth="1"/>
    <col min="13566" max="13568" width="4.85546875" style="23" customWidth="1"/>
    <col min="13569" max="13571" width="0" style="23" hidden="1" customWidth="1"/>
    <col min="13572" max="13572" width="5.42578125" style="23" customWidth="1"/>
    <col min="13573" max="13573" width="4.85546875" style="23" customWidth="1"/>
    <col min="13574" max="13574" width="7.5703125" style="23" customWidth="1"/>
    <col min="13575" max="13575" width="4.85546875" style="23" customWidth="1"/>
    <col min="13576" max="13576" width="6.140625" style="23" customWidth="1"/>
    <col min="13577" max="13578" width="0" style="23" hidden="1" customWidth="1"/>
    <col min="13579" max="13579" width="7.5703125" style="23" customWidth="1"/>
    <col min="13580" max="13580" width="10.140625" style="23" customWidth="1"/>
    <col min="13581" max="13581" width="5.5703125" style="23" customWidth="1"/>
    <col min="13582" max="13582" width="7.7109375" style="23" customWidth="1"/>
    <col min="13583" max="13589" width="0" style="23" hidden="1" customWidth="1"/>
    <col min="13590" max="13809" width="9.140625" style="23"/>
    <col min="13810" max="13810" width="4.140625" style="23" customWidth="1"/>
    <col min="13811" max="13811" width="23.5703125" style="23" customWidth="1"/>
    <col min="13812" max="13812" width="5.5703125" style="23" customWidth="1"/>
    <col min="13813" max="13813" width="4.85546875" style="23" customWidth="1"/>
    <col min="13814" max="13814" width="4.42578125" style="23" customWidth="1"/>
    <col min="13815" max="13820" width="0" style="23" hidden="1" customWidth="1"/>
    <col min="13821" max="13821" width="9" style="23" customWidth="1"/>
    <col min="13822" max="13824" width="4.85546875" style="23" customWidth="1"/>
    <col min="13825" max="13827" width="0" style="23" hidden="1" customWidth="1"/>
    <col min="13828" max="13828" width="5.42578125" style="23" customWidth="1"/>
    <col min="13829" max="13829" width="4.85546875" style="23" customWidth="1"/>
    <col min="13830" max="13830" width="7.5703125" style="23" customWidth="1"/>
    <col min="13831" max="13831" width="4.85546875" style="23" customWidth="1"/>
    <col min="13832" max="13832" width="6.140625" style="23" customWidth="1"/>
    <col min="13833" max="13834" width="0" style="23" hidden="1" customWidth="1"/>
    <col min="13835" max="13835" width="7.5703125" style="23" customWidth="1"/>
    <col min="13836" max="13836" width="10.140625" style="23" customWidth="1"/>
    <col min="13837" max="13837" width="5.5703125" style="23" customWidth="1"/>
    <col min="13838" max="13838" width="7.7109375" style="23" customWidth="1"/>
    <col min="13839" max="13845" width="0" style="23" hidden="1" customWidth="1"/>
    <col min="13846" max="14065" width="9.140625" style="23"/>
    <col min="14066" max="14066" width="4.140625" style="23" customWidth="1"/>
    <col min="14067" max="14067" width="23.5703125" style="23" customWidth="1"/>
    <col min="14068" max="14068" width="5.5703125" style="23" customWidth="1"/>
    <col min="14069" max="14069" width="4.85546875" style="23" customWidth="1"/>
    <col min="14070" max="14070" width="4.42578125" style="23" customWidth="1"/>
    <col min="14071" max="14076" width="0" style="23" hidden="1" customWidth="1"/>
    <col min="14077" max="14077" width="9" style="23" customWidth="1"/>
    <col min="14078" max="14080" width="4.85546875" style="23" customWidth="1"/>
    <col min="14081" max="14083" width="0" style="23" hidden="1" customWidth="1"/>
    <col min="14084" max="14084" width="5.42578125" style="23" customWidth="1"/>
    <col min="14085" max="14085" width="4.85546875" style="23" customWidth="1"/>
    <col min="14086" max="14086" width="7.5703125" style="23" customWidth="1"/>
    <col min="14087" max="14087" width="4.85546875" style="23" customWidth="1"/>
    <col min="14088" max="14088" width="6.140625" style="23" customWidth="1"/>
    <col min="14089" max="14090" width="0" style="23" hidden="1" customWidth="1"/>
    <col min="14091" max="14091" width="7.5703125" style="23" customWidth="1"/>
    <col min="14092" max="14092" width="10.140625" style="23" customWidth="1"/>
    <col min="14093" max="14093" width="5.5703125" style="23" customWidth="1"/>
    <col min="14094" max="14094" width="7.7109375" style="23" customWidth="1"/>
    <col min="14095" max="14101" width="0" style="23" hidden="1" customWidth="1"/>
    <col min="14102" max="14321" width="9.140625" style="23"/>
    <col min="14322" max="14322" width="4.140625" style="23" customWidth="1"/>
    <col min="14323" max="14323" width="23.5703125" style="23" customWidth="1"/>
    <col min="14324" max="14324" width="5.5703125" style="23" customWidth="1"/>
    <col min="14325" max="14325" width="4.85546875" style="23" customWidth="1"/>
    <col min="14326" max="14326" width="4.42578125" style="23" customWidth="1"/>
    <col min="14327" max="14332" width="0" style="23" hidden="1" customWidth="1"/>
    <col min="14333" max="14333" width="9" style="23" customWidth="1"/>
    <col min="14334" max="14336" width="4.85546875" style="23" customWidth="1"/>
    <col min="14337" max="14339" width="0" style="23" hidden="1" customWidth="1"/>
    <col min="14340" max="14340" width="5.42578125" style="23" customWidth="1"/>
    <col min="14341" max="14341" width="4.85546875" style="23" customWidth="1"/>
    <col min="14342" max="14342" width="7.5703125" style="23" customWidth="1"/>
    <col min="14343" max="14343" width="4.85546875" style="23" customWidth="1"/>
    <col min="14344" max="14344" width="6.140625" style="23" customWidth="1"/>
    <col min="14345" max="14346" width="0" style="23" hidden="1" customWidth="1"/>
    <col min="14347" max="14347" width="7.5703125" style="23" customWidth="1"/>
    <col min="14348" max="14348" width="10.140625" style="23" customWidth="1"/>
    <col min="14349" max="14349" width="5.5703125" style="23" customWidth="1"/>
    <col min="14350" max="14350" width="7.7109375" style="23" customWidth="1"/>
    <col min="14351" max="14357" width="0" style="23" hidden="1" customWidth="1"/>
    <col min="14358" max="14577" width="9.140625" style="23"/>
    <col min="14578" max="14578" width="4.140625" style="23" customWidth="1"/>
    <col min="14579" max="14579" width="23.5703125" style="23" customWidth="1"/>
    <col min="14580" max="14580" width="5.5703125" style="23" customWidth="1"/>
    <col min="14581" max="14581" width="4.85546875" style="23" customWidth="1"/>
    <col min="14582" max="14582" width="4.42578125" style="23" customWidth="1"/>
    <col min="14583" max="14588" width="0" style="23" hidden="1" customWidth="1"/>
    <col min="14589" max="14589" width="9" style="23" customWidth="1"/>
    <col min="14590" max="14592" width="4.85546875" style="23" customWidth="1"/>
    <col min="14593" max="14595" width="0" style="23" hidden="1" customWidth="1"/>
    <col min="14596" max="14596" width="5.42578125" style="23" customWidth="1"/>
    <col min="14597" max="14597" width="4.85546875" style="23" customWidth="1"/>
    <col min="14598" max="14598" width="7.5703125" style="23" customWidth="1"/>
    <col min="14599" max="14599" width="4.85546875" style="23" customWidth="1"/>
    <col min="14600" max="14600" width="6.140625" style="23" customWidth="1"/>
    <col min="14601" max="14602" width="0" style="23" hidden="1" customWidth="1"/>
    <col min="14603" max="14603" width="7.5703125" style="23" customWidth="1"/>
    <col min="14604" max="14604" width="10.140625" style="23" customWidth="1"/>
    <col min="14605" max="14605" width="5.5703125" style="23" customWidth="1"/>
    <col min="14606" max="14606" width="7.7109375" style="23" customWidth="1"/>
    <col min="14607" max="14613" width="0" style="23" hidden="1" customWidth="1"/>
    <col min="14614" max="14833" width="9.140625" style="23"/>
    <col min="14834" max="14834" width="4.140625" style="23" customWidth="1"/>
    <col min="14835" max="14835" width="23.5703125" style="23" customWidth="1"/>
    <col min="14836" max="14836" width="5.5703125" style="23" customWidth="1"/>
    <col min="14837" max="14837" width="4.85546875" style="23" customWidth="1"/>
    <col min="14838" max="14838" width="4.42578125" style="23" customWidth="1"/>
    <col min="14839" max="14844" width="0" style="23" hidden="1" customWidth="1"/>
    <col min="14845" max="14845" width="9" style="23" customWidth="1"/>
    <col min="14846" max="14848" width="4.85546875" style="23" customWidth="1"/>
    <col min="14849" max="14851" width="0" style="23" hidden="1" customWidth="1"/>
    <col min="14852" max="14852" width="5.42578125" style="23" customWidth="1"/>
    <col min="14853" max="14853" width="4.85546875" style="23" customWidth="1"/>
    <col min="14854" max="14854" width="7.5703125" style="23" customWidth="1"/>
    <col min="14855" max="14855" width="4.85546875" style="23" customWidth="1"/>
    <col min="14856" max="14856" width="6.140625" style="23" customWidth="1"/>
    <col min="14857" max="14858" width="0" style="23" hidden="1" customWidth="1"/>
    <col min="14859" max="14859" width="7.5703125" style="23" customWidth="1"/>
    <col min="14860" max="14860" width="10.140625" style="23" customWidth="1"/>
    <col min="14861" max="14861" width="5.5703125" style="23" customWidth="1"/>
    <col min="14862" max="14862" width="7.7109375" style="23" customWidth="1"/>
    <col min="14863" max="14869" width="0" style="23" hidden="1" customWidth="1"/>
    <col min="14870" max="15089" width="9.140625" style="23"/>
    <col min="15090" max="15090" width="4.140625" style="23" customWidth="1"/>
    <col min="15091" max="15091" width="23.5703125" style="23" customWidth="1"/>
    <col min="15092" max="15092" width="5.5703125" style="23" customWidth="1"/>
    <col min="15093" max="15093" width="4.85546875" style="23" customWidth="1"/>
    <col min="15094" max="15094" width="4.42578125" style="23" customWidth="1"/>
    <col min="15095" max="15100" width="0" style="23" hidden="1" customWidth="1"/>
    <col min="15101" max="15101" width="9" style="23" customWidth="1"/>
    <col min="15102" max="15104" width="4.85546875" style="23" customWidth="1"/>
    <col min="15105" max="15107" width="0" style="23" hidden="1" customWidth="1"/>
    <col min="15108" max="15108" width="5.42578125" style="23" customWidth="1"/>
    <col min="15109" max="15109" width="4.85546875" style="23" customWidth="1"/>
    <col min="15110" max="15110" width="7.5703125" style="23" customWidth="1"/>
    <col min="15111" max="15111" width="4.85546875" style="23" customWidth="1"/>
    <col min="15112" max="15112" width="6.140625" style="23" customWidth="1"/>
    <col min="15113" max="15114" width="0" style="23" hidden="1" customWidth="1"/>
    <col min="15115" max="15115" width="7.5703125" style="23" customWidth="1"/>
    <col min="15116" max="15116" width="10.140625" style="23" customWidth="1"/>
    <col min="15117" max="15117" width="5.5703125" style="23" customWidth="1"/>
    <col min="15118" max="15118" width="7.7109375" style="23" customWidth="1"/>
    <col min="15119" max="15125" width="0" style="23" hidden="1" customWidth="1"/>
    <col min="15126" max="15345" width="9.140625" style="23"/>
    <col min="15346" max="15346" width="4.140625" style="23" customWidth="1"/>
    <col min="15347" max="15347" width="23.5703125" style="23" customWidth="1"/>
    <col min="15348" max="15348" width="5.5703125" style="23" customWidth="1"/>
    <col min="15349" max="15349" width="4.85546875" style="23" customWidth="1"/>
    <col min="15350" max="15350" width="4.42578125" style="23" customWidth="1"/>
    <col min="15351" max="15356" width="0" style="23" hidden="1" customWidth="1"/>
    <col min="15357" max="15357" width="9" style="23" customWidth="1"/>
    <col min="15358" max="15360" width="4.85546875" style="23" customWidth="1"/>
    <col min="15361" max="15363" width="0" style="23" hidden="1" customWidth="1"/>
    <col min="15364" max="15364" width="5.42578125" style="23" customWidth="1"/>
    <col min="15365" max="15365" width="4.85546875" style="23" customWidth="1"/>
    <col min="15366" max="15366" width="7.5703125" style="23" customWidth="1"/>
    <col min="15367" max="15367" width="4.85546875" style="23" customWidth="1"/>
    <col min="15368" max="15368" width="6.140625" style="23" customWidth="1"/>
    <col min="15369" max="15370" width="0" style="23" hidden="1" customWidth="1"/>
    <col min="15371" max="15371" width="7.5703125" style="23" customWidth="1"/>
    <col min="15372" max="15372" width="10.140625" style="23" customWidth="1"/>
    <col min="15373" max="15373" width="5.5703125" style="23" customWidth="1"/>
    <col min="15374" max="15374" width="7.7109375" style="23" customWidth="1"/>
    <col min="15375" max="15381" width="0" style="23" hidden="1" customWidth="1"/>
    <col min="15382" max="15601" width="9.140625" style="23"/>
    <col min="15602" max="15602" width="4.140625" style="23" customWidth="1"/>
    <col min="15603" max="15603" width="23.5703125" style="23" customWidth="1"/>
    <col min="15604" max="15604" width="5.5703125" style="23" customWidth="1"/>
    <col min="15605" max="15605" width="4.85546875" style="23" customWidth="1"/>
    <col min="15606" max="15606" width="4.42578125" style="23" customWidth="1"/>
    <col min="15607" max="15612" width="0" style="23" hidden="1" customWidth="1"/>
    <col min="15613" max="15613" width="9" style="23" customWidth="1"/>
    <col min="15614" max="15616" width="4.85546875" style="23" customWidth="1"/>
    <col min="15617" max="15619" width="0" style="23" hidden="1" customWidth="1"/>
    <col min="15620" max="15620" width="5.42578125" style="23" customWidth="1"/>
    <col min="15621" max="15621" width="4.85546875" style="23" customWidth="1"/>
    <col min="15622" max="15622" width="7.5703125" style="23" customWidth="1"/>
    <col min="15623" max="15623" width="4.85546875" style="23" customWidth="1"/>
    <col min="15624" max="15624" width="6.140625" style="23" customWidth="1"/>
    <col min="15625" max="15626" width="0" style="23" hidden="1" customWidth="1"/>
    <col min="15627" max="15627" width="7.5703125" style="23" customWidth="1"/>
    <col min="15628" max="15628" width="10.140625" style="23" customWidth="1"/>
    <col min="15629" max="15629" width="5.5703125" style="23" customWidth="1"/>
    <col min="15630" max="15630" width="7.7109375" style="23" customWidth="1"/>
    <col min="15631" max="15637" width="0" style="23" hidden="1" customWidth="1"/>
    <col min="15638" max="15857" width="9.140625" style="23"/>
    <col min="15858" max="15858" width="4.140625" style="23" customWidth="1"/>
    <col min="15859" max="15859" width="23.5703125" style="23" customWidth="1"/>
    <col min="15860" max="15860" width="5.5703125" style="23" customWidth="1"/>
    <col min="15861" max="15861" width="4.85546875" style="23" customWidth="1"/>
    <col min="15862" max="15862" width="4.42578125" style="23" customWidth="1"/>
    <col min="15863" max="15868" width="0" style="23" hidden="1" customWidth="1"/>
    <col min="15869" max="15869" width="9" style="23" customWidth="1"/>
    <col min="15870" max="15872" width="4.85546875" style="23" customWidth="1"/>
    <col min="15873" max="15875" width="0" style="23" hidden="1" customWidth="1"/>
    <col min="15876" max="15876" width="5.42578125" style="23" customWidth="1"/>
    <col min="15877" max="15877" width="4.85546875" style="23" customWidth="1"/>
    <col min="15878" max="15878" width="7.5703125" style="23" customWidth="1"/>
    <col min="15879" max="15879" width="4.85546875" style="23" customWidth="1"/>
    <col min="15880" max="15880" width="6.140625" style="23" customWidth="1"/>
    <col min="15881" max="15882" width="0" style="23" hidden="1" customWidth="1"/>
    <col min="15883" max="15883" width="7.5703125" style="23" customWidth="1"/>
    <col min="15884" max="15884" width="10.140625" style="23" customWidth="1"/>
    <col min="15885" max="15885" width="5.5703125" style="23" customWidth="1"/>
    <col min="15886" max="15886" width="7.7109375" style="23" customWidth="1"/>
    <col min="15887" max="15893" width="0" style="23" hidden="1" customWidth="1"/>
    <col min="15894" max="16113" width="9.140625" style="23"/>
    <col min="16114" max="16114" width="4.140625" style="23" customWidth="1"/>
    <col min="16115" max="16115" width="23.5703125" style="23" customWidth="1"/>
    <col min="16116" max="16116" width="5.5703125" style="23" customWidth="1"/>
    <col min="16117" max="16117" width="4.85546875" style="23" customWidth="1"/>
    <col min="16118" max="16118" width="4.42578125" style="23" customWidth="1"/>
    <col min="16119" max="16124" width="0" style="23" hidden="1" customWidth="1"/>
    <col min="16125" max="16125" width="9" style="23" customWidth="1"/>
    <col min="16126" max="16128" width="4.85546875" style="23" customWidth="1"/>
    <col min="16129" max="16131" width="0" style="23" hidden="1" customWidth="1"/>
    <col min="16132" max="16132" width="5.42578125" style="23" customWidth="1"/>
    <col min="16133" max="16133" width="4.85546875" style="23" customWidth="1"/>
    <col min="16134" max="16134" width="7.5703125" style="23" customWidth="1"/>
    <col min="16135" max="16135" width="4.85546875" style="23" customWidth="1"/>
    <col min="16136" max="16136" width="6.140625" style="23" customWidth="1"/>
    <col min="16137" max="16138" width="0" style="23" hidden="1" customWidth="1"/>
    <col min="16139" max="16139" width="7.5703125" style="23" customWidth="1"/>
    <col min="16140" max="16140" width="10.140625" style="23" customWidth="1"/>
    <col min="16141" max="16141" width="5.5703125" style="23" customWidth="1"/>
    <col min="16142" max="16142" width="7.7109375" style="23" customWidth="1"/>
    <col min="16143" max="16149" width="0" style="23" hidden="1" customWidth="1"/>
    <col min="16150" max="16381" width="9.140625" style="23"/>
    <col min="16382" max="16384" width="9.140625" style="23" customWidth="1"/>
  </cols>
  <sheetData>
    <row r="1" spans="1:30" s="1" customFormat="1">
      <c r="A1" s="5" t="s">
        <v>17</v>
      </c>
      <c r="B1" s="5"/>
      <c r="C1" s="126"/>
      <c r="D1" s="5"/>
      <c r="E1" s="5"/>
      <c r="F1" s="5"/>
      <c r="G1" s="5"/>
      <c r="H1" s="5"/>
      <c r="I1" s="5"/>
      <c r="J1" s="5"/>
      <c r="K1" s="5"/>
      <c r="L1" s="17"/>
      <c r="M1" s="5"/>
      <c r="N1" s="5"/>
      <c r="O1" s="5"/>
      <c r="P1" s="5"/>
      <c r="Q1" s="18"/>
      <c r="R1" s="5"/>
      <c r="S1" s="5"/>
      <c r="T1" s="5"/>
      <c r="U1" s="19"/>
      <c r="V1" s="5"/>
      <c r="W1" s="20"/>
    </row>
    <row r="2" spans="1:30" s="1" customFormat="1" ht="18.75">
      <c r="A2" s="1" t="s">
        <v>170</v>
      </c>
      <c r="C2" s="128"/>
      <c r="G2" s="66"/>
      <c r="H2" s="66"/>
      <c r="I2" s="66"/>
      <c r="J2" s="66"/>
      <c r="K2" s="21" t="s">
        <v>18</v>
      </c>
      <c r="L2" s="21"/>
      <c r="M2" s="66"/>
      <c r="N2" s="66"/>
      <c r="O2" s="66"/>
      <c r="P2" s="66"/>
      <c r="Q2" s="70"/>
      <c r="R2" s="66"/>
      <c r="S2" s="66"/>
      <c r="T2" s="66"/>
      <c r="U2" s="71"/>
      <c r="W2" s="20"/>
    </row>
    <row r="3" spans="1:30" s="1" customFormat="1" ht="18.75">
      <c r="C3" s="128"/>
      <c r="G3" s="5"/>
      <c r="H3" s="66"/>
      <c r="I3" s="5"/>
      <c r="J3" s="5"/>
      <c r="K3" s="21" t="s">
        <v>181</v>
      </c>
      <c r="L3" s="21"/>
      <c r="M3" s="66"/>
      <c r="N3" s="66"/>
      <c r="O3" s="5"/>
      <c r="P3" s="5"/>
      <c r="Q3" s="18"/>
      <c r="R3" s="5"/>
      <c r="S3" s="5"/>
      <c r="T3" s="5"/>
      <c r="U3" s="22"/>
      <c r="W3" s="20"/>
    </row>
    <row r="5" spans="1:30" s="68" customFormat="1" ht="15.75" customHeight="1">
      <c r="A5" s="179" t="s">
        <v>19</v>
      </c>
      <c r="B5" s="179" t="s">
        <v>1</v>
      </c>
      <c r="C5" s="179" t="s">
        <v>2</v>
      </c>
      <c r="D5" s="182" t="s">
        <v>20</v>
      </c>
      <c r="E5" s="183"/>
      <c r="F5" s="179" t="s">
        <v>74</v>
      </c>
      <c r="G5" s="174" t="s">
        <v>171</v>
      </c>
      <c r="H5" s="188"/>
      <c r="I5" s="188"/>
      <c r="J5" s="188"/>
      <c r="K5" s="188"/>
      <c r="L5" s="188"/>
      <c r="M5" s="175"/>
      <c r="N5" s="182" t="s">
        <v>172</v>
      </c>
      <c r="O5" s="208"/>
      <c r="P5" s="208"/>
      <c r="Q5" s="208"/>
      <c r="R5" s="208"/>
      <c r="S5" s="183"/>
      <c r="T5" s="179" t="s">
        <v>21</v>
      </c>
      <c r="U5" s="174" t="s">
        <v>22</v>
      </c>
      <c r="V5" s="175"/>
      <c r="W5" s="176" t="s">
        <v>23</v>
      </c>
      <c r="X5" s="203" t="s">
        <v>3</v>
      </c>
      <c r="Y5" s="166" t="s">
        <v>183</v>
      </c>
      <c r="Z5" s="167" t="s">
        <v>184</v>
      </c>
      <c r="AA5" s="168" t="s">
        <v>180</v>
      </c>
      <c r="AB5" s="171" t="s">
        <v>185</v>
      </c>
      <c r="AC5" s="168" t="s">
        <v>24</v>
      </c>
      <c r="AD5" s="163" t="s">
        <v>164</v>
      </c>
    </row>
    <row r="6" spans="1:30" s="68" customFormat="1" ht="34.5" customHeight="1">
      <c r="A6" s="180"/>
      <c r="B6" s="180"/>
      <c r="C6" s="180"/>
      <c r="D6" s="184"/>
      <c r="E6" s="185"/>
      <c r="F6" s="180"/>
      <c r="G6" s="179" t="s">
        <v>25</v>
      </c>
      <c r="H6" s="179" t="s">
        <v>10</v>
      </c>
      <c r="I6" s="179" t="s">
        <v>7</v>
      </c>
      <c r="J6" s="179" t="s">
        <v>26</v>
      </c>
      <c r="K6" s="179" t="s">
        <v>35</v>
      </c>
      <c r="L6" s="179" t="s">
        <v>161</v>
      </c>
      <c r="M6" s="179" t="s">
        <v>27</v>
      </c>
      <c r="N6" s="206" t="s">
        <v>16</v>
      </c>
      <c r="O6" s="190" t="s">
        <v>12</v>
      </c>
      <c r="P6" s="190" t="s">
        <v>173</v>
      </c>
      <c r="Q6" s="190" t="s">
        <v>163</v>
      </c>
      <c r="R6" s="207" t="s">
        <v>28</v>
      </c>
      <c r="S6" s="179" t="s">
        <v>178</v>
      </c>
      <c r="T6" s="180"/>
      <c r="U6" s="179" t="s">
        <v>29</v>
      </c>
      <c r="V6" s="179" t="s">
        <v>168</v>
      </c>
      <c r="W6" s="177"/>
      <c r="X6" s="204"/>
      <c r="Y6" s="166"/>
      <c r="Z6" s="167"/>
      <c r="AA6" s="169"/>
      <c r="AB6" s="172"/>
      <c r="AC6" s="169"/>
      <c r="AD6" s="164"/>
    </row>
    <row r="7" spans="1:30" s="68" customFormat="1" ht="34.5" customHeight="1">
      <c r="A7" s="181"/>
      <c r="B7" s="181"/>
      <c r="C7" s="181"/>
      <c r="D7" s="186"/>
      <c r="E7" s="187"/>
      <c r="F7" s="189"/>
      <c r="G7" s="189"/>
      <c r="H7" s="189"/>
      <c r="I7" s="189"/>
      <c r="J7" s="189"/>
      <c r="K7" s="189"/>
      <c r="L7" s="189"/>
      <c r="M7" s="189"/>
      <c r="N7" s="206"/>
      <c r="O7" s="190"/>
      <c r="P7" s="190"/>
      <c r="Q7" s="190"/>
      <c r="R7" s="207"/>
      <c r="S7" s="189"/>
      <c r="T7" s="181"/>
      <c r="U7" s="181"/>
      <c r="V7" s="181"/>
      <c r="W7" s="178"/>
      <c r="X7" s="205"/>
      <c r="Y7" s="166"/>
      <c r="Z7" s="167"/>
      <c r="AA7" s="170"/>
      <c r="AB7" s="173"/>
      <c r="AC7" s="170"/>
      <c r="AD7" s="165"/>
    </row>
    <row r="8" spans="1:30" ht="15.75" customHeight="1">
      <c r="A8" s="25">
        <v>1</v>
      </c>
      <c r="B8" s="25">
        <v>2</v>
      </c>
      <c r="C8" s="25">
        <v>3</v>
      </c>
      <c r="D8" s="191">
        <v>4</v>
      </c>
      <c r="E8" s="192"/>
      <c r="F8" s="133"/>
      <c r="G8" s="25">
        <v>5</v>
      </c>
      <c r="H8" s="25">
        <v>6</v>
      </c>
      <c r="I8" s="25">
        <v>7</v>
      </c>
      <c r="J8" s="25">
        <v>8</v>
      </c>
      <c r="K8" s="25">
        <v>9</v>
      </c>
      <c r="L8" s="25">
        <v>10</v>
      </c>
      <c r="M8" s="25">
        <v>11</v>
      </c>
      <c r="N8" s="26">
        <v>12</v>
      </c>
      <c r="O8" s="25">
        <v>13</v>
      </c>
      <c r="P8" s="25">
        <v>14</v>
      </c>
      <c r="Q8" s="27">
        <v>15</v>
      </c>
      <c r="R8" s="25">
        <v>16</v>
      </c>
      <c r="S8" s="25">
        <v>17</v>
      </c>
      <c r="T8" s="26">
        <v>18</v>
      </c>
      <c r="U8" s="26">
        <v>19</v>
      </c>
      <c r="V8" s="26">
        <v>20</v>
      </c>
      <c r="W8" s="26">
        <v>21</v>
      </c>
      <c r="X8" s="26">
        <v>22</v>
      </c>
      <c r="Y8" s="131">
        <v>23</v>
      </c>
      <c r="Z8" s="29">
        <v>24</v>
      </c>
      <c r="AA8" s="28" t="s">
        <v>174</v>
      </c>
      <c r="AB8" s="29" t="s">
        <v>175</v>
      </c>
      <c r="AC8" s="106" t="s">
        <v>176</v>
      </c>
      <c r="AD8" s="109" t="s">
        <v>177</v>
      </c>
    </row>
    <row r="9" spans="1:30" ht="20.25" customHeight="1">
      <c r="A9" s="193">
        <v>1</v>
      </c>
      <c r="B9" s="195">
        <f>'Bang TH nop'!B9</f>
        <v>0</v>
      </c>
      <c r="C9" s="197">
        <f>+'Bang TH nop'!C9</f>
        <v>0</v>
      </c>
      <c r="D9" s="199">
        <f>+'Bang TH nop'!E9</f>
        <v>0</v>
      </c>
      <c r="E9" s="200"/>
      <c r="F9" s="134"/>
      <c r="G9" s="31">
        <f>'Bang TH nop'!G9</f>
        <v>0</v>
      </c>
      <c r="H9" s="30">
        <f>'Bang TH nop'!L9</f>
        <v>0</v>
      </c>
      <c r="I9" s="67">
        <f>'Bang TH nop'!H9</f>
        <v>0</v>
      </c>
      <c r="J9" s="32">
        <f>+'Bang TH nop'!U9</f>
        <v>0</v>
      </c>
      <c r="K9" s="33">
        <f>'Bang TH nop'!I9</f>
        <v>0</v>
      </c>
      <c r="L9" s="30">
        <f>+'Bang TH nop'!S9</f>
        <v>0</v>
      </c>
      <c r="M9" s="30"/>
      <c r="N9" s="34"/>
      <c r="O9" s="30"/>
      <c r="P9" s="30"/>
      <c r="Q9" s="35"/>
      <c r="R9" s="30"/>
      <c r="S9" s="30"/>
      <c r="T9" s="34"/>
      <c r="U9" s="34"/>
      <c r="V9" s="34"/>
      <c r="W9" s="34"/>
      <c r="X9" s="113"/>
      <c r="Y9" s="132"/>
      <c r="Z9" s="37"/>
      <c r="AA9" s="38"/>
      <c r="AB9" s="39"/>
      <c r="AC9" s="38"/>
      <c r="AD9" s="105"/>
    </row>
    <row r="10" spans="1:30" ht="20.25" customHeight="1">
      <c r="A10" s="194"/>
      <c r="B10" s="196"/>
      <c r="C10" s="198"/>
      <c r="D10" s="201">
        <f>+'Bang TH nop'!D9</f>
        <v>0</v>
      </c>
      <c r="E10" s="202"/>
      <c r="F10" s="136">
        <f>+'Bang TH nop'!F9</f>
        <v>0</v>
      </c>
      <c r="G10" s="41">
        <f>F10/26*G9</f>
        <v>0</v>
      </c>
      <c r="H10" s="48">
        <f>+(F10/26/8*125%)*H9</f>
        <v>0</v>
      </c>
      <c r="I10" s="42">
        <f>ROUND(D10/26*I9,)</f>
        <v>0</v>
      </c>
      <c r="J10" s="43">
        <f>+F10/26*2*J9</f>
        <v>0</v>
      </c>
      <c r="K10" s="44">
        <f>D10/26*K9</f>
        <v>0</v>
      </c>
      <c r="L10" s="44">
        <f>D10/26/8*L9</f>
        <v>0</v>
      </c>
      <c r="M10" s="44">
        <f>D10/26/8*M9</f>
        <v>0</v>
      </c>
      <c r="N10" s="45">
        <f>+'Bang TH nop'!N9</f>
        <v>0</v>
      </c>
      <c r="O10" s="44">
        <f>'Bang TH nop'!P9</f>
        <v>0</v>
      </c>
      <c r="P10" s="46">
        <f>+'Bang TH nop'!T9</f>
        <v>0</v>
      </c>
      <c r="Q10" s="47">
        <f>+'Bang TH nop'!R9</f>
        <v>0</v>
      </c>
      <c r="R10" s="47"/>
      <c r="S10" s="40"/>
      <c r="T10" s="48">
        <f>SUM(G10:S10)</f>
        <v>0</v>
      </c>
      <c r="U10" s="49">
        <f>D10*10.5%</f>
        <v>0</v>
      </c>
      <c r="V10" s="48">
        <f>+ROUND(D10*0.5%,-3)</f>
        <v>0</v>
      </c>
      <c r="W10" s="48">
        <f>ROUND(T10-U10-V10,-2)</f>
        <v>0</v>
      </c>
      <c r="X10" s="114">
        <f>+'Bang TH nop'!G9+'Bang TH nop'!U9</f>
        <v>0</v>
      </c>
      <c r="Y10" s="132"/>
      <c r="Z10" s="50"/>
      <c r="AA10" s="107" t="e">
        <f>+Z10/Y10</f>
        <v>#DIV/0!</v>
      </c>
      <c r="AB10" s="107" t="e">
        <f>AD10/X10</f>
        <v>#DIV/0!</v>
      </c>
      <c r="AC10" s="108" t="e">
        <f>+AB10/AA10</f>
        <v>#DIV/0!</v>
      </c>
      <c r="AD10" s="110">
        <f>+T10-K10</f>
        <v>0</v>
      </c>
    </row>
    <row r="11" spans="1:30" ht="20.25" customHeight="1">
      <c r="A11" s="193">
        <v>2</v>
      </c>
      <c r="B11" s="195">
        <f>'Bang TH nop'!B11</f>
        <v>0</v>
      </c>
      <c r="C11" s="197">
        <f>+'Bang TH nop'!C11</f>
        <v>0</v>
      </c>
      <c r="D11" s="199">
        <f>+'Bang TH nop'!E11</f>
        <v>0</v>
      </c>
      <c r="E11" s="200"/>
      <c r="F11" s="134"/>
      <c r="G11" s="31">
        <f>'Bang TH nop'!G11</f>
        <v>0</v>
      </c>
      <c r="H11" s="30">
        <f>'Bang TH nop'!L11</f>
        <v>0</v>
      </c>
      <c r="I11" s="67">
        <f>'Bang TH nop'!H11</f>
        <v>0</v>
      </c>
      <c r="J11" s="32">
        <f>+'Bang TH nop'!U11</f>
        <v>0</v>
      </c>
      <c r="K11" s="33">
        <f>'Bang TH nop'!I11</f>
        <v>0</v>
      </c>
      <c r="L11" s="30">
        <f>+'Bang TH nop'!S11</f>
        <v>0</v>
      </c>
      <c r="M11" s="30"/>
      <c r="N11" s="34"/>
      <c r="O11" s="30"/>
      <c r="P11" s="30"/>
      <c r="Q11" s="35"/>
      <c r="R11" s="30"/>
      <c r="S11" s="30"/>
      <c r="T11" s="34"/>
      <c r="U11" s="34"/>
      <c r="V11" s="34"/>
      <c r="W11" s="34"/>
      <c r="X11" s="113"/>
      <c r="Y11" s="132"/>
      <c r="Z11" s="37"/>
      <c r="AA11" s="38"/>
      <c r="AB11" s="39"/>
      <c r="AC11" s="38"/>
      <c r="AD11" s="105"/>
    </row>
    <row r="12" spans="1:30" ht="20.25" customHeight="1">
      <c r="A12" s="194"/>
      <c r="B12" s="196"/>
      <c r="C12" s="198"/>
      <c r="D12" s="201">
        <f>+'Bang TH nop'!D11</f>
        <v>0</v>
      </c>
      <c r="E12" s="202"/>
      <c r="F12" s="136">
        <f>+'Bang TH nop'!F11</f>
        <v>0</v>
      </c>
      <c r="G12" s="41">
        <f t="shared" ref="G12" si="0">F12/26*G11</f>
        <v>0</v>
      </c>
      <c r="H12" s="48">
        <f t="shared" ref="H12" si="1">+(F12/26/8*125%)*H11</f>
        <v>0</v>
      </c>
      <c r="I12" s="42">
        <f t="shared" ref="I12" si="2">ROUND(D12/26*I11,)</f>
        <v>0</v>
      </c>
      <c r="J12" s="43">
        <f t="shared" ref="J12" si="3">+F12/26*2*J11</f>
        <v>0</v>
      </c>
      <c r="K12" s="44">
        <f t="shared" ref="K12" si="4">D12/26*K11</f>
        <v>0</v>
      </c>
      <c r="L12" s="44">
        <f t="shared" ref="L12" si="5">D12/26/8*L11</f>
        <v>0</v>
      </c>
      <c r="M12" s="44">
        <f t="shared" ref="M12" si="6">D12/26/8*M11</f>
        <v>0</v>
      </c>
      <c r="N12" s="45">
        <f>+'Bang TH nop'!N11</f>
        <v>0</v>
      </c>
      <c r="O12" s="44">
        <f>'Bang TH nop'!P11</f>
        <v>0</v>
      </c>
      <c r="P12" s="46">
        <f>+'Bang TH nop'!T11</f>
        <v>0</v>
      </c>
      <c r="Q12" s="47">
        <f>+'Bang TH nop'!R11</f>
        <v>0</v>
      </c>
      <c r="R12" s="40"/>
      <c r="S12" s="40"/>
      <c r="T12" s="48">
        <f t="shared" ref="T12" si="7">SUM(G12:S12)</f>
        <v>0</v>
      </c>
      <c r="U12" s="49">
        <f t="shared" ref="U12" si="8">D12*10.5%</f>
        <v>0</v>
      </c>
      <c r="V12" s="48">
        <f t="shared" ref="V12" si="9">+ROUND(D12*0.5%,-3)</f>
        <v>0</v>
      </c>
      <c r="W12" s="48">
        <f t="shared" ref="W12" si="10">ROUND(T12-U12-V12,-2)</f>
        <v>0</v>
      </c>
      <c r="X12" s="114">
        <f>+'Bang TH nop'!G11+'Bang TH nop'!U11</f>
        <v>0</v>
      </c>
      <c r="Y12" s="132"/>
      <c r="Z12" s="50"/>
      <c r="AA12" s="107" t="e">
        <f t="shared" ref="AA12" si="11">+Z12/Y12</f>
        <v>#DIV/0!</v>
      </c>
      <c r="AB12" s="107" t="e">
        <f t="shared" ref="AB12" si="12">AD12/X12</f>
        <v>#DIV/0!</v>
      </c>
      <c r="AC12" s="108" t="e">
        <f t="shared" ref="AC12" si="13">+AB12/AA12</f>
        <v>#DIV/0!</v>
      </c>
      <c r="AD12" s="110">
        <f t="shared" ref="AD12" si="14">+T12-K12</f>
        <v>0</v>
      </c>
    </row>
    <row r="13" spans="1:30" ht="20.25" customHeight="1">
      <c r="A13" s="193">
        <v>3</v>
      </c>
      <c r="B13" s="195">
        <f>'Bang TH nop'!B13</f>
        <v>0</v>
      </c>
      <c r="C13" s="197">
        <f>+'Bang TH nop'!C13</f>
        <v>0</v>
      </c>
      <c r="D13" s="199">
        <f>+'Bang TH nop'!E13</f>
        <v>0</v>
      </c>
      <c r="E13" s="200"/>
      <c r="F13" s="134"/>
      <c r="G13" s="31">
        <f>'Bang TH nop'!G13</f>
        <v>0</v>
      </c>
      <c r="H13" s="30">
        <f>'Bang TH nop'!L13</f>
        <v>0</v>
      </c>
      <c r="I13" s="67">
        <f>'Bang TH nop'!H13</f>
        <v>0</v>
      </c>
      <c r="J13" s="32">
        <f>+'Bang TH nop'!U13</f>
        <v>0</v>
      </c>
      <c r="K13" s="33">
        <f>'Bang TH nop'!I13</f>
        <v>0</v>
      </c>
      <c r="L13" s="30">
        <f>+'Bang TH nop'!S13</f>
        <v>0</v>
      </c>
      <c r="M13" s="30"/>
      <c r="N13" s="34"/>
      <c r="O13" s="30"/>
      <c r="P13" s="30"/>
      <c r="Q13" s="35"/>
      <c r="R13" s="30"/>
      <c r="S13" s="30"/>
      <c r="T13" s="34"/>
      <c r="U13" s="34"/>
      <c r="V13" s="34"/>
      <c r="W13" s="34"/>
      <c r="X13" s="113"/>
      <c r="Y13" s="132"/>
      <c r="Z13" s="37"/>
      <c r="AA13" s="38"/>
      <c r="AB13" s="39"/>
      <c r="AC13" s="38"/>
      <c r="AD13" s="105"/>
    </row>
    <row r="14" spans="1:30" ht="20.25" customHeight="1">
      <c r="A14" s="194"/>
      <c r="B14" s="196"/>
      <c r="C14" s="198"/>
      <c r="D14" s="201">
        <f>+'Bang TH nop'!D13</f>
        <v>0</v>
      </c>
      <c r="E14" s="202"/>
      <c r="F14" s="136">
        <f>+'Bang TH nop'!F13</f>
        <v>0</v>
      </c>
      <c r="G14" s="41">
        <f t="shared" ref="G14" si="15">F14/26*G13</f>
        <v>0</v>
      </c>
      <c r="H14" s="48">
        <f t="shared" ref="H14" si="16">+(F14/26/8*125%)*H13</f>
        <v>0</v>
      </c>
      <c r="I14" s="42">
        <f t="shared" ref="I14" si="17">ROUND(D14/26*I13,)</f>
        <v>0</v>
      </c>
      <c r="J14" s="43">
        <f t="shared" ref="J14" si="18">+F14/26*2*J13</f>
        <v>0</v>
      </c>
      <c r="K14" s="44">
        <f t="shared" ref="K14" si="19">D14/26*K13</f>
        <v>0</v>
      </c>
      <c r="L14" s="44">
        <f t="shared" ref="L14" si="20">D14/26/8*L13</f>
        <v>0</v>
      </c>
      <c r="M14" s="44">
        <f t="shared" ref="M14" si="21">D14/26/8*M13</f>
        <v>0</v>
      </c>
      <c r="N14" s="45">
        <f>+'Bang TH nop'!N13</f>
        <v>0</v>
      </c>
      <c r="O14" s="44">
        <f>'Bang TH nop'!P13</f>
        <v>0</v>
      </c>
      <c r="P14" s="46">
        <f>+'Bang TH nop'!T13</f>
        <v>0</v>
      </c>
      <c r="Q14" s="47">
        <f>+'Bang TH nop'!R13</f>
        <v>0</v>
      </c>
      <c r="R14" s="40"/>
      <c r="S14" s="40"/>
      <c r="T14" s="48">
        <f t="shared" ref="T14" si="22">SUM(G14:S14)</f>
        <v>0</v>
      </c>
      <c r="U14" s="49">
        <f t="shared" ref="U14" si="23">D14*10.5%</f>
        <v>0</v>
      </c>
      <c r="V14" s="48">
        <f t="shared" ref="V14" si="24">+ROUND(D14*0.5%,-3)</f>
        <v>0</v>
      </c>
      <c r="W14" s="48">
        <f t="shared" ref="W14" si="25">ROUND(T14-U14-V14,-2)</f>
        <v>0</v>
      </c>
      <c r="X14" s="114">
        <f>+'Bang TH nop'!G13+'Bang TH nop'!U13</f>
        <v>0</v>
      </c>
      <c r="Y14" s="132"/>
      <c r="Z14" s="50"/>
      <c r="AA14" s="107" t="e">
        <f t="shared" ref="AA14" si="26">+Z14/Y14</f>
        <v>#DIV/0!</v>
      </c>
      <c r="AB14" s="107" t="e">
        <f t="shared" ref="AB14" si="27">AD14/X14</f>
        <v>#DIV/0!</v>
      </c>
      <c r="AC14" s="108" t="e">
        <f t="shared" ref="AC14" si="28">+AB14/AA14</f>
        <v>#DIV/0!</v>
      </c>
      <c r="AD14" s="110">
        <f t="shared" ref="AD14" si="29">+T14-K14</f>
        <v>0</v>
      </c>
    </row>
    <row r="15" spans="1:30" ht="20.25" customHeight="1">
      <c r="A15" s="193">
        <v>4</v>
      </c>
      <c r="B15" s="195">
        <f>'Bang TH nop'!B15</f>
        <v>0</v>
      </c>
      <c r="C15" s="197">
        <f>+'Bang TH nop'!C15</f>
        <v>0</v>
      </c>
      <c r="D15" s="199">
        <f>+'Bang TH nop'!E15</f>
        <v>0</v>
      </c>
      <c r="E15" s="200"/>
      <c r="F15" s="134"/>
      <c r="G15" s="31">
        <f>'Bang TH nop'!G15</f>
        <v>0</v>
      </c>
      <c r="H15" s="30">
        <f>'Bang TH nop'!L15</f>
        <v>0</v>
      </c>
      <c r="I15" s="67">
        <f>'Bang TH nop'!H15</f>
        <v>0</v>
      </c>
      <c r="J15" s="32">
        <f>+'Bang TH nop'!U15</f>
        <v>0</v>
      </c>
      <c r="K15" s="33">
        <f>'Bang TH nop'!I15</f>
        <v>0</v>
      </c>
      <c r="L15" s="30">
        <f>+'Bang TH nop'!S15</f>
        <v>0</v>
      </c>
      <c r="M15" s="30"/>
      <c r="N15" s="34"/>
      <c r="O15" s="30"/>
      <c r="P15" s="30"/>
      <c r="Q15" s="35"/>
      <c r="R15" s="30"/>
      <c r="S15" s="30"/>
      <c r="T15" s="34"/>
      <c r="U15" s="34"/>
      <c r="V15" s="34"/>
      <c r="W15" s="34"/>
      <c r="X15" s="113"/>
      <c r="Y15" s="132"/>
      <c r="Z15" s="37"/>
      <c r="AA15" s="38"/>
      <c r="AB15" s="39"/>
      <c r="AC15" s="38"/>
      <c r="AD15" s="105"/>
    </row>
    <row r="16" spans="1:30" ht="20.25" customHeight="1">
      <c r="A16" s="194"/>
      <c r="B16" s="196"/>
      <c r="C16" s="198"/>
      <c r="D16" s="201">
        <f>+'Bang TH nop'!D15</f>
        <v>0</v>
      </c>
      <c r="E16" s="202"/>
      <c r="F16" s="136">
        <f>+'Bang TH nop'!F15</f>
        <v>0</v>
      </c>
      <c r="G16" s="41">
        <f t="shared" ref="G16" si="30">F16/26*G15</f>
        <v>0</v>
      </c>
      <c r="H16" s="48">
        <f t="shared" ref="H16" si="31">+(F16/26/8*125%)*H15</f>
        <v>0</v>
      </c>
      <c r="I16" s="42">
        <f t="shared" ref="I16" si="32">ROUND(D16/26*I15,)</f>
        <v>0</v>
      </c>
      <c r="J16" s="43">
        <f t="shared" ref="J16" si="33">+F16/26*2*J15</f>
        <v>0</v>
      </c>
      <c r="K16" s="44">
        <f t="shared" ref="K16" si="34">D16/26*K15</f>
        <v>0</v>
      </c>
      <c r="L16" s="44">
        <f t="shared" ref="L16" si="35">D16/26/8*L15</f>
        <v>0</v>
      </c>
      <c r="M16" s="44">
        <f t="shared" ref="M16" si="36">D16/26/8*M15</f>
        <v>0</v>
      </c>
      <c r="N16" s="45">
        <f>+'Bang TH nop'!N15</f>
        <v>0</v>
      </c>
      <c r="O16" s="44">
        <f>'Bang TH nop'!P15</f>
        <v>0</v>
      </c>
      <c r="P16" s="46">
        <f>+'Bang TH nop'!T15</f>
        <v>0</v>
      </c>
      <c r="Q16" s="47">
        <f>+'Bang TH nop'!R15</f>
        <v>0</v>
      </c>
      <c r="R16" s="40"/>
      <c r="S16" s="40"/>
      <c r="T16" s="48">
        <f t="shared" ref="T16" si="37">SUM(G16:S16)</f>
        <v>0</v>
      </c>
      <c r="U16" s="49">
        <f t="shared" ref="U16" si="38">D16*10.5%</f>
        <v>0</v>
      </c>
      <c r="V16" s="48">
        <f t="shared" ref="V16" si="39">+ROUND(D16*0.5%,-3)</f>
        <v>0</v>
      </c>
      <c r="W16" s="48">
        <f t="shared" ref="W16" si="40">ROUND(T16-U16-V16,-2)</f>
        <v>0</v>
      </c>
      <c r="X16" s="114">
        <f>+'Bang TH nop'!G15+'Bang TH nop'!U15</f>
        <v>0</v>
      </c>
      <c r="Y16" s="132"/>
      <c r="Z16" s="50"/>
      <c r="AA16" s="107" t="e">
        <f t="shared" ref="AA16" si="41">+Z16/Y16</f>
        <v>#DIV/0!</v>
      </c>
      <c r="AB16" s="107" t="e">
        <f t="shared" ref="AB16" si="42">AD16/X16</f>
        <v>#DIV/0!</v>
      </c>
      <c r="AC16" s="108" t="e">
        <f t="shared" ref="AC16" si="43">+AB16/AA16</f>
        <v>#DIV/0!</v>
      </c>
      <c r="AD16" s="110">
        <f t="shared" ref="AD16" si="44">+T16-K16</f>
        <v>0</v>
      </c>
    </row>
    <row r="17" spans="1:30" ht="20.25" customHeight="1">
      <c r="A17" s="193">
        <v>5</v>
      </c>
      <c r="B17" s="195">
        <f>'Bang TH nop'!B17</f>
        <v>0</v>
      </c>
      <c r="C17" s="197">
        <f>+'Bang TH nop'!C17</f>
        <v>0</v>
      </c>
      <c r="D17" s="199">
        <f>+'Bang TH nop'!E17</f>
        <v>0</v>
      </c>
      <c r="E17" s="200"/>
      <c r="F17" s="134"/>
      <c r="G17" s="31">
        <f>'Bang TH nop'!G17</f>
        <v>0</v>
      </c>
      <c r="H17" s="30">
        <f>'Bang TH nop'!L17</f>
        <v>0</v>
      </c>
      <c r="I17" s="67">
        <f>'Bang TH nop'!H17</f>
        <v>0</v>
      </c>
      <c r="J17" s="32">
        <f>+'Bang TH nop'!U17</f>
        <v>0</v>
      </c>
      <c r="K17" s="33">
        <f>'Bang TH nop'!I17</f>
        <v>0</v>
      </c>
      <c r="L17" s="30">
        <f>+'Bang TH nop'!S17</f>
        <v>0</v>
      </c>
      <c r="M17" s="30"/>
      <c r="N17" s="34"/>
      <c r="O17" s="30"/>
      <c r="P17" s="30"/>
      <c r="Q17" s="35"/>
      <c r="R17" s="30"/>
      <c r="S17" s="30"/>
      <c r="T17" s="34"/>
      <c r="U17" s="34"/>
      <c r="V17" s="34"/>
      <c r="W17" s="34"/>
      <c r="X17" s="113"/>
      <c r="Y17" s="132"/>
      <c r="Z17" s="37"/>
      <c r="AA17" s="38"/>
      <c r="AB17" s="39"/>
      <c r="AC17" s="38"/>
      <c r="AD17" s="105"/>
    </row>
    <row r="18" spans="1:30" ht="20.25" customHeight="1">
      <c r="A18" s="194"/>
      <c r="B18" s="196"/>
      <c r="C18" s="198"/>
      <c r="D18" s="201">
        <f>+'Bang TH nop'!D17</f>
        <v>0</v>
      </c>
      <c r="E18" s="202"/>
      <c r="F18" s="136">
        <f>+'Bang TH nop'!F17</f>
        <v>0</v>
      </c>
      <c r="G18" s="41">
        <f t="shared" ref="G18" si="45">F18/26*G17</f>
        <v>0</v>
      </c>
      <c r="H18" s="48">
        <f t="shared" ref="H18" si="46">+(F18/26/8*125%)*H17</f>
        <v>0</v>
      </c>
      <c r="I18" s="42">
        <f t="shared" ref="I18" si="47">ROUND(D18/26*I17,)</f>
        <v>0</v>
      </c>
      <c r="J18" s="43">
        <f t="shared" ref="J18" si="48">+F18/26*2*J17</f>
        <v>0</v>
      </c>
      <c r="K18" s="44">
        <f t="shared" ref="K18" si="49">D18/26*K17</f>
        <v>0</v>
      </c>
      <c r="L18" s="44">
        <f t="shared" ref="L18" si="50">D18/26/8*L17</f>
        <v>0</v>
      </c>
      <c r="M18" s="44">
        <f t="shared" ref="M18" si="51">D18/26/8*M17</f>
        <v>0</v>
      </c>
      <c r="N18" s="45">
        <f>+'Bang TH nop'!N17</f>
        <v>0</v>
      </c>
      <c r="O18" s="44">
        <f>'Bang TH nop'!P17</f>
        <v>0</v>
      </c>
      <c r="P18" s="46">
        <f>+'Bang TH nop'!T17</f>
        <v>0</v>
      </c>
      <c r="Q18" s="47">
        <f>+'Bang TH nop'!R17</f>
        <v>0</v>
      </c>
      <c r="R18" s="40"/>
      <c r="S18" s="40"/>
      <c r="T18" s="48">
        <f t="shared" ref="T18" si="52">SUM(G18:S18)</f>
        <v>0</v>
      </c>
      <c r="U18" s="49">
        <f t="shared" ref="U18" si="53">D18*10.5%</f>
        <v>0</v>
      </c>
      <c r="V18" s="48">
        <f t="shared" ref="V18" si="54">+ROUND(D18*0.5%,-3)</f>
        <v>0</v>
      </c>
      <c r="W18" s="48">
        <f t="shared" ref="W18" si="55">ROUND(T18-U18-V18,-2)</f>
        <v>0</v>
      </c>
      <c r="X18" s="114">
        <f>+'Bang TH nop'!G17+'Bang TH nop'!U17</f>
        <v>0</v>
      </c>
      <c r="Y18" s="132"/>
      <c r="Z18" s="50"/>
      <c r="AA18" s="107" t="e">
        <f t="shared" ref="AA18" si="56">+Z18/Y18</f>
        <v>#DIV/0!</v>
      </c>
      <c r="AB18" s="107" t="e">
        <f t="shared" ref="AB18" si="57">AD18/X18</f>
        <v>#DIV/0!</v>
      </c>
      <c r="AC18" s="108" t="e">
        <f t="shared" ref="AC18" si="58">+AB18/AA18</f>
        <v>#DIV/0!</v>
      </c>
      <c r="AD18" s="110">
        <f t="shared" ref="AD18" si="59">+T18-K18</f>
        <v>0</v>
      </c>
    </row>
    <row r="19" spans="1:30" ht="20.25" customHeight="1">
      <c r="A19" s="193">
        <v>6</v>
      </c>
      <c r="B19" s="195">
        <f>'Bang TH nop'!B19</f>
        <v>0</v>
      </c>
      <c r="C19" s="197">
        <f>+'Bang TH nop'!C19</f>
        <v>0</v>
      </c>
      <c r="D19" s="199">
        <f>+'Bang TH nop'!E19</f>
        <v>0</v>
      </c>
      <c r="E19" s="200"/>
      <c r="F19" s="134"/>
      <c r="G19" s="31">
        <f>'Bang TH nop'!G19</f>
        <v>0</v>
      </c>
      <c r="H19" s="30">
        <f>'Bang TH nop'!L19</f>
        <v>0</v>
      </c>
      <c r="I19" s="67">
        <f>'Bang TH nop'!H19</f>
        <v>0</v>
      </c>
      <c r="J19" s="32">
        <f>+'Bang TH nop'!U19</f>
        <v>0</v>
      </c>
      <c r="K19" s="33">
        <f>'Bang TH nop'!I19</f>
        <v>0</v>
      </c>
      <c r="L19" s="30">
        <f>+'Bang TH nop'!S19</f>
        <v>0</v>
      </c>
      <c r="M19" s="30"/>
      <c r="N19" s="34"/>
      <c r="O19" s="30"/>
      <c r="P19" s="30"/>
      <c r="Q19" s="35"/>
      <c r="R19" s="30"/>
      <c r="S19" s="30"/>
      <c r="T19" s="34"/>
      <c r="U19" s="34"/>
      <c r="V19" s="34"/>
      <c r="W19" s="34"/>
      <c r="X19" s="113"/>
      <c r="Y19" s="132"/>
      <c r="Z19" s="37"/>
      <c r="AA19" s="38"/>
      <c r="AB19" s="39"/>
      <c r="AC19" s="38"/>
      <c r="AD19" s="105"/>
    </row>
    <row r="20" spans="1:30" ht="20.25" customHeight="1">
      <c r="A20" s="194"/>
      <c r="B20" s="196"/>
      <c r="C20" s="198"/>
      <c r="D20" s="201">
        <f>+'Bang TH nop'!D19</f>
        <v>0</v>
      </c>
      <c r="E20" s="202"/>
      <c r="F20" s="136">
        <f>+'Bang TH nop'!F19</f>
        <v>0</v>
      </c>
      <c r="G20" s="41">
        <f t="shared" ref="G20" si="60">F20/26*G19</f>
        <v>0</v>
      </c>
      <c r="H20" s="48">
        <f t="shared" ref="H20" si="61">+(F20/26/8*125%)*H19</f>
        <v>0</v>
      </c>
      <c r="I20" s="42">
        <f t="shared" ref="I20" si="62">ROUND(D20/26*I19,)</f>
        <v>0</v>
      </c>
      <c r="J20" s="43">
        <f t="shared" ref="J20" si="63">+F20/26*2*J19</f>
        <v>0</v>
      </c>
      <c r="K20" s="44">
        <f t="shared" ref="K20" si="64">D20/26*K19</f>
        <v>0</v>
      </c>
      <c r="L20" s="44">
        <f t="shared" ref="L20" si="65">D20/26/8*L19</f>
        <v>0</v>
      </c>
      <c r="M20" s="44">
        <f t="shared" ref="M20" si="66">D20/26/8*M19</f>
        <v>0</v>
      </c>
      <c r="N20" s="45">
        <f>+'Bang TH nop'!N19</f>
        <v>0</v>
      </c>
      <c r="O20" s="44">
        <f>'Bang TH nop'!P19</f>
        <v>0</v>
      </c>
      <c r="P20" s="46">
        <f>+'Bang TH nop'!T19</f>
        <v>0</v>
      </c>
      <c r="Q20" s="47">
        <f>+'Bang TH nop'!R19</f>
        <v>0</v>
      </c>
      <c r="R20" s="40"/>
      <c r="S20" s="40"/>
      <c r="T20" s="48">
        <f t="shared" ref="T20" si="67">SUM(G20:S20)</f>
        <v>0</v>
      </c>
      <c r="U20" s="49">
        <f t="shared" ref="U20" si="68">D20*10.5%</f>
        <v>0</v>
      </c>
      <c r="V20" s="48">
        <f t="shared" ref="V20" si="69">+ROUND(D20*0.5%,-3)</f>
        <v>0</v>
      </c>
      <c r="W20" s="48">
        <f t="shared" ref="W20" si="70">ROUND(T20-U20-V20,-2)</f>
        <v>0</v>
      </c>
      <c r="X20" s="114">
        <f>+'Bang TH nop'!G19+'Bang TH nop'!U19</f>
        <v>0</v>
      </c>
      <c r="Y20" s="132"/>
      <c r="Z20" s="50"/>
      <c r="AA20" s="107" t="e">
        <f t="shared" ref="AA20" si="71">+Z20/Y20</f>
        <v>#DIV/0!</v>
      </c>
      <c r="AB20" s="107" t="e">
        <f t="shared" ref="AB20" si="72">AD20/X20</f>
        <v>#DIV/0!</v>
      </c>
      <c r="AC20" s="108" t="e">
        <f t="shared" ref="AC20" si="73">+AB20/AA20</f>
        <v>#DIV/0!</v>
      </c>
      <c r="AD20" s="110">
        <f t="shared" ref="AD20" si="74">+T20-K20</f>
        <v>0</v>
      </c>
    </row>
    <row r="21" spans="1:30" ht="20.25" customHeight="1">
      <c r="A21" s="193">
        <v>7</v>
      </c>
      <c r="B21" s="195">
        <f>'Bang TH nop'!B21</f>
        <v>0</v>
      </c>
      <c r="C21" s="197">
        <f>+'Bang TH nop'!C21</f>
        <v>0</v>
      </c>
      <c r="D21" s="199">
        <f>+'Bang TH nop'!E21</f>
        <v>0</v>
      </c>
      <c r="E21" s="200"/>
      <c r="F21" s="134"/>
      <c r="G21" s="31">
        <f>'Bang TH nop'!G21</f>
        <v>0</v>
      </c>
      <c r="H21" s="30">
        <f>'Bang TH nop'!L21</f>
        <v>0</v>
      </c>
      <c r="I21" s="67">
        <f>'Bang TH nop'!H21</f>
        <v>0</v>
      </c>
      <c r="J21" s="32">
        <f>+'Bang TH nop'!U21</f>
        <v>0</v>
      </c>
      <c r="K21" s="33">
        <f>'Bang TH nop'!I21</f>
        <v>0</v>
      </c>
      <c r="L21" s="30">
        <f>+'Bang TH nop'!S21</f>
        <v>0</v>
      </c>
      <c r="M21" s="30"/>
      <c r="N21" s="34"/>
      <c r="O21" s="30"/>
      <c r="P21" s="30"/>
      <c r="Q21" s="35"/>
      <c r="R21" s="30"/>
      <c r="S21" s="30"/>
      <c r="T21" s="34"/>
      <c r="U21" s="34"/>
      <c r="V21" s="34"/>
      <c r="W21" s="34"/>
      <c r="X21" s="113"/>
      <c r="Y21" s="132"/>
      <c r="Z21" s="37"/>
      <c r="AA21" s="38"/>
      <c r="AB21" s="39"/>
      <c r="AC21" s="38"/>
      <c r="AD21" s="105"/>
    </row>
    <row r="22" spans="1:30" ht="20.25" customHeight="1">
      <c r="A22" s="194"/>
      <c r="B22" s="196"/>
      <c r="C22" s="198"/>
      <c r="D22" s="201">
        <f>+'Bang TH nop'!D21</f>
        <v>0</v>
      </c>
      <c r="E22" s="202"/>
      <c r="F22" s="136">
        <f>+'Bang TH nop'!F21</f>
        <v>0</v>
      </c>
      <c r="G22" s="41">
        <f t="shared" ref="G22" si="75">F22/26*G21</f>
        <v>0</v>
      </c>
      <c r="H22" s="48">
        <f t="shared" ref="H22" si="76">+(F22/26/8*125%)*H21</f>
        <v>0</v>
      </c>
      <c r="I22" s="42">
        <f t="shared" ref="I22" si="77">ROUND(D22/26*I21,)</f>
        <v>0</v>
      </c>
      <c r="J22" s="43">
        <f t="shared" ref="J22" si="78">+F22/26*2*J21</f>
        <v>0</v>
      </c>
      <c r="K22" s="44">
        <f t="shared" ref="K22" si="79">D22/26*K21</f>
        <v>0</v>
      </c>
      <c r="L22" s="44">
        <f t="shared" ref="L22" si="80">D22/26/8*L21</f>
        <v>0</v>
      </c>
      <c r="M22" s="44">
        <f t="shared" ref="M22" si="81">D22/26/8*M21</f>
        <v>0</v>
      </c>
      <c r="N22" s="45">
        <f>+'Bang TH nop'!N21</f>
        <v>0</v>
      </c>
      <c r="O22" s="44">
        <f>'Bang TH nop'!P21</f>
        <v>0</v>
      </c>
      <c r="P22" s="46">
        <f>+'Bang TH nop'!T21</f>
        <v>0</v>
      </c>
      <c r="Q22" s="47">
        <f>+'Bang TH nop'!R21</f>
        <v>0</v>
      </c>
      <c r="R22" s="40"/>
      <c r="S22" s="40"/>
      <c r="T22" s="48">
        <f t="shared" ref="T22" si="82">SUM(G22:S22)</f>
        <v>0</v>
      </c>
      <c r="U22" s="49">
        <f t="shared" ref="U22" si="83">D22*10.5%</f>
        <v>0</v>
      </c>
      <c r="V22" s="48">
        <f t="shared" ref="V22" si="84">+ROUND(D22*0.5%,-3)</f>
        <v>0</v>
      </c>
      <c r="W22" s="48">
        <f t="shared" ref="W22" si="85">ROUND(T22-U22-V22,-2)</f>
        <v>0</v>
      </c>
      <c r="X22" s="114">
        <f>+'Bang TH nop'!G21+'Bang TH nop'!U21</f>
        <v>0</v>
      </c>
      <c r="Y22" s="132"/>
      <c r="Z22" s="50"/>
      <c r="AA22" s="107" t="e">
        <f t="shared" ref="AA22" si="86">+Z22/Y22</f>
        <v>#DIV/0!</v>
      </c>
      <c r="AB22" s="107" t="e">
        <f t="shared" ref="AB22" si="87">AD22/X22</f>
        <v>#DIV/0!</v>
      </c>
      <c r="AC22" s="108" t="e">
        <f t="shared" ref="AC22" si="88">+AB22/AA22</f>
        <v>#DIV/0!</v>
      </c>
      <c r="AD22" s="110">
        <f t="shared" ref="AD22" si="89">+T22-K22</f>
        <v>0</v>
      </c>
    </row>
    <row r="23" spans="1:30" ht="15.6" hidden="1" customHeight="1">
      <c r="A23" s="193"/>
      <c r="B23" s="195"/>
      <c r="C23" s="197">
        <f>+'Bang TH nop'!C23</f>
        <v>0</v>
      </c>
      <c r="D23" s="199"/>
      <c r="E23" s="200"/>
      <c r="F23" s="134"/>
      <c r="G23" s="31">
        <f>'Bang TH nop'!G25</f>
        <v>0</v>
      </c>
      <c r="H23" s="30"/>
      <c r="I23" s="67">
        <f>'Bang TH nop'!H25</f>
        <v>0</v>
      </c>
      <c r="J23" s="51"/>
      <c r="K23" s="33"/>
      <c r="L23" s="30"/>
      <c r="M23" s="30"/>
      <c r="N23" s="34"/>
      <c r="O23" s="30"/>
      <c r="P23" s="30"/>
      <c r="Q23" s="35"/>
      <c r="R23" s="30"/>
      <c r="S23" s="30"/>
      <c r="T23" s="34"/>
      <c r="U23" s="34"/>
      <c r="V23" s="34"/>
      <c r="W23" s="34"/>
      <c r="X23" s="113"/>
      <c r="Y23" s="36"/>
      <c r="Z23" s="37"/>
    </row>
    <row r="24" spans="1:30" ht="15.6" hidden="1" customHeight="1">
      <c r="A24" s="194"/>
      <c r="B24" s="196"/>
      <c r="C24" s="198"/>
      <c r="D24" s="201"/>
      <c r="E24" s="202"/>
      <c r="F24" s="135"/>
      <c r="G24" s="41">
        <f t="shared" ref="G24" si="90">F24/26*G23</f>
        <v>0</v>
      </c>
      <c r="H24" s="40"/>
      <c r="I24" s="42">
        <f t="shared" ref="I24" si="91">ROUND(4130000/26*I23,)</f>
        <v>0</v>
      </c>
      <c r="J24" s="44"/>
      <c r="K24" s="44"/>
      <c r="L24" s="41"/>
      <c r="M24" s="44"/>
      <c r="N24" s="45">
        <f>12000*G23</f>
        <v>0</v>
      </c>
      <c r="O24" s="44">
        <f>'[1]Bảng TH nộp'!BE24</f>
        <v>0</v>
      </c>
      <c r="P24" s="46"/>
      <c r="Q24" s="52"/>
      <c r="R24" s="40"/>
      <c r="S24" s="40"/>
      <c r="T24" s="48"/>
      <c r="U24" s="41"/>
      <c r="V24" s="48"/>
      <c r="W24" s="48"/>
      <c r="X24" s="114"/>
      <c r="Y24" s="50">
        <f>+IFERROR(VLOOKUP(C23,[2]Nháp!$C$1:$J$1000,8,0),0)</f>
        <v>0</v>
      </c>
      <c r="Z24" s="50">
        <f>+IFERROR(VLOOKUP(C23,[2]Nháp!$C$1:$F$1000,4,0),0)</f>
        <v>0</v>
      </c>
    </row>
    <row r="25" spans="1:30" ht="15.6" hidden="1" customHeight="1" outlineLevel="1">
      <c r="A25" s="193"/>
      <c r="B25" s="195"/>
      <c r="C25" s="197">
        <f>+'Bang TH nop'!C25</f>
        <v>0</v>
      </c>
      <c r="D25" s="199"/>
      <c r="E25" s="200"/>
      <c r="F25" s="134"/>
      <c r="G25" s="31">
        <f>'Bang TH nop'!G27</f>
        <v>0</v>
      </c>
      <c r="H25" s="30"/>
      <c r="I25" s="67">
        <f>'Bang TH nop'!H27</f>
        <v>0</v>
      </c>
      <c r="J25" s="51"/>
      <c r="K25" s="33"/>
      <c r="L25" s="30"/>
      <c r="M25" s="30"/>
      <c r="N25" s="34"/>
      <c r="O25" s="30"/>
      <c r="P25" s="30"/>
      <c r="Q25" s="35"/>
      <c r="R25" s="30"/>
      <c r="S25" s="30"/>
      <c r="T25" s="34"/>
      <c r="U25" s="34"/>
      <c r="V25" s="34"/>
      <c r="W25" s="34"/>
      <c r="X25" s="113"/>
      <c r="Y25" s="36"/>
      <c r="Z25" s="37"/>
    </row>
    <row r="26" spans="1:30" ht="15.6" hidden="1" customHeight="1" outlineLevel="1">
      <c r="A26" s="194"/>
      <c r="B26" s="196"/>
      <c r="C26" s="198"/>
      <c r="D26" s="201"/>
      <c r="E26" s="202"/>
      <c r="F26" s="135"/>
      <c r="G26" s="41">
        <f t="shared" ref="G26" si="92">F26/26*G25</f>
        <v>0</v>
      </c>
      <c r="H26" s="40"/>
      <c r="I26" s="42">
        <f t="shared" ref="I26" si="93">ROUND(4130000/26*I25,)</f>
        <v>0</v>
      </c>
      <c r="J26" s="44"/>
      <c r="K26" s="44"/>
      <c r="L26" s="41"/>
      <c r="M26" s="44"/>
      <c r="N26" s="45">
        <f>12000*G25</f>
        <v>0</v>
      </c>
      <c r="O26" s="44">
        <f>'[1]Bảng TH nộp'!BE26</f>
        <v>0</v>
      </c>
      <c r="P26" s="46"/>
      <c r="Q26" s="52"/>
      <c r="R26" s="40"/>
      <c r="S26" s="40"/>
      <c r="T26" s="48"/>
      <c r="U26" s="41"/>
      <c r="V26" s="48"/>
      <c r="W26" s="48"/>
      <c r="X26" s="114"/>
      <c r="Y26" s="50">
        <f>+IFERROR(VLOOKUP(C25,[2]Nháp!$C$1:$J$1000,8,0),0)</f>
        <v>0</v>
      </c>
      <c r="Z26" s="50">
        <f>+IFERROR(VLOOKUP(C25,[2]Nháp!$C$1:$F$1000,4,0),0)</f>
        <v>0</v>
      </c>
    </row>
    <row r="27" spans="1:30" ht="15.6" hidden="1" customHeight="1" outlineLevel="1">
      <c r="A27" s="193"/>
      <c r="B27" s="195"/>
      <c r="C27" s="197">
        <f>+'Bang TH nop'!C27</f>
        <v>0</v>
      </c>
      <c r="D27" s="199"/>
      <c r="E27" s="200"/>
      <c r="F27" s="134"/>
      <c r="G27" s="31">
        <f>'Bang TH nop'!G29</f>
        <v>0</v>
      </c>
      <c r="H27" s="30"/>
      <c r="I27" s="67">
        <f>'Bang TH nop'!H29</f>
        <v>0</v>
      </c>
      <c r="J27" s="51"/>
      <c r="K27" s="33"/>
      <c r="L27" s="30"/>
      <c r="M27" s="30"/>
      <c r="N27" s="34"/>
      <c r="O27" s="30"/>
      <c r="P27" s="30"/>
      <c r="Q27" s="35"/>
      <c r="R27" s="30"/>
      <c r="S27" s="30"/>
      <c r="T27" s="34"/>
      <c r="U27" s="34"/>
      <c r="V27" s="34"/>
      <c r="W27" s="34"/>
      <c r="X27" s="113"/>
      <c r="Y27" s="36"/>
      <c r="Z27" s="37"/>
    </row>
    <row r="28" spans="1:30" ht="15.6" hidden="1" customHeight="1" outlineLevel="1">
      <c r="A28" s="194"/>
      <c r="B28" s="196"/>
      <c r="C28" s="198"/>
      <c r="D28" s="201"/>
      <c r="E28" s="202"/>
      <c r="F28" s="135"/>
      <c r="G28" s="41">
        <f t="shared" ref="G28" si="94">F28/26*G27</f>
        <v>0</v>
      </c>
      <c r="H28" s="40"/>
      <c r="I28" s="42">
        <f t="shared" ref="I28" si="95">ROUND(4130000/26*I27,)</f>
        <v>0</v>
      </c>
      <c r="J28" s="44"/>
      <c r="K28" s="44"/>
      <c r="L28" s="41"/>
      <c r="M28" s="44"/>
      <c r="N28" s="45">
        <f>12000*G27</f>
        <v>0</v>
      </c>
      <c r="O28" s="44">
        <f>'[1]Bảng TH nộp'!BE28</f>
        <v>0</v>
      </c>
      <c r="P28" s="46"/>
      <c r="Q28" s="52"/>
      <c r="R28" s="40"/>
      <c r="S28" s="40"/>
      <c r="T28" s="48"/>
      <c r="U28" s="41"/>
      <c r="V28" s="48"/>
      <c r="W28" s="48"/>
      <c r="X28" s="114"/>
      <c r="Y28" s="50">
        <f>+IFERROR(VLOOKUP(C27,[2]Nháp!$C$1:$J$1000,8,0),0)</f>
        <v>0</v>
      </c>
      <c r="Z28" s="50">
        <f>+IFERROR(VLOOKUP(C27,[2]Nháp!$C$1:$F$1000,4,0),0)</f>
        <v>0</v>
      </c>
    </row>
    <row r="29" spans="1:30" ht="15.6" hidden="1" customHeight="1" outlineLevel="1">
      <c r="A29" s="193"/>
      <c r="B29" s="195"/>
      <c r="C29" s="197">
        <f>+'Bang TH nop'!C29</f>
        <v>0</v>
      </c>
      <c r="D29" s="199"/>
      <c r="E29" s="200"/>
      <c r="F29" s="134"/>
      <c r="G29" s="31">
        <f>'Bang TH nop'!G31</f>
        <v>0</v>
      </c>
      <c r="H29" s="30"/>
      <c r="I29" s="67">
        <f>'Bang TH nop'!H31</f>
        <v>0</v>
      </c>
      <c r="J29" s="51"/>
      <c r="K29" s="33"/>
      <c r="L29" s="30"/>
      <c r="M29" s="30"/>
      <c r="N29" s="34"/>
      <c r="O29" s="30"/>
      <c r="P29" s="30"/>
      <c r="Q29" s="35"/>
      <c r="R29" s="30"/>
      <c r="S29" s="30"/>
      <c r="T29" s="34"/>
      <c r="U29" s="34"/>
      <c r="V29" s="34"/>
      <c r="W29" s="34"/>
      <c r="X29" s="113"/>
      <c r="Y29" s="36"/>
      <c r="Z29" s="37"/>
    </row>
    <row r="30" spans="1:30" ht="15.6" hidden="1" customHeight="1" outlineLevel="1">
      <c r="A30" s="194"/>
      <c r="B30" s="196"/>
      <c r="C30" s="198"/>
      <c r="D30" s="201"/>
      <c r="E30" s="202"/>
      <c r="F30" s="135"/>
      <c r="G30" s="41">
        <f t="shared" ref="G30" si="96">F30/26*G29</f>
        <v>0</v>
      </c>
      <c r="H30" s="40"/>
      <c r="I30" s="42">
        <f t="shared" ref="I30" si="97">ROUND(4130000/26*I29,)</f>
        <v>0</v>
      </c>
      <c r="J30" s="44"/>
      <c r="K30" s="44"/>
      <c r="L30" s="41"/>
      <c r="M30" s="44"/>
      <c r="N30" s="45">
        <f>12000*G29</f>
        <v>0</v>
      </c>
      <c r="O30" s="44">
        <f>'[1]Bảng TH nộp'!BE30</f>
        <v>0</v>
      </c>
      <c r="P30" s="46"/>
      <c r="Q30" s="52"/>
      <c r="R30" s="40"/>
      <c r="S30" s="40"/>
      <c r="T30" s="48"/>
      <c r="U30" s="41"/>
      <c r="V30" s="48"/>
      <c r="W30" s="48"/>
      <c r="X30" s="114"/>
      <c r="Y30" s="50">
        <f>+IFERROR(VLOOKUP(C29,[2]Nháp!$C$1:$J$1000,8,0),0)</f>
        <v>0</v>
      </c>
      <c r="Z30" s="50">
        <f>+IFERROR(VLOOKUP(C29,[2]Nháp!$C$1:$F$1000,4,0),0)</f>
        <v>0</v>
      </c>
    </row>
    <row r="31" spans="1:30" ht="15.6" hidden="1" customHeight="1" outlineLevel="1">
      <c r="A31" s="193"/>
      <c r="B31" s="195"/>
      <c r="C31" s="197">
        <f>+'Bang TH nop'!C31</f>
        <v>0</v>
      </c>
      <c r="D31" s="199"/>
      <c r="E31" s="200"/>
      <c r="F31" s="134"/>
      <c r="G31" s="31">
        <f>'Bang TH nop'!G33</f>
        <v>0</v>
      </c>
      <c r="H31" s="30"/>
      <c r="I31" s="67">
        <f>'Bang TH nop'!H33</f>
        <v>0</v>
      </c>
      <c r="J31" s="51"/>
      <c r="K31" s="33"/>
      <c r="L31" s="30"/>
      <c r="M31" s="30"/>
      <c r="N31" s="34"/>
      <c r="O31" s="30"/>
      <c r="P31" s="30"/>
      <c r="Q31" s="35"/>
      <c r="R31" s="30"/>
      <c r="S31" s="30"/>
      <c r="T31" s="34"/>
      <c r="U31" s="34"/>
      <c r="V31" s="34"/>
      <c r="W31" s="34"/>
      <c r="X31" s="113"/>
      <c r="Y31" s="36"/>
      <c r="Z31" s="37"/>
    </row>
    <row r="32" spans="1:30" ht="15.6" hidden="1" customHeight="1" outlineLevel="1">
      <c r="A32" s="194"/>
      <c r="B32" s="196"/>
      <c r="C32" s="198"/>
      <c r="D32" s="201"/>
      <c r="E32" s="202"/>
      <c r="F32" s="135"/>
      <c r="G32" s="41">
        <f t="shared" ref="G32" si="98">F32/26*G31</f>
        <v>0</v>
      </c>
      <c r="H32" s="40"/>
      <c r="I32" s="42">
        <f t="shared" ref="I32" si="99">ROUND(4130000/26*I31,)</f>
        <v>0</v>
      </c>
      <c r="J32" s="44"/>
      <c r="K32" s="44"/>
      <c r="L32" s="41"/>
      <c r="M32" s="44"/>
      <c r="N32" s="45">
        <f>12000*G31</f>
        <v>0</v>
      </c>
      <c r="O32" s="44">
        <f>'[1]Bảng TH nộp'!BE32</f>
        <v>0</v>
      </c>
      <c r="P32" s="46"/>
      <c r="Q32" s="52"/>
      <c r="R32" s="40"/>
      <c r="S32" s="40"/>
      <c r="T32" s="48"/>
      <c r="U32" s="41"/>
      <c r="V32" s="48"/>
      <c r="W32" s="48"/>
      <c r="X32" s="114"/>
      <c r="Y32" s="50">
        <f>+IFERROR(VLOOKUP(C31,[2]Nháp!$C$1:$J$1000,8,0),0)</f>
        <v>0</v>
      </c>
      <c r="Z32" s="50">
        <f>+IFERROR(VLOOKUP(C31,[2]Nháp!$C$1:$F$1000,4,0),0)</f>
        <v>0</v>
      </c>
    </row>
    <row r="33" spans="1:26" ht="15.6" hidden="1" customHeight="1" outlineLevel="1">
      <c r="A33" s="193"/>
      <c r="B33" s="195"/>
      <c r="C33" s="197">
        <f>+'Bang TH nop'!C33</f>
        <v>0</v>
      </c>
      <c r="D33" s="199"/>
      <c r="E33" s="200"/>
      <c r="F33" s="134"/>
      <c r="G33" s="31">
        <f>'Bang TH nop'!G35</f>
        <v>0</v>
      </c>
      <c r="H33" s="30"/>
      <c r="I33" s="67">
        <f>'Bang TH nop'!H35</f>
        <v>0</v>
      </c>
      <c r="J33" s="51"/>
      <c r="K33" s="33"/>
      <c r="L33" s="30"/>
      <c r="M33" s="30"/>
      <c r="N33" s="34"/>
      <c r="O33" s="30"/>
      <c r="P33" s="30"/>
      <c r="Q33" s="35"/>
      <c r="R33" s="30"/>
      <c r="S33" s="30"/>
      <c r="T33" s="34"/>
      <c r="U33" s="34"/>
      <c r="V33" s="34"/>
      <c r="W33" s="34"/>
      <c r="X33" s="113"/>
      <c r="Y33" s="36"/>
      <c r="Z33" s="37"/>
    </row>
    <row r="34" spans="1:26" ht="15.6" hidden="1" customHeight="1" outlineLevel="1">
      <c r="A34" s="194"/>
      <c r="B34" s="196"/>
      <c r="C34" s="198"/>
      <c r="D34" s="201"/>
      <c r="E34" s="202"/>
      <c r="F34" s="135"/>
      <c r="G34" s="41">
        <f t="shared" ref="G34" si="100">F34/26*G33</f>
        <v>0</v>
      </c>
      <c r="H34" s="40"/>
      <c r="I34" s="42">
        <f t="shared" ref="I34" si="101">ROUND(4130000/26*I33,)</f>
        <v>0</v>
      </c>
      <c r="J34" s="44"/>
      <c r="K34" s="44"/>
      <c r="L34" s="41"/>
      <c r="M34" s="44"/>
      <c r="N34" s="45">
        <f>12000*G33</f>
        <v>0</v>
      </c>
      <c r="O34" s="44">
        <f>'[1]Bảng TH nộp'!BE34</f>
        <v>0</v>
      </c>
      <c r="P34" s="46"/>
      <c r="Q34" s="52"/>
      <c r="R34" s="40"/>
      <c r="S34" s="40"/>
      <c r="T34" s="48"/>
      <c r="U34" s="41"/>
      <c r="V34" s="48"/>
      <c r="W34" s="48"/>
      <c r="X34" s="114"/>
      <c r="Y34" s="50">
        <f>+IFERROR(VLOOKUP(C33,[2]Nháp!$C$1:$J$1000,8,0),0)</f>
        <v>0</v>
      </c>
      <c r="Z34" s="50">
        <f>+IFERROR(VLOOKUP(C33,[2]Nháp!$C$1:$F$1000,4,0),0)</f>
        <v>0</v>
      </c>
    </row>
    <row r="35" spans="1:26" ht="15.6" hidden="1" customHeight="1" outlineLevel="1">
      <c r="A35" s="193"/>
      <c r="B35" s="195"/>
      <c r="C35" s="197">
        <f>+'Bang TH nop'!C35</f>
        <v>0</v>
      </c>
      <c r="D35" s="199"/>
      <c r="E35" s="200"/>
      <c r="F35" s="134"/>
      <c r="G35" s="31">
        <f>'Bang TH nop'!G37</f>
        <v>0</v>
      </c>
      <c r="H35" s="30"/>
      <c r="I35" s="67">
        <f>'Bang TH nop'!H37</f>
        <v>0</v>
      </c>
      <c r="J35" s="51"/>
      <c r="K35" s="33"/>
      <c r="L35" s="30"/>
      <c r="M35" s="30"/>
      <c r="N35" s="34"/>
      <c r="O35" s="30"/>
      <c r="P35" s="30"/>
      <c r="Q35" s="35"/>
      <c r="R35" s="30"/>
      <c r="S35" s="30"/>
      <c r="T35" s="34"/>
      <c r="U35" s="34"/>
      <c r="V35" s="34"/>
      <c r="W35" s="34"/>
      <c r="X35" s="113"/>
      <c r="Y35" s="36"/>
      <c r="Z35" s="37"/>
    </row>
    <row r="36" spans="1:26" ht="15.6" hidden="1" customHeight="1" outlineLevel="1">
      <c r="A36" s="194"/>
      <c r="B36" s="196"/>
      <c r="C36" s="198"/>
      <c r="D36" s="201"/>
      <c r="E36" s="202"/>
      <c r="F36" s="135"/>
      <c r="G36" s="41">
        <f t="shared" ref="G36" si="102">F36/26*G35</f>
        <v>0</v>
      </c>
      <c r="H36" s="40"/>
      <c r="I36" s="42">
        <f t="shared" ref="I36" si="103">ROUND(4130000/26*I35,)</f>
        <v>0</v>
      </c>
      <c r="J36" s="44"/>
      <c r="K36" s="44"/>
      <c r="L36" s="41"/>
      <c r="M36" s="44"/>
      <c r="N36" s="45">
        <f>12000*G35</f>
        <v>0</v>
      </c>
      <c r="O36" s="44">
        <f>'[1]Bảng TH nộp'!BE36</f>
        <v>0</v>
      </c>
      <c r="P36" s="46"/>
      <c r="Q36" s="52"/>
      <c r="R36" s="40"/>
      <c r="S36" s="40"/>
      <c r="T36" s="48"/>
      <c r="U36" s="41"/>
      <c r="V36" s="48"/>
      <c r="W36" s="48"/>
      <c r="X36" s="114"/>
      <c r="Y36" s="50">
        <f>+IFERROR(VLOOKUP(C35,[2]Nháp!$C$1:$J$1000,8,0),0)</f>
        <v>0</v>
      </c>
      <c r="Z36" s="50">
        <f>+IFERROR(VLOOKUP(C35,[2]Nháp!$C$1:$F$1000,4,0),0)</f>
        <v>0</v>
      </c>
    </row>
    <row r="37" spans="1:26" ht="15.6" hidden="1" customHeight="1" outlineLevel="1">
      <c r="A37" s="193"/>
      <c r="B37" s="195"/>
      <c r="C37" s="197">
        <f>+'Bang TH nop'!C37</f>
        <v>0</v>
      </c>
      <c r="D37" s="199"/>
      <c r="E37" s="200"/>
      <c r="F37" s="134"/>
      <c r="G37" s="31">
        <f>'Bang TH nop'!G39</f>
        <v>0</v>
      </c>
      <c r="H37" s="30"/>
      <c r="I37" s="67">
        <f>'Bang TH nop'!H39</f>
        <v>0</v>
      </c>
      <c r="J37" s="51"/>
      <c r="K37" s="33"/>
      <c r="L37" s="30"/>
      <c r="M37" s="30"/>
      <c r="N37" s="34"/>
      <c r="O37" s="30"/>
      <c r="P37" s="30"/>
      <c r="Q37" s="35"/>
      <c r="R37" s="30"/>
      <c r="S37" s="30"/>
      <c r="T37" s="34"/>
      <c r="U37" s="34"/>
      <c r="V37" s="34"/>
      <c r="W37" s="34"/>
      <c r="X37" s="113"/>
      <c r="Y37" s="36"/>
      <c r="Z37" s="37"/>
    </row>
    <row r="38" spans="1:26" ht="15.6" hidden="1" customHeight="1" outlineLevel="1">
      <c r="A38" s="194"/>
      <c r="B38" s="196"/>
      <c r="C38" s="198"/>
      <c r="D38" s="201"/>
      <c r="E38" s="202"/>
      <c r="F38" s="135"/>
      <c r="G38" s="41">
        <f t="shared" ref="G38" si="104">F38/26*G37</f>
        <v>0</v>
      </c>
      <c r="H38" s="40"/>
      <c r="I38" s="42">
        <f t="shared" ref="I38" si="105">ROUND(4130000/26*I37,)</f>
        <v>0</v>
      </c>
      <c r="J38" s="44"/>
      <c r="K38" s="44"/>
      <c r="L38" s="41"/>
      <c r="M38" s="44"/>
      <c r="N38" s="45">
        <f>12000*G37</f>
        <v>0</v>
      </c>
      <c r="O38" s="44">
        <f>'[1]Bảng TH nộp'!BE38</f>
        <v>0</v>
      </c>
      <c r="P38" s="46"/>
      <c r="Q38" s="52"/>
      <c r="R38" s="40"/>
      <c r="S38" s="40"/>
      <c r="T38" s="48"/>
      <c r="U38" s="41"/>
      <c r="V38" s="48"/>
      <c r="W38" s="48"/>
      <c r="X38" s="114"/>
      <c r="Y38" s="50">
        <f>+IFERROR(VLOOKUP(C37,[2]Nháp!$C$1:$J$1000,8,0),0)</f>
        <v>0</v>
      </c>
      <c r="Z38" s="50">
        <f>+IFERROR(VLOOKUP(C37,[2]Nháp!$C$1:$F$1000,4,0),0)</f>
        <v>0</v>
      </c>
    </row>
    <row r="39" spans="1:26" ht="15.6" hidden="1" customHeight="1" outlineLevel="1">
      <c r="A39" s="193"/>
      <c r="B39" s="195"/>
      <c r="C39" s="197">
        <f>+'Bang TH nop'!C39</f>
        <v>0</v>
      </c>
      <c r="D39" s="199"/>
      <c r="E39" s="200"/>
      <c r="F39" s="134"/>
      <c r="G39" s="31">
        <f>'Bang TH nop'!G41</f>
        <v>0</v>
      </c>
      <c r="H39" s="30"/>
      <c r="I39" s="67">
        <f>'Bang TH nop'!H41</f>
        <v>0</v>
      </c>
      <c r="J39" s="51"/>
      <c r="K39" s="33"/>
      <c r="L39" s="30"/>
      <c r="M39" s="30"/>
      <c r="N39" s="34"/>
      <c r="O39" s="30"/>
      <c r="P39" s="30"/>
      <c r="Q39" s="35"/>
      <c r="R39" s="30"/>
      <c r="S39" s="30"/>
      <c r="T39" s="34"/>
      <c r="U39" s="34"/>
      <c r="V39" s="34"/>
      <c r="W39" s="34"/>
      <c r="X39" s="113"/>
      <c r="Y39" s="36"/>
      <c r="Z39" s="37"/>
    </row>
    <row r="40" spans="1:26" ht="15.6" hidden="1" customHeight="1" outlineLevel="1">
      <c r="A40" s="194"/>
      <c r="B40" s="196"/>
      <c r="C40" s="198"/>
      <c r="D40" s="201"/>
      <c r="E40" s="202"/>
      <c r="F40" s="135"/>
      <c r="G40" s="41">
        <f t="shared" ref="G40" si="106">F40/26*G39</f>
        <v>0</v>
      </c>
      <c r="H40" s="40"/>
      <c r="I40" s="42">
        <f t="shared" ref="I40" si="107">ROUND(4130000/26*I39,)</f>
        <v>0</v>
      </c>
      <c r="J40" s="44"/>
      <c r="K40" s="44"/>
      <c r="L40" s="41"/>
      <c r="M40" s="44"/>
      <c r="N40" s="45">
        <f>12000*G39</f>
        <v>0</v>
      </c>
      <c r="O40" s="44">
        <f>'[1]Bảng TH nộp'!BE40</f>
        <v>0</v>
      </c>
      <c r="P40" s="46"/>
      <c r="Q40" s="52"/>
      <c r="R40" s="40"/>
      <c r="S40" s="40"/>
      <c r="T40" s="48"/>
      <c r="U40" s="41"/>
      <c r="V40" s="48"/>
      <c r="W40" s="48"/>
      <c r="X40" s="114"/>
      <c r="Y40" s="50">
        <f>+IFERROR(VLOOKUP(C39,[2]Nháp!$C$1:$J$1000,8,0),0)</f>
        <v>0</v>
      </c>
      <c r="Z40" s="50">
        <f>+IFERROR(VLOOKUP(C39,[2]Nháp!$C$1:$F$1000,4,0),0)</f>
        <v>0</v>
      </c>
    </row>
    <row r="41" spans="1:26" ht="15.6" hidden="1" customHeight="1" outlineLevel="1">
      <c r="A41" s="193"/>
      <c r="B41" s="195"/>
      <c r="C41" s="197">
        <f>+'Bang TH nop'!C41</f>
        <v>0</v>
      </c>
      <c r="D41" s="199"/>
      <c r="E41" s="200"/>
      <c r="F41" s="134"/>
      <c r="G41" s="31">
        <f>'Bang TH nop'!G43</f>
        <v>0</v>
      </c>
      <c r="H41" s="30"/>
      <c r="I41" s="67">
        <f>'Bang TH nop'!H43</f>
        <v>0</v>
      </c>
      <c r="J41" s="51"/>
      <c r="K41" s="33"/>
      <c r="L41" s="30"/>
      <c r="M41" s="30"/>
      <c r="N41" s="34"/>
      <c r="O41" s="30"/>
      <c r="P41" s="30"/>
      <c r="Q41" s="35"/>
      <c r="R41" s="30"/>
      <c r="S41" s="30"/>
      <c r="T41" s="34"/>
      <c r="U41" s="34"/>
      <c r="V41" s="34"/>
      <c r="W41" s="34"/>
      <c r="X41" s="113"/>
      <c r="Y41" s="36"/>
      <c r="Z41" s="37"/>
    </row>
    <row r="42" spans="1:26" ht="15.6" hidden="1" customHeight="1" outlineLevel="1">
      <c r="A42" s="194"/>
      <c r="B42" s="196"/>
      <c r="C42" s="198"/>
      <c r="D42" s="201"/>
      <c r="E42" s="202"/>
      <c r="F42" s="135"/>
      <c r="G42" s="41">
        <f t="shared" ref="G42" si="108">F42/26*G41</f>
        <v>0</v>
      </c>
      <c r="H42" s="40"/>
      <c r="I42" s="42">
        <f t="shared" ref="I42" si="109">ROUND(4130000/26*I41,)</f>
        <v>0</v>
      </c>
      <c r="J42" s="44"/>
      <c r="K42" s="44"/>
      <c r="L42" s="41"/>
      <c r="M42" s="44"/>
      <c r="N42" s="45">
        <f>12000*G41</f>
        <v>0</v>
      </c>
      <c r="O42" s="44">
        <f>'[1]Bảng TH nộp'!BE42</f>
        <v>0</v>
      </c>
      <c r="P42" s="46"/>
      <c r="Q42" s="52"/>
      <c r="R42" s="40"/>
      <c r="S42" s="40"/>
      <c r="T42" s="48"/>
      <c r="U42" s="41"/>
      <c r="V42" s="48"/>
      <c r="W42" s="48"/>
      <c r="X42" s="114"/>
      <c r="Y42" s="50">
        <f>+IFERROR(VLOOKUP(C41,[2]Nháp!$C$1:$J$1000,8,0),0)</f>
        <v>0</v>
      </c>
      <c r="Z42" s="50">
        <f>+IFERROR(VLOOKUP(C41,[2]Nháp!$C$1:$F$1000,4,0),0)</f>
        <v>0</v>
      </c>
    </row>
    <row r="43" spans="1:26" ht="15.6" hidden="1" customHeight="1" outlineLevel="1">
      <c r="A43" s="193"/>
      <c r="B43" s="195"/>
      <c r="C43" s="197">
        <f>+'Bang TH nop'!C43</f>
        <v>0</v>
      </c>
      <c r="D43" s="199"/>
      <c r="E43" s="200"/>
      <c r="F43" s="134"/>
      <c r="G43" s="31">
        <f>'Bang TH nop'!G45</f>
        <v>0</v>
      </c>
      <c r="H43" s="30"/>
      <c r="I43" s="67">
        <f>'Bang TH nop'!H45</f>
        <v>0</v>
      </c>
      <c r="J43" s="51"/>
      <c r="K43" s="33"/>
      <c r="L43" s="30"/>
      <c r="M43" s="30"/>
      <c r="N43" s="34"/>
      <c r="O43" s="30"/>
      <c r="P43" s="30"/>
      <c r="Q43" s="35"/>
      <c r="R43" s="30"/>
      <c r="S43" s="30"/>
      <c r="T43" s="34"/>
      <c r="U43" s="34"/>
      <c r="V43" s="34"/>
      <c r="W43" s="34"/>
      <c r="X43" s="113"/>
      <c r="Y43" s="36"/>
      <c r="Z43" s="37"/>
    </row>
    <row r="44" spans="1:26" ht="15.6" hidden="1" customHeight="1" outlineLevel="1">
      <c r="A44" s="194"/>
      <c r="B44" s="196"/>
      <c r="C44" s="198"/>
      <c r="D44" s="201"/>
      <c r="E44" s="202"/>
      <c r="F44" s="135"/>
      <c r="G44" s="41">
        <f t="shared" ref="G44" si="110">F44/26*G43</f>
        <v>0</v>
      </c>
      <c r="H44" s="40"/>
      <c r="I44" s="42">
        <f t="shared" ref="I44" si="111">ROUND(4130000/26*I43,)</f>
        <v>0</v>
      </c>
      <c r="J44" s="44"/>
      <c r="K44" s="44"/>
      <c r="L44" s="41"/>
      <c r="M44" s="44"/>
      <c r="N44" s="45">
        <f>12000*G43</f>
        <v>0</v>
      </c>
      <c r="O44" s="44">
        <f>'[1]Bảng TH nộp'!BE44</f>
        <v>0</v>
      </c>
      <c r="P44" s="46"/>
      <c r="Q44" s="52"/>
      <c r="R44" s="40"/>
      <c r="S44" s="40"/>
      <c r="T44" s="48"/>
      <c r="U44" s="41"/>
      <c r="V44" s="48"/>
      <c r="W44" s="48"/>
      <c r="X44" s="114"/>
      <c r="Y44" s="50">
        <f>+IFERROR(VLOOKUP(C43,[2]Nháp!$C$1:$J$1000,8,0),0)</f>
        <v>0</v>
      </c>
      <c r="Z44" s="50">
        <f>+IFERROR(VLOOKUP(C43,[2]Nháp!$C$1:$F$1000,4,0),0)</f>
        <v>0</v>
      </c>
    </row>
    <row r="45" spans="1:26" ht="15.6" hidden="1" customHeight="1" outlineLevel="1">
      <c r="A45" s="193"/>
      <c r="B45" s="195"/>
      <c r="C45" s="197">
        <f>+'Bang TH nop'!C45</f>
        <v>0</v>
      </c>
      <c r="D45" s="199"/>
      <c r="E45" s="200"/>
      <c r="F45" s="134"/>
      <c r="G45" s="31">
        <f>'Bang TH nop'!G47</f>
        <v>0</v>
      </c>
      <c r="H45" s="30"/>
      <c r="I45" s="67">
        <f>'Bang TH nop'!H47</f>
        <v>0</v>
      </c>
      <c r="J45" s="51"/>
      <c r="K45" s="33"/>
      <c r="L45" s="30"/>
      <c r="M45" s="30"/>
      <c r="N45" s="34"/>
      <c r="O45" s="30"/>
      <c r="P45" s="30"/>
      <c r="Q45" s="35"/>
      <c r="R45" s="30"/>
      <c r="S45" s="30"/>
      <c r="T45" s="34"/>
      <c r="U45" s="34"/>
      <c r="V45" s="34"/>
      <c r="W45" s="34"/>
      <c r="X45" s="113"/>
      <c r="Y45" s="36"/>
      <c r="Z45" s="37"/>
    </row>
    <row r="46" spans="1:26" ht="15.6" hidden="1" customHeight="1" outlineLevel="1">
      <c r="A46" s="194"/>
      <c r="B46" s="196"/>
      <c r="C46" s="198"/>
      <c r="D46" s="201"/>
      <c r="E46" s="202"/>
      <c r="F46" s="135"/>
      <c r="G46" s="41">
        <f t="shared" ref="G46" si="112">F46/26*G45</f>
        <v>0</v>
      </c>
      <c r="H46" s="40"/>
      <c r="I46" s="42">
        <f t="shared" ref="I46" si="113">ROUND(4130000/26*I45,)</f>
        <v>0</v>
      </c>
      <c r="J46" s="44"/>
      <c r="K46" s="44"/>
      <c r="L46" s="41"/>
      <c r="M46" s="44"/>
      <c r="N46" s="45">
        <f>12000*G45</f>
        <v>0</v>
      </c>
      <c r="O46" s="44">
        <f>'[1]Bảng TH nộp'!BE46</f>
        <v>0</v>
      </c>
      <c r="P46" s="46"/>
      <c r="Q46" s="52"/>
      <c r="R46" s="40"/>
      <c r="S46" s="40"/>
      <c r="T46" s="48"/>
      <c r="U46" s="41"/>
      <c r="V46" s="48"/>
      <c r="W46" s="48"/>
      <c r="X46" s="114"/>
      <c r="Y46" s="50">
        <f>+IFERROR(VLOOKUP(C45,[2]Nháp!$C$1:$J$1000,8,0),0)</f>
        <v>0</v>
      </c>
      <c r="Z46" s="50">
        <f>+IFERROR(VLOOKUP(C45,[2]Nháp!$C$1:$F$1000,4,0),0)</f>
        <v>0</v>
      </c>
    </row>
    <row r="47" spans="1:26" ht="15.6" hidden="1" customHeight="1" outlineLevel="1">
      <c r="A47" s="193"/>
      <c r="B47" s="195"/>
      <c r="C47" s="197">
        <f>+'Bang TH nop'!C47</f>
        <v>0</v>
      </c>
      <c r="D47" s="199"/>
      <c r="E47" s="200"/>
      <c r="F47" s="134"/>
      <c r="G47" s="31">
        <f>'Bang TH nop'!G49</f>
        <v>0</v>
      </c>
      <c r="H47" s="30"/>
      <c r="I47" s="67">
        <f>'Bang TH nop'!H49</f>
        <v>0</v>
      </c>
      <c r="J47" s="51"/>
      <c r="K47" s="33"/>
      <c r="L47" s="30"/>
      <c r="M47" s="30"/>
      <c r="N47" s="34"/>
      <c r="O47" s="30"/>
      <c r="P47" s="30"/>
      <c r="Q47" s="35"/>
      <c r="R47" s="30"/>
      <c r="S47" s="30"/>
      <c r="T47" s="34"/>
      <c r="U47" s="34"/>
      <c r="V47" s="34"/>
      <c r="W47" s="34"/>
      <c r="X47" s="113"/>
      <c r="Y47" s="36"/>
      <c r="Z47" s="37"/>
    </row>
    <row r="48" spans="1:26" ht="15.6" hidden="1" customHeight="1" outlineLevel="1">
      <c r="A48" s="194"/>
      <c r="B48" s="196"/>
      <c r="C48" s="198"/>
      <c r="D48" s="201"/>
      <c r="E48" s="202"/>
      <c r="F48" s="135"/>
      <c r="G48" s="41">
        <f t="shared" ref="G48" si="114">F48/26*G47</f>
        <v>0</v>
      </c>
      <c r="H48" s="40"/>
      <c r="I48" s="42">
        <f t="shared" ref="I48" si="115">ROUND(4130000/26*I47,)</f>
        <v>0</v>
      </c>
      <c r="J48" s="44"/>
      <c r="K48" s="44"/>
      <c r="L48" s="41"/>
      <c r="M48" s="44"/>
      <c r="N48" s="45">
        <f>12000*G47</f>
        <v>0</v>
      </c>
      <c r="O48" s="44">
        <f>'[1]Bảng TH nộp'!BE48</f>
        <v>0</v>
      </c>
      <c r="P48" s="46"/>
      <c r="Q48" s="52"/>
      <c r="R48" s="40"/>
      <c r="S48" s="40"/>
      <c r="T48" s="48"/>
      <c r="U48" s="41"/>
      <c r="V48" s="48"/>
      <c r="W48" s="48"/>
      <c r="X48" s="114"/>
      <c r="Y48" s="50">
        <f>+IFERROR(VLOOKUP(C47,[2]Nháp!$C$1:$J$1000,8,0),0)</f>
        <v>0</v>
      </c>
      <c r="Z48" s="50">
        <f>+IFERROR(VLOOKUP(C47,[2]Nháp!$C$1:$F$1000,4,0),0)</f>
        <v>0</v>
      </c>
    </row>
    <row r="49" spans="1:26" ht="15.6" hidden="1" customHeight="1" outlineLevel="1">
      <c r="A49" s="193"/>
      <c r="B49" s="195"/>
      <c r="C49" s="197">
        <f>+'Bang TH nop'!C49</f>
        <v>0</v>
      </c>
      <c r="D49" s="209"/>
      <c r="E49" s="200"/>
      <c r="F49" s="134"/>
      <c r="G49" s="31">
        <f>'Bang TH nop'!G51</f>
        <v>0</v>
      </c>
      <c r="H49" s="30"/>
      <c r="I49" s="67">
        <f>'Bang TH nop'!H51</f>
        <v>0</v>
      </c>
      <c r="J49" s="51"/>
      <c r="K49" s="33"/>
      <c r="L49" s="30"/>
      <c r="M49" s="30"/>
      <c r="N49" s="34"/>
      <c r="O49" s="30"/>
      <c r="P49" s="30"/>
      <c r="Q49" s="35"/>
      <c r="R49" s="30"/>
      <c r="S49" s="30"/>
      <c r="T49" s="34"/>
      <c r="U49" s="34"/>
      <c r="V49" s="34"/>
      <c r="W49" s="34"/>
      <c r="X49" s="113"/>
      <c r="Y49" s="36"/>
      <c r="Z49" s="37"/>
    </row>
    <row r="50" spans="1:26" ht="15.6" hidden="1" customHeight="1" outlineLevel="1">
      <c r="A50" s="194"/>
      <c r="B50" s="196"/>
      <c r="C50" s="198"/>
      <c r="D50" s="201"/>
      <c r="E50" s="202"/>
      <c r="F50" s="135"/>
      <c r="G50" s="41">
        <f t="shared" ref="G50" si="116">F50/26*G49</f>
        <v>0</v>
      </c>
      <c r="H50" s="40"/>
      <c r="I50" s="42">
        <f t="shared" ref="I50" si="117">ROUND(4130000/26*I49,)</f>
        <v>0</v>
      </c>
      <c r="J50" s="44"/>
      <c r="K50" s="44"/>
      <c r="L50" s="41"/>
      <c r="M50" s="44"/>
      <c r="N50" s="45">
        <f>12000*G49</f>
        <v>0</v>
      </c>
      <c r="O50" s="44">
        <f>'[1]Bảng TH nộp'!BE50</f>
        <v>0</v>
      </c>
      <c r="P50" s="46"/>
      <c r="Q50" s="52"/>
      <c r="R50" s="40"/>
      <c r="S50" s="40"/>
      <c r="T50" s="48"/>
      <c r="U50" s="48"/>
      <c r="V50" s="48"/>
      <c r="W50" s="48"/>
      <c r="X50" s="114"/>
      <c r="Y50" s="50">
        <f>+IFERROR(VLOOKUP(C49,[2]Nháp!$C$1:$J$1000,8,0),0)</f>
        <v>0</v>
      </c>
      <c r="Z50" s="50">
        <f>+IFERROR(VLOOKUP(C49,[2]Nháp!$C$1:$F$1000,4,0),0)</f>
        <v>0</v>
      </c>
    </row>
    <row r="51" spans="1:26" ht="15" hidden="1" customHeight="1" outlineLevel="1">
      <c r="A51" s="193"/>
      <c r="B51" s="195"/>
      <c r="C51" s="197">
        <f>+'Bang TH nop'!C51</f>
        <v>0</v>
      </c>
      <c r="D51" s="209"/>
      <c r="E51" s="200"/>
      <c r="F51" s="134"/>
      <c r="G51" s="31">
        <f>'Bang TH nop'!G53</f>
        <v>0</v>
      </c>
      <c r="H51" s="30"/>
      <c r="I51" s="67">
        <f>'Bang TH nop'!H53</f>
        <v>0</v>
      </c>
      <c r="J51" s="51"/>
      <c r="K51" s="33"/>
      <c r="L51" s="30"/>
      <c r="M51" s="30"/>
      <c r="N51" s="34"/>
      <c r="O51" s="30"/>
      <c r="P51" s="30"/>
      <c r="Q51" s="35"/>
      <c r="R51" s="30"/>
      <c r="S51" s="30"/>
      <c r="T51" s="34"/>
      <c r="U51" s="34"/>
      <c r="V51" s="34"/>
      <c r="W51" s="34"/>
      <c r="X51" s="113"/>
      <c r="Y51" s="36"/>
      <c r="Z51" s="37"/>
    </row>
    <row r="52" spans="1:26" ht="15" hidden="1" customHeight="1" outlineLevel="1">
      <c r="A52" s="194"/>
      <c r="B52" s="196"/>
      <c r="C52" s="198"/>
      <c r="D52" s="201"/>
      <c r="E52" s="202"/>
      <c r="F52" s="135"/>
      <c r="G52" s="41">
        <f t="shared" ref="G52" si="118">F52/26*G51</f>
        <v>0</v>
      </c>
      <c r="H52" s="40"/>
      <c r="I52" s="42">
        <f t="shared" ref="I52" si="119">ROUND(4130000/26*I51,)</f>
        <v>0</v>
      </c>
      <c r="J52" s="44"/>
      <c r="K52" s="44"/>
      <c r="L52" s="41"/>
      <c r="M52" s="44"/>
      <c r="N52" s="45">
        <f>12000*G51</f>
        <v>0</v>
      </c>
      <c r="O52" s="44">
        <f>'[1]Bảng TH nộp'!BE52</f>
        <v>0</v>
      </c>
      <c r="P52" s="46"/>
      <c r="Q52" s="52"/>
      <c r="R52" s="40"/>
      <c r="S52" s="40"/>
      <c r="T52" s="48"/>
      <c r="U52" s="48"/>
      <c r="V52" s="48"/>
      <c r="W52" s="48"/>
      <c r="X52" s="114"/>
      <c r="Y52" s="50">
        <f>+IFERROR(VLOOKUP(C51,[2]Nháp!$C$1:$J$1000,8,0),0)</f>
        <v>0</v>
      </c>
      <c r="Z52" s="50">
        <f>+IFERROR(VLOOKUP(C51,[2]Nháp!$C$1:$F$1000,4,0),0)</f>
        <v>0</v>
      </c>
    </row>
    <row r="53" spans="1:26" ht="15" hidden="1" customHeight="1" outlineLevel="1">
      <c r="A53" s="193"/>
      <c r="B53" s="195"/>
      <c r="C53" s="197">
        <f>+'Bang TH nop'!C53</f>
        <v>0</v>
      </c>
      <c r="D53" s="209"/>
      <c r="E53" s="200"/>
      <c r="F53" s="134"/>
      <c r="G53" s="31">
        <f>'Bang TH nop'!G55</f>
        <v>0</v>
      </c>
      <c r="H53" s="30"/>
      <c r="I53" s="67">
        <f>'Bang TH nop'!H55</f>
        <v>0</v>
      </c>
      <c r="J53" s="51"/>
      <c r="K53" s="33"/>
      <c r="L53" s="30"/>
      <c r="M53" s="30"/>
      <c r="N53" s="34"/>
      <c r="O53" s="30"/>
      <c r="P53" s="30"/>
      <c r="Q53" s="35"/>
      <c r="R53" s="30"/>
      <c r="S53" s="30"/>
      <c r="T53" s="34"/>
      <c r="U53" s="34"/>
      <c r="V53" s="34"/>
      <c r="W53" s="34"/>
      <c r="X53" s="113"/>
      <c r="Y53" s="36"/>
      <c r="Z53" s="37"/>
    </row>
    <row r="54" spans="1:26" ht="15" hidden="1" customHeight="1" outlineLevel="1">
      <c r="A54" s="194"/>
      <c r="B54" s="196"/>
      <c r="C54" s="198"/>
      <c r="D54" s="201"/>
      <c r="E54" s="202"/>
      <c r="F54" s="135"/>
      <c r="G54" s="41">
        <f t="shared" ref="G54" si="120">F54/26*G53</f>
        <v>0</v>
      </c>
      <c r="H54" s="40"/>
      <c r="I54" s="42">
        <f t="shared" ref="I54" si="121">ROUND(4130000/26*I53,)</f>
        <v>0</v>
      </c>
      <c r="J54" s="44"/>
      <c r="K54" s="44"/>
      <c r="L54" s="41"/>
      <c r="M54" s="44"/>
      <c r="N54" s="45">
        <f>12000*G53</f>
        <v>0</v>
      </c>
      <c r="O54" s="44">
        <f>'[1]Bảng TH nộp'!BE54</f>
        <v>0</v>
      </c>
      <c r="P54" s="46"/>
      <c r="Q54" s="52"/>
      <c r="R54" s="40"/>
      <c r="S54" s="40"/>
      <c r="T54" s="48"/>
      <c r="U54" s="48"/>
      <c r="V54" s="48"/>
      <c r="W54" s="48"/>
      <c r="X54" s="114"/>
      <c r="Y54" s="50">
        <f>+IFERROR(VLOOKUP(C53,[2]Nháp!$C$1:$J$1000,8,0),0)</f>
        <v>0</v>
      </c>
      <c r="Z54" s="50">
        <f>+IFERROR(VLOOKUP(C53,[2]Nháp!$C$1:$F$1000,4,0),0)</f>
        <v>0</v>
      </c>
    </row>
    <row r="55" spans="1:26" ht="15" hidden="1" customHeight="1" outlineLevel="1">
      <c r="A55" s="193"/>
      <c r="B55" s="195"/>
      <c r="C55" s="197">
        <f>+'Bang TH nop'!C55</f>
        <v>0</v>
      </c>
      <c r="D55" s="209"/>
      <c r="E55" s="200"/>
      <c r="F55" s="134"/>
      <c r="G55" s="31">
        <f>'Bang TH nop'!G57</f>
        <v>0</v>
      </c>
      <c r="H55" s="30"/>
      <c r="I55" s="67">
        <f>'Bang TH nop'!H57</f>
        <v>0</v>
      </c>
      <c r="J55" s="51"/>
      <c r="K55" s="33"/>
      <c r="L55" s="30"/>
      <c r="M55" s="30"/>
      <c r="N55" s="34"/>
      <c r="O55" s="30"/>
      <c r="P55" s="30"/>
      <c r="Q55" s="35"/>
      <c r="R55" s="30"/>
      <c r="S55" s="30"/>
      <c r="T55" s="34"/>
      <c r="U55" s="34"/>
      <c r="V55" s="34"/>
      <c r="W55" s="34"/>
      <c r="X55" s="113"/>
      <c r="Y55" s="36"/>
      <c r="Z55" s="37"/>
    </row>
    <row r="56" spans="1:26" ht="15" hidden="1" customHeight="1" outlineLevel="1">
      <c r="A56" s="194"/>
      <c r="B56" s="196"/>
      <c r="C56" s="198"/>
      <c r="D56" s="201"/>
      <c r="E56" s="202"/>
      <c r="F56" s="135"/>
      <c r="G56" s="41">
        <f t="shared" ref="G56" si="122">F56/26*G55</f>
        <v>0</v>
      </c>
      <c r="H56" s="40"/>
      <c r="I56" s="42">
        <f t="shared" ref="I56" si="123">ROUND(4130000/26*I55,)</f>
        <v>0</v>
      </c>
      <c r="J56" s="44"/>
      <c r="K56" s="44"/>
      <c r="L56" s="41"/>
      <c r="M56" s="44"/>
      <c r="N56" s="45">
        <f>12000*G55</f>
        <v>0</v>
      </c>
      <c r="O56" s="44">
        <f>'[1]Bảng TH nộp'!BE56</f>
        <v>0</v>
      </c>
      <c r="P56" s="46"/>
      <c r="Q56" s="52"/>
      <c r="R56" s="40"/>
      <c r="S56" s="40"/>
      <c r="T56" s="48"/>
      <c r="U56" s="48"/>
      <c r="V56" s="48"/>
      <c r="W56" s="48"/>
      <c r="X56" s="114"/>
      <c r="Y56" s="50">
        <f>+IFERROR(VLOOKUP(C55,[2]Nháp!$C$1:$J$1000,8,0),0)</f>
        <v>0</v>
      </c>
      <c r="Z56" s="50">
        <f>+IFERROR(VLOOKUP(C55,[2]Nháp!$C$1:$F$1000,4,0),0)</f>
        <v>0</v>
      </c>
    </row>
    <row r="57" spans="1:26" ht="15" hidden="1" customHeight="1" outlineLevel="1">
      <c r="A57" s="193"/>
      <c r="B57" s="195"/>
      <c r="C57" s="197">
        <f>+'Bang TH nop'!C57</f>
        <v>0</v>
      </c>
      <c r="D57" s="209"/>
      <c r="E57" s="200"/>
      <c r="F57" s="134"/>
      <c r="G57" s="31">
        <f>'Bang TH nop'!G59</f>
        <v>0</v>
      </c>
      <c r="H57" s="30"/>
      <c r="I57" s="67">
        <f>'Bang TH nop'!H59</f>
        <v>0</v>
      </c>
      <c r="J57" s="51"/>
      <c r="K57" s="33"/>
      <c r="L57" s="30"/>
      <c r="M57" s="30"/>
      <c r="N57" s="34"/>
      <c r="O57" s="30"/>
      <c r="P57" s="30"/>
      <c r="Q57" s="35"/>
      <c r="R57" s="30"/>
      <c r="S57" s="30"/>
      <c r="T57" s="34"/>
      <c r="U57" s="34"/>
      <c r="V57" s="34"/>
      <c r="W57" s="34"/>
      <c r="X57" s="113"/>
      <c r="Y57" s="36"/>
      <c r="Z57" s="37"/>
    </row>
    <row r="58" spans="1:26" ht="15" hidden="1" customHeight="1" outlineLevel="1">
      <c r="A58" s="194"/>
      <c r="B58" s="196"/>
      <c r="C58" s="198"/>
      <c r="D58" s="201"/>
      <c r="E58" s="202"/>
      <c r="F58" s="135"/>
      <c r="G58" s="41">
        <f t="shared" ref="G58" si="124">F58/26*G57</f>
        <v>0</v>
      </c>
      <c r="H58" s="40"/>
      <c r="I58" s="42">
        <f t="shared" ref="I58" si="125">ROUND(4130000/26*I57,)</f>
        <v>0</v>
      </c>
      <c r="J58" s="44"/>
      <c r="K58" s="44"/>
      <c r="L58" s="41"/>
      <c r="M58" s="44"/>
      <c r="N58" s="45">
        <f>12000*G57</f>
        <v>0</v>
      </c>
      <c r="O58" s="44">
        <f>'[1]Bảng TH nộp'!BE58</f>
        <v>0</v>
      </c>
      <c r="P58" s="46"/>
      <c r="Q58" s="52"/>
      <c r="R58" s="40"/>
      <c r="S58" s="40"/>
      <c r="T58" s="48"/>
      <c r="U58" s="48"/>
      <c r="V58" s="48"/>
      <c r="W58" s="48"/>
      <c r="X58" s="114"/>
      <c r="Y58" s="50">
        <f>+IFERROR(VLOOKUP(C57,[2]Nháp!$C$1:$J$1000,8,0),0)</f>
        <v>0</v>
      </c>
      <c r="Z58" s="50">
        <f>+IFERROR(VLOOKUP(C57,[2]Nháp!$C$1:$F$1000,4,0),0)</f>
        <v>0</v>
      </c>
    </row>
    <row r="59" spans="1:26" ht="15" hidden="1" customHeight="1" outlineLevel="1">
      <c r="A59" s="193"/>
      <c r="B59" s="195"/>
      <c r="C59" s="197">
        <f>+'Bang TH nop'!C59</f>
        <v>0</v>
      </c>
      <c r="D59" s="209"/>
      <c r="E59" s="200"/>
      <c r="F59" s="134"/>
      <c r="G59" s="31">
        <f>'Bang TH nop'!G61</f>
        <v>0</v>
      </c>
      <c r="H59" s="30"/>
      <c r="I59" s="67">
        <f>'Bang TH nop'!H61</f>
        <v>0</v>
      </c>
      <c r="J59" s="51"/>
      <c r="K59" s="33"/>
      <c r="L59" s="30"/>
      <c r="M59" s="30"/>
      <c r="N59" s="34"/>
      <c r="O59" s="30"/>
      <c r="P59" s="30"/>
      <c r="Q59" s="35"/>
      <c r="R59" s="30"/>
      <c r="S59" s="30"/>
      <c r="T59" s="34"/>
      <c r="U59" s="34"/>
      <c r="V59" s="34"/>
      <c r="W59" s="34"/>
      <c r="X59" s="113"/>
      <c r="Y59" s="36"/>
      <c r="Z59" s="37"/>
    </row>
    <row r="60" spans="1:26" ht="15" hidden="1" customHeight="1" outlineLevel="1">
      <c r="A60" s="194"/>
      <c r="B60" s="196"/>
      <c r="C60" s="198"/>
      <c r="D60" s="201"/>
      <c r="E60" s="202"/>
      <c r="F60" s="135"/>
      <c r="G60" s="41">
        <f t="shared" ref="G60" si="126">F60/26*G59</f>
        <v>0</v>
      </c>
      <c r="H60" s="40"/>
      <c r="I60" s="42">
        <f t="shared" ref="I60" si="127">ROUND(4130000/26*I59,)</f>
        <v>0</v>
      </c>
      <c r="J60" s="44"/>
      <c r="K60" s="44"/>
      <c r="L60" s="41"/>
      <c r="M60" s="44"/>
      <c r="N60" s="45">
        <f>12000*G59</f>
        <v>0</v>
      </c>
      <c r="O60" s="44">
        <f>'[1]Bảng TH nộp'!BE60</f>
        <v>0</v>
      </c>
      <c r="P60" s="46"/>
      <c r="Q60" s="52"/>
      <c r="R60" s="40"/>
      <c r="S60" s="40"/>
      <c r="T60" s="48"/>
      <c r="U60" s="48"/>
      <c r="V60" s="48"/>
      <c r="W60" s="48"/>
      <c r="X60" s="114"/>
      <c r="Y60" s="50">
        <f>+IFERROR(VLOOKUP(C59,[2]Nháp!$C$1:$J$1000,8,0),0)</f>
        <v>0</v>
      </c>
      <c r="Z60" s="50">
        <f>+IFERROR(VLOOKUP(C59,[2]Nháp!$C$1:$F$1000,4,0),0)</f>
        <v>0</v>
      </c>
    </row>
    <row r="61" spans="1:26" ht="15" hidden="1" customHeight="1" outlineLevel="1">
      <c r="A61" s="193"/>
      <c r="B61" s="195"/>
      <c r="C61" s="197">
        <f>+'Bang TH nop'!C61</f>
        <v>0</v>
      </c>
      <c r="D61" s="209"/>
      <c r="E61" s="200"/>
      <c r="F61" s="134"/>
      <c r="G61" s="31">
        <f>'Bang TH nop'!G63</f>
        <v>0</v>
      </c>
      <c r="H61" s="30"/>
      <c r="I61" s="67">
        <f>'Bang TH nop'!H63</f>
        <v>0</v>
      </c>
      <c r="J61" s="51"/>
      <c r="K61" s="33"/>
      <c r="L61" s="30"/>
      <c r="M61" s="30"/>
      <c r="N61" s="34"/>
      <c r="O61" s="30"/>
      <c r="P61" s="30"/>
      <c r="Q61" s="35"/>
      <c r="R61" s="30"/>
      <c r="S61" s="30"/>
      <c r="T61" s="34"/>
      <c r="U61" s="34"/>
      <c r="V61" s="34"/>
      <c r="W61" s="34"/>
      <c r="X61" s="113"/>
      <c r="Y61" s="36"/>
      <c r="Z61" s="37"/>
    </row>
    <row r="62" spans="1:26" ht="15" hidden="1" customHeight="1" outlineLevel="1">
      <c r="A62" s="194"/>
      <c r="B62" s="196"/>
      <c r="C62" s="198"/>
      <c r="D62" s="201"/>
      <c r="E62" s="202"/>
      <c r="F62" s="135"/>
      <c r="G62" s="41">
        <f t="shared" ref="G62" si="128">F62/26*G61</f>
        <v>0</v>
      </c>
      <c r="H62" s="40"/>
      <c r="I62" s="42">
        <f t="shared" ref="I62" si="129">ROUND(4130000/26*I61,)</f>
        <v>0</v>
      </c>
      <c r="J62" s="44"/>
      <c r="K62" s="44"/>
      <c r="L62" s="41"/>
      <c r="M62" s="44"/>
      <c r="N62" s="45">
        <f>12000*G61</f>
        <v>0</v>
      </c>
      <c r="O62" s="44">
        <f>'[1]Bảng TH nộp'!BE62</f>
        <v>0</v>
      </c>
      <c r="P62" s="46"/>
      <c r="Q62" s="52"/>
      <c r="R62" s="40"/>
      <c r="S62" s="40"/>
      <c r="T62" s="48"/>
      <c r="U62" s="48"/>
      <c r="V62" s="48"/>
      <c r="W62" s="48"/>
      <c r="X62" s="114"/>
      <c r="Y62" s="50">
        <f>+IFERROR(VLOOKUP(C61,[2]Nháp!$C$1:$J$1000,8,0),0)</f>
        <v>0</v>
      </c>
      <c r="Z62" s="50">
        <f>+IFERROR(VLOOKUP(C61,[2]Nháp!$C$1:$F$1000,4,0),0)</f>
        <v>0</v>
      </c>
    </row>
    <row r="63" spans="1:26" ht="16.5" hidden="1" customHeight="1" outlineLevel="1">
      <c r="A63" s="193"/>
      <c r="B63" s="218"/>
      <c r="C63" s="197">
        <f>+'Bang TH nop'!C63</f>
        <v>0</v>
      </c>
      <c r="D63" s="209"/>
      <c r="E63" s="200"/>
      <c r="F63" s="134"/>
      <c r="G63" s="31">
        <f>'Bang TH nop'!G65</f>
        <v>0</v>
      </c>
      <c r="H63" s="30"/>
      <c r="I63" s="67">
        <f>'Bang TH nop'!H65</f>
        <v>0</v>
      </c>
      <c r="J63" s="51"/>
      <c r="K63" s="33"/>
      <c r="L63" s="30"/>
      <c r="M63" s="30"/>
      <c r="N63" s="34"/>
      <c r="O63" s="30"/>
      <c r="P63" s="30"/>
      <c r="Q63" s="35"/>
      <c r="R63" s="30"/>
      <c r="S63" s="30"/>
      <c r="T63" s="34"/>
      <c r="U63" s="34"/>
      <c r="V63" s="34"/>
      <c r="W63" s="34"/>
      <c r="X63" s="113"/>
      <c r="Y63" s="36"/>
      <c r="Z63" s="37"/>
    </row>
    <row r="64" spans="1:26" ht="16.5" hidden="1" customHeight="1" outlineLevel="1">
      <c r="A64" s="194"/>
      <c r="B64" s="219"/>
      <c r="C64" s="198"/>
      <c r="D64" s="201"/>
      <c r="E64" s="202"/>
      <c r="F64" s="135"/>
      <c r="G64" s="41">
        <f t="shared" ref="G64" si="130">F64/26*G63</f>
        <v>0</v>
      </c>
      <c r="H64" s="40"/>
      <c r="I64" s="42">
        <f t="shared" ref="I64" si="131">ROUND(4130000/26*I63,)</f>
        <v>0</v>
      </c>
      <c r="J64" s="44"/>
      <c r="K64" s="44"/>
      <c r="L64" s="41"/>
      <c r="M64" s="44"/>
      <c r="N64" s="45">
        <f>12000*G63</f>
        <v>0</v>
      </c>
      <c r="O64" s="44">
        <f>'[1]Bảng TH nộp'!BE64</f>
        <v>0</v>
      </c>
      <c r="P64" s="46"/>
      <c r="Q64" s="52"/>
      <c r="R64" s="40"/>
      <c r="S64" s="40"/>
      <c r="T64" s="48"/>
      <c r="U64" s="48"/>
      <c r="V64" s="48"/>
      <c r="W64" s="48"/>
      <c r="X64" s="114"/>
      <c r="Y64" s="50">
        <f>+IFERROR(VLOOKUP(C63,[2]Nháp!$C$1:$J$1000,8,0),0)</f>
        <v>0</v>
      </c>
      <c r="Z64" s="50">
        <f>+IFERROR(VLOOKUP(C63,[2]Nháp!$C$1:$F$1000,4,0),0)</f>
        <v>0</v>
      </c>
    </row>
    <row r="65" spans="1:30" collapsed="1">
      <c r="A65" s="212"/>
      <c r="B65" s="214" t="s">
        <v>30</v>
      </c>
      <c r="C65" s="216"/>
      <c r="D65" s="53"/>
      <c r="E65" s="53"/>
      <c r="F65" s="53"/>
      <c r="G65" s="53">
        <f t="shared" ref="G65:K66" si="132">G9+G11+G13+G15+G17+G19+G21+G23+G25+G27+G29+G31+G33+G35+G37+G39+G41+G43+G45+G47+G49</f>
        <v>0</v>
      </c>
      <c r="H65" s="53">
        <f t="shared" si="132"/>
        <v>0</v>
      </c>
      <c r="I65" s="53">
        <f t="shared" si="132"/>
        <v>0</v>
      </c>
      <c r="J65" s="53">
        <f t="shared" si="132"/>
        <v>0</v>
      </c>
      <c r="K65" s="53">
        <f t="shared" si="132"/>
        <v>0</v>
      </c>
      <c r="L65" s="53">
        <f t="shared" ref="L65:L66" si="133">L7+L9+L11+L13+L15+L17+L19+L21+L23+L25+L27+L29+L31+L33+L35+L37+L39+L41+L43+L45+L47+L49</f>
        <v>0</v>
      </c>
      <c r="M65" s="53">
        <f>M7+M9+M11+M13+M15+M17+M19+M21+M23+M25+M27+M29+M31+M33+M35+M37+M39+M41+M43+M45+M47+M49</f>
        <v>0</v>
      </c>
      <c r="N65" s="53">
        <f t="shared" ref="N65:W65" si="134">N9+N11+N13+N15+N17+N19+N21+N23+N25+N27+N29+N31+N33+N35+N37+N39+N41+N43+N45+N47+N49</f>
        <v>0</v>
      </c>
      <c r="O65" s="53">
        <f t="shared" si="134"/>
        <v>0</v>
      </c>
      <c r="P65" s="53">
        <f t="shared" si="134"/>
        <v>0</v>
      </c>
      <c r="Q65" s="53">
        <f t="shared" si="134"/>
        <v>0</v>
      </c>
      <c r="R65" s="53">
        <f t="shared" si="134"/>
        <v>0</v>
      </c>
      <c r="S65" s="53">
        <f t="shared" si="134"/>
        <v>0</v>
      </c>
      <c r="T65" s="53">
        <f t="shared" si="134"/>
        <v>0</v>
      </c>
      <c r="U65" s="53">
        <f t="shared" si="134"/>
        <v>0</v>
      </c>
      <c r="V65" s="53">
        <f t="shared" si="134"/>
        <v>0</v>
      </c>
      <c r="W65" s="53">
        <f t="shared" si="134"/>
        <v>0</v>
      </c>
      <c r="X65" s="148"/>
    </row>
    <row r="66" spans="1:30" ht="21.75" customHeight="1">
      <c r="A66" s="213"/>
      <c r="B66" s="215"/>
      <c r="C66" s="216"/>
      <c r="D66" s="53"/>
      <c r="E66" s="53"/>
      <c r="F66" s="53"/>
      <c r="G66" s="53">
        <f t="shared" si="132"/>
        <v>0</v>
      </c>
      <c r="H66" s="53">
        <f t="shared" si="132"/>
        <v>0</v>
      </c>
      <c r="I66" s="53">
        <f t="shared" si="132"/>
        <v>0</v>
      </c>
      <c r="J66" s="53">
        <f t="shared" si="132"/>
        <v>0</v>
      </c>
      <c r="K66" s="53">
        <f t="shared" si="132"/>
        <v>0</v>
      </c>
      <c r="L66" s="53">
        <f t="shared" si="133"/>
        <v>10</v>
      </c>
      <c r="M66" s="53">
        <f>M8+M10+M12+M14+M16+M18+M20+M22+M24+M26+M28+M30+M32+M34+M36+M38+M40+M42+M44+M46+M48+M50</f>
        <v>11</v>
      </c>
      <c r="N66" s="53">
        <f t="shared" ref="N66:W66" si="135">N10+N12+N14+N16+N18+N20+N22+N24+N26+N28+N30+N32+N34+N36+N38+N40+N42+N44+N46+N48+N50</f>
        <v>0</v>
      </c>
      <c r="O66" s="53">
        <f t="shared" si="135"/>
        <v>0</v>
      </c>
      <c r="P66" s="53">
        <f t="shared" si="135"/>
        <v>0</v>
      </c>
      <c r="Q66" s="53">
        <f t="shared" si="135"/>
        <v>0</v>
      </c>
      <c r="R66" s="53">
        <f t="shared" si="135"/>
        <v>0</v>
      </c>
      <c r="S66" s="53">
        <f t="shared" si="135"/>
        <v>0</v>
      </c>
      <c r="T66" s="53">
        <f t="shared" si="135"/>
        <v>0</v>
      </c>
      <c r="U66" s="53">
        <f t="shared" si="135"/>
        <v>0</v>
      </c>
      <c r="V66" s="53">
        <f t="shared" si="135"/>
        <v>0</v>
      </c>
      <c r="W66" s="53">
        <f t="shared" si="135"/>
        <v>0</v>
      </c>
      <c r="X66" s="148">
        <f>X10+X12+X14+X16+X18+X20+X22+X24+X26+X28+X30+X32+X34+X36+X38+X40+X42+X44+X46+X48+X50</f>
        <v>0</v>
      </c>
      <c r="Y66" s="61" t="e">
        <f>+T66/(X66+K65)*(X67+2)</f>
        <v>#DIV/0!</v>
      </c>
      <c r="Z66" s="61" t="e">
        <f>AD67/X66*X67</f>
        <v>#DIV/0!</v>
      </c>
      <c r="AA66" s="111"/>
      <c r="AB66" s="112"/>
    </row>
    <row r="67" spans="1:30" ht="20.25">
      <c r="X67" s="23">
        <f>+AVERAGE(X9:X22)</f>
        <v>0</v>
      </c>
      <c r="Y67" s="61" t="e">
        <f>+Y66/(X67+2)</f>
        <v>#DIV/0!</v>
      </c>
      <c r="Z67" s="61" t="e">
        <f>+Z66/X67</f>
        <v>#DIV/0!</v>
      </c>
      <c r="AA67" s="111"/>
      <c r="AD67" s="53">
        <f>+AD10+AD12+AD14+AD16+AD22</f>
        <v>0</v>
      </c>
    </row>
    <row r="68" spans="1:30">
      <c r="B68" s="54"/>
      <c r="E68" s="220" t="s">
        <v>158</v>
      </c>
      <c r="F68" s="220"/>
      <c r="G68" s="220"/>
      <c r="I68" s="55" t="e" cm="1">
        <f t="array" aca="1" ref="I68" ca="1">+_xll.VND(W66)</f>
        <v>#NAME?</v>
      </c>
      <c r="M68" s="56"/>
      <c r="T68" s="57"/>
    </row>
    <row r="69" spans="1:30" ht="17.25" customHeight="1">
      <c r="T69" s="57"/>
      <c r="V69" s="58" t="s">
        <v>182</v>
      </c>
    </row>
    <row r="70" spans="1:30">
      <c r="A70" s="217" t="s">
        <v>31</v>
      </c>
      <c r="B70" s="217"/>
      <c r="C70" s="127"/>
      <c r="D70" s="56"/>
      <c r="E70" s="56"/>
      <c r="F70" s="56"/>
      <c r="G70" s="56"/>
      <c r="H70" s="56"/>
      <c r="I70" s="56"/>
      <c r="J70" s="56"/>
      <c r="K70" s="56"/>
      <c r="L70" s="5"/>
      <c r="M70" s="5"/>
      <c r="N70" s="59"/>
      <c r="O70" s="56"/>
      <c r="P70" s="56"/>
      <c r="Q70" s="60"/>
      <c r="S70" s="56"/>
      <c r="T70" s="57"/>
      <c r="U70" s="210" t="s">
        <v>14</v>
      </c>
      <c r="V70" s="210"/>
      <c r="W70" s="210"/>
    </row>
    <row r="71" spans="1:30">
      <c r="A71" s="56"/>
      <c r="B71" s="56"/>
      <c r="C71" s="127"/>
      <c r="D71" s="56"/>
      <c r="E71" s="56"/>
      <c r="F71" s="56"/>
      <c r="G71" s="56"/>
      <c r="H71" s="56"/>
      <c r="I71" s="56"/>
      <c r="J71" s="56"/>
      <c r="K71" s="56"/>
      <c r="L71" s="5"/>
      <c r="M71" s="5"/>
      <c r="N71" s="59"/>
      <c r="O71" s="56"/>
      <c r="P71" s="56"/>
      <c r="Q71" s="60"/>
      <c r="S71" s="56"/>
      <c r="T71" s="57"/>
      <c r="U71" s="61"/>
      <c r="V71" s="62"/>
      <c r="W71" s="61"/>
    </row>
    <row r="74" spans="1:30" hidden="1">
      <c r="E74" s="63"/>
      <c r="F74" s="63"/>
    </row>
    <row r="75" spans="1:30">
      <c r="A75" s="156" t="s">
        <v>166</v>
      </c>
      <c r="B75" s="156"/>
      <c r="U75" s="211" t="s">
        <v>169</v>
      </c>
      <c r="V75" s="211"/>
      <c r="W75" s="211"/>
    </row>
    <row r="79" spans="1:30">
      <c r="T79" s="64"/>
      <c r="U79" s="64"/>
      <c r="V79" s="64"/>
      <c r="W79" s="64"/>
    </row>
    <row r="80" spans="1:30">
      <c r="R80" s="65"/>
      <c r="T80" s="64"/>
      <c r="U80" s="64"/>
      <c r="V80" s="64"/>
      <c r="W80" s="64"/>
    </row>
    <row r="81" spans="18:23">
      <c r="R81" s="65"/>
      <c r="T81" s="64"/>
      <c r="U81" s="64"/>
      <c r="V81" s="64"/>
      <c r="W81" s="64"/>
    </row>
    <row r="82" spans="18:23">
      <c r="R82" s="65"/>
      <c r="T82" s="64"/>
      <c r="U82" s="64"/>
      <c r="V82" s="64"/>
      <c r="W82" s="64"/>
    </row>
    <row r="83" spans="18:23">
      <c r="R83" s="65"/>
      <c r="T83" s="64"/>
      <c r="U83" s="64"/>
      <c r="V83" s="64"/>
      <c r="W83" s="64"/>
    </row>
    <row r="84" spans="18:23">
      <c r="R84" s="65"/>
      <c r="T84" s="64"/>
      <c r="U84" s="64"/>
      <c r="V84" s="64"/>
      <c r="W84" s="64"/>
    </row>
    <row r="85" spans="18:23">
      <c r="R85" s="65"/>
      <c r="T85" s="64"/>
      <c r="U85" s="64"/>
      <c r="V85" s="64"/>
      <c r="W85" s="64"/>
    </row>
    <row r="86" spans="18:23">
      <c r="R86" s="65"/>
      <c r="T86" s="64"/>
      <c r="U86" s="64"/>
      <c r="V86" s="64"/>
      <c r="W86" s="64"/>
    </row>
    <row r="87" spans="18:23">
      <c r="R87" s="65"/>
      <c r="T87" s="64"/>
      <c r="U87" s="64"/>
      <c r="V87" s="64"/>
      <c r="W87" s="64"/>
    </row>
    <row r="88" spans="18:23">
      <c r="R88" s="65"/>
      <c r="T88" s="64"/>
      <c r="U88" s="64"/>
      <c r="V88" s="64"/>
      <c r="W88" s="64"/>
    </row>
    <row r="89" spans="18:23">
      <c r="R89" s="65"/>
      <c r="T89" s="64"/>
      <c r="U89" s="64"/>
      <c r="V89" s="64"/>
      <c r="W89" s="64"/>
    </row>
    <row r="90" spans="18:23">
      <c r="R90" s="65"/>
      <c r="T90" s="64"/>
      <c r="U90" s="64"/>
      <c r="V90" s="64"/>
      <c r="W90" s="64"/>
    </row>
    <row r="91" spans="18:23">
      <c r="R91" s="65"/>
      <c r="T91" s="64"/>
      <c r="U91" s="64"/>
      <c r="V91" s="64"/>
      <c r="W91" s="64"/>
    </row>
    <row r="92" spans="18:23">
      <c r="R92" s="65"/>
      <c r="T92" s="64"/>
      <c r="U92" s="64"/>
      <c r="V92" s="64"/>
      <c r="W92" s="64"/>
    </row>
    <row r="93" spans="18:23">
      <c r="R93" s="65"/>
      <c r="T93" s="64"/>
      <c r="U93" s="64"/>
      <c r="V93" s="64"/>
      <c r="W93" s="64"/>
    </row>
    <row r="94" spans="18:23">
      <c r="R94" s="65"/>
      <c r="T94" s="64"/>
      <c r="U94" s="64"/>
      <c r="V94" s="64"/>
      <c r="W94" s="64"/>
    </row>
    <row r="95" spans="18:23">
      <c r="R95" s="65"/>
      <c r="T95" s="64"/>
      <c r="U95" s="64"/>
      <c r="V95" s="64"/>
      <c r="W95" s="64"/>
    </row>
    <row r="96" spans="18:23">
      <c r="T96" s="64"/>
      <c r="U96" s="64"/>
      <c r="V96" s="64"/>
      <c r="W96" s="64"/>
    </row>
    <row r="97" spans="20:23">
      <c r="T97" s="64"/>
      <c r="U97" s="64"/>
      <c r="V97" s="64"/>
      <c r="W97" s="64"/>
    </row>
    <row r="116" spans="2:2">
      <c r="B116" s="23" t="s">
        <v>32</v>
      </c>
    </row>
    <row r="117" spans="2:2">
      <c r="B117" s="23" t="s">
        <v>33</v>
      </c>
    </row>
    <row r="118" spans="2:2">
      <c r="B118" s="23">
        <f>700*38/100</f>
        <v>266</v>
      </c>
    </row>
  </sheetData>
  <mergeCells count="181">
    <mergeCell ref="A59:A60"/>
    <mergeCell ref="B59:B60"/>
    <mergeCell ref="C59:C60"/>
    <mergeCell ref="D59:E59"/>
    <mergeCell ref="D60:E60"/>
    <mergeCell ref="U70:W70"/>
    <mergeCell ref="U75:W75"/>
    <mergeCell ref="A65:A66"/>
    <mergeCell ref="B65:B66"/>
    <mergeCell ref="C65:C66"/>
    <mergeCell ref="A70:B70"/>
    <mergeCell ref="A75:B75"/>
    <mergeCell ref="A61:A62"/>
    <mergeCell ref="B61:B62"/>
    <mergeCell ref="C61:C62"/>
    <mergeCell ref="D61:E61"/>
    <mergeCell ref="D62:E62"/>
    <mergeCell ref="A63:A64"/>
    <mergeCell ref="B63:B64"/>
    <mergeCell ref="C63:C64"/>
    <mergeCell ref="D63:E63"/>
    <mergeCell ref="D64:E64"/>
    <mergeCell ref="E68:G68"/>
    <mergeCell ref="A55:A56"/>
    <mergeCell ref="B55:B56"/>
    <mergeCell ref="C55:C56"/>
    <mergeCell ref="D55:E55"/>
    <mergeCell ref="D56:E56"/>
    <mergeCell ref="A57:A58"/>
    <mergeCell ref="B57:B58"/>
    <mergeCell ref="C57:C58"/>
    <mergeCell ref="D57:E57"/>
    <mergeCell ref="D58:E58"/>
    <mergeCell ref="A51:A52"/>
    <mergeCell ref="B51:B52"/>
    <mergeCell ref="C51:C52"/>
    <mergeCell ref="D51:E51"/>
    <mergeCell ref="D52:E52"/>
    <mergeCell ref="A53:A54"/>
    <mergeCell ref="B53:B54"/>
    <mergeCell ref="C53:C54"/>
    <mergeCell ref="D53:E53"/>
    <mergeCell ref="D54:E54"/>
    <mergeCell ref="A47:A48"/>
    <mergeCell ref="B47:B48"/>
    <mergeCell ref="C47:C48"/>
    <mergeCell ref="D47:E47"/>
    <mergeCell ref="D48:E48"/>
    <mergeCell ref="A49:A50"/>
    <mergeCell ref="B49:B50"/>
    <mergeCell ref="C49:C50"/>
    <mergeCell ref="D49:E49"/>
    <mergeCell ref="D50:E50"/>
    <mergeCell ref="A43:A44"/>
    <mergeCell ref="B43:B44"/>
    <mergeCell ref="C43:C44"/>
    <mergeCell ref="D43:E43"/>
    <mergeCell ref="D44:E44"/>
    <mergeCell ref="A45:A46"/>
    <mergeCell ref="B45:B46"/>
    <mergeCell ref="C45:C46"/>
    <mergeCell ref="D45:E45"/>
    <mergeCell ref="D46:E46"/>
    <mergeCell ref="A39:A40"/>
    <mergeCell ref="B39:B40"/>
    <mergeCell ref="C39:C40"/>
    <mergeCell ref="D39:E39"/>
    <mergeCell ref="D40:E40"/>
    <mergeCell ref="A41:A42"/>
    <mergeCell ref="B41:B42"/>
    <mergeCell ref="C41:C42"/>
    <mergeCell ref="D41:E41"/>
    <mergeCell ref="D42:E42"/>
    <mergeCell ref="A35:A36"/>
    <mergeCell ref="B35:B36"/>
    <mergeCell ref="C35:C36"/>
    <mergeCell ref="D35:E35"/>
    <mergeCell ref="D36:E36"/>
    <mergeCell ref="A37:A38"/>
    <mergeCell ref="B37:B38"/>
    <mergeCell ref="C37:C38"/>
    <mergeCell ref="D37:E37"/>
    <mergeCell ref="D38:E38"/>
    <mergeCell ref="A31:A32"/>
    <mergeCell ref="B31:B32"/>
    <mergeCell ref="C31:C32"/>
    <mergeCell ref="D31:E31"/>
    <mergeCell ref="D32:E32"/>
    <mergeCell ref="A33:A34"/>
    <mergeCell ref="B33:B34"/>
    <mergeCell ref="C33:C34"/>
    <mergeCell ref="D33:E33"/>
    <mergeCell ref="D34:E34"/>
    <mergeCell ref="A27:A28"/>
    <mergeCell ref="B27:B28"/>
    <mergeCell ref="C27:C28"/>
    <mergeCell ref="D27:E27"/>
    <mergeCell ref="D28:E28"/>
    <mergeCell ref="A29:A30"/>
    <mergeCell ref="B29:B30"/>
    <mergeCell ref="C29:C30"/>
    <mergeCell ref="D29:E29"/>
    <mergeCell ref="D30:E30"/>
    <mergeCell ref="A23:A24"/>
    <mergeCell ref="B23:B24"/>
    <mergeCell ref="C23:C24"/>
    <mergeCell ref="D23:E23"/>
    <mergeCell ref="D24:E24"/>
    <mergeCell ref="A25:A26"/>
    <mergeCell ref="B25:B26"/>
    <mergeCell ref="C25:C26"/>
    <mergeCell ref="D25:E25"/>
    <mergeCell ref="D26:E26"/>
    <mergeCell ref="A19:A20"/>
    <mergeCell ref="B19:B20"/>
    <mergeCell ref="C19:C20"/>
    <mergeCell ref="D19:E19"/>
    <mergeCell ref="D20:E20"/>
    <mergeCell ref="A21:A22"/>
    <mergeCell ref="B21:B22"/>
    <mergeCell ref="C21:C22"/>
    <mergeCell ref="D21:E21"/>
    <mergeCell ref="D22:E22"/>
    <mergeCell ref="A15:A16"/>
    <mergeCell ref="B15:B16"/>
    <mergeCell ref="C15:C16"/>
    <mergeCell ref="D15:E15"/>
    <mergeCell ref="D16:E16"/>
    <mergeCell ref="A17:A18"/>
    <mergeCell ref="B17:B18"/>
    <mergeCell ref="C17:C18"/>
    <mergeCell ref="D17:E17"/>
    <mergeCell ref="D18:E18"/>
    <mergeCell ref="A11:A12"/>
    <mergeCell ref="B11:B12"/>
    <mergeCell ref="C11:C12"/>
    <mergeCell ref="D11:E11"/>
    <mergeCell ref="D12:E12"/>
    <mergeCell ref="A13:A14"/>
    <mergeCell ref="B13:B14"/>
    <mergeCell ref="C13:C14"/>
    <mergeCell ref="D13:E13"/>
    <mergeCell ref="D14:E14"/>
    <mergeCell ref="D8:E8"/>
    <mergeCell ref="A9:A10"/>
    <mergeCell ref="B9:B10"/>
    <mergeCell ref="C9:C10"/>
    <mergeCell ref="D9:E9"/>
    <mergeCell ref="D10:E10"/>
    <mergeCell ref="X5:X7"/>
    <mergeCell ref="N6:N7"/>
    <mergeCell ref="O6:O7"/>
    <mergeCell ref="Q6:Q7"/>
    <mergeCell ref="U6:U7"/>
    <mergeCell ref="V6:V7"/>
    <mergeCell ref="T5:T7"/>
    <mergeCell ref="R6:R7"/>
    <mergeCell ref="N5:S5"/>
    <mergeCell ref="S6:S7"/>
    <mergeCell ref="AD5:AD7"/>
    <mergeCell ref="Y5:Y7"/>
    <mergeCell ref="Z5:Z7"/>
    <mergeCell ref="AA5:AA7"/>
    <mergeCell ref="AB5:AB7"/>
    <mergeCell ref="AC5:AC7"/>
    <mergeCell ref="U5:V5"/>
    <mergeCell ref="W5:W7"/>
    <mergeCell ref="A5:A7"/>
    <mergeCell ref="B5:B7"/>
    <mergeCell ref="C5:C7"/>
    <mergeCell ref="D5:E7"/>
    <mergeCell ref="G5:M5"/>
    <mergeCell ref="G6:G7"/>
    <mergeCell ref="H6:H7"/>
    <mergeCell ref="I6:I7"/>
    <mergeCell ref="J6:J7"/>
    <mergeCell ref="K6:K7"/>
    <mergeCell ref="L6:L7"/>
    <mergeCell ref="M6:M7"/>
    <mergeCell ref="P6:P7"/>
    <mergeCell ref="F5:F7"/>
  </mergeCells>
  <printOptions horizontalCentered="1"/>
  <pageMargins left="0" right="0" top="0" bottom="0" header="0" footer="0"/>
  <pageSetup paperSize="9" scale="90" orientation="landscape" r:id="rId1"/>
  <headerFooter alignWithMargins="0"/>
  <colBreaks count="1" manualBreakCount="1">
    <brk id="2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184"/>
  <sheetViews>
    <sheetView workbookViewId="0">
      <selection activeCell="A7" sqref="A7:K7"/>
    </sheetView>
  </sheetViews>
  <sheetFormatPr defaultColWidth="9.140625" defaultRowHeight="18.75" customHeight="1"/>
  <cols>
    <col min="1" max="1" width="13.5703125" style="72" customWidth="1"/>
    <col min="2" max="2" width="5.140625" style="72" customWidth="1"/>
    <col min="3" max="3" width="6.85546875" style="72" customWidth="1"/>
    <col min="4" max="4" width="4.7109375" style="72" customWidth="1"/>
    <col min="5" max="10" width="5" style="72" customWidth="1"/>
    <col min="11" max="11" width="7.28515625" style="72" customWidth="1"/>
    <col min="12" max="12" width="7.140625" style="72" customWidth="1"/>
    <col min="13" max="13" width="13.28515625" style="72" customWidth="1"/>
    <col min="14" max="14" width="4.140625" style="72" customWidth="1"/>
    <col min="15" max="15" width="6.28515625" style="72" customWidth="1"/>
    <col min="16" max="18" width="4.140625" style="72" customWidth="1"/>
    <col min="19" max="19" width="9.140625" style="72" bestFit="1" customWidth="1"/>
    <col min="20" max="20" width="4.42578125" style="72" customWidth="1"/>
    <col min="21" max="22" width="9.140625" style="72" bestFit="1" customWidth="1"/>
    <col min="23" max="23" width="10.5703125" style="72" customWidth="1"/>
    <col min="24" max="16384" width="9.140625" style="72"/>
  </cols>
  <sheetData>
    <row r="1" spans="1:24" ht="18.75" customHeight="1" thickTop="1">
      <c r="A1" s="239" t="s">
        <v>87</v>
      </c>
      <c r="B1" s="240"/>
      <c r="C1" s="240"/>
      <c r="D1" s="240"/>
      <c r="E1" s="240"/>
      <c r="F1" s="240"/>
      <c r="G1" s="240"/>
      <c r="H1" s="240"/>
      <c r="I1" s="240"/>
      <c r="J1" s="240"/>
      <c r="K1" s="241"/>
      <c r="L1" s="72">
        <v>25</v>
      </c>
      <c r="M1" s="239" t="s">
        <v>87</v>
      </c>
      <c r="N1" s="240"/>
      <c r="O1" s="240"/>
      <c r="P1" s="240"/>
      <c r="Q1" s="240"/>
      <c r="R1" s="240"/>
      <c r="S1" s="240"/>
      <c r="T1" s="240"/>
      <c r="U1" s="240"/>
      <c r="V1" s="240"/>
      <c r="W1" s="241"/>
      <c r="X1" s="72">
        <v>25</v>
      </c>
    </row>
    <row r="2" spans="1:24" ht="18.75" customHeight="1">
      <c r="A2" s="85" t="s">
        <v>156</v>
      </c>
      <c r="B2" s="84"/>
      <c r="C2" s="84"/>
      <c r="D2" s="84"/>
      <c r="E2" s="84"/>
      <c r="F2" s="84"/>
      <c r="G2" s="84"/>
      <c r="H2" s="84"/>
      <c r="I2" s="84"/>
      <c r="J2" s="84"/>
      <c r="K2" s="83"/>
      <c r="M2" s="85" t="s">
        <v>155</v>
      </c>
      <c r="N2" s="84"/>
      <c r="O2" s="84"/>
      <c r="P2" s="84"/>
      <c r="Q2" s="84"/>
      <c r="R2" s="84"/>
      <c r="S2" s="84"/>
      <c r="T2" s="84"/>
      <c r="U2" s="84"/>
      <c r="V2" s="84"/>
      <c r="W2" s="83"/>
    </row>
    <row r="3" spans="1:24" ht="18.75" customHeight="1">
      <c r="A3" s="227" t="s">
        <v>84</v>
      </c>
      <c r="B3" s="228"/>
      <c r="C3" s="228"/>
      <c r="D3" s="228"/>
      <c r="E3" s="228"/>
      <c r="F3" s="228"/>
      <c r="G3" s="228"/>
      <c r="H3" s="228"/>
      <c r="I3" s="228"/>
      <c r="J3" s="228"/>
      <c r="K3" s="229"/>
      <c r="M3" s="227" t="s">
        <v>84</v>
      </c>
      <c r="N3" s="228"/>
      <c r="O3" s="228"/>
      <c r="P3" s="228"/>
      <c r="Q3" s="228"/>
      <c r="R3" s="228"/>
      <c r="S3" s="228"/>
      <c r="T3" s="228"/>
      <c r="U3" s="228"/>
      <c r="V3" s="228"/>
      <c r="W3" s="229"/>
    </row>
    <row r="4" spans="1:24" ht="18.75" customHeight="1">
      <c r="A4" s="222" t="s">
        <v>83</v>
      </c>
      <c r="B4" s="223"/>
      <c r="C4" s="223"/>
      <c r="D4" s="223"/>
      <c r="E4" s="77" t="s">
        <v>39</v>
      </c>
      <c r="F4" s="224" t="str">
        <f>'[1]LUONG T7'!B9</f>
        <v>Trịnh Thị Duyên</v>
      </c>
      <c r="G4" s="223"/>
      <c r="H4" s="223"/>
      <c r="I4" s="223"/>
      <c r="J4" s="223"/>
      <c r="K4" s="226"/>
      <c r="M4" s="222" t="s">
        <v>83</v>
      </c>
      <c r="N4" s="223"/>
      <c r="O4" s="223"/>
      <c r="P4" s="223"/>
      <c r="Q4" s="77" t="s">
        <v>39</v>
      </c>
      <c r="R4" s="224" t="str">
        <f>'[1]LUONG T7'!B11</f>
        <v>Trần Thị Yến</v>
      </c>
      <c r="S4" s="223"/>
      <c r="T4" s="223"/>
      <c r="U4" s="223"/>
      <c r="V4" s="223"/>
      <c r="W4" s="226"/>
    </row>
    <row r="5" spans="1:24" ht="18.75" customHeight="1">
      <c r="A5" s="222" t="s">
        <v>82</v>
      </c>
      <c r="B5" s="223"/>
      <c r="C5" s="223"/>
      <c r="D5" s="223"/>
      <c r="E5" s="77" t="s">
        <v>39</v>
      </c>
      <c r="F5" s="224">
        <f>'[1]LUONG T7'!C9</f>
        <v>50169</v>
      </c>
      <c r="G5" s="224"/>
      <c r="H5" s="224"/>
      <c r="I5" s="224"/>
      <c r="J5" s="224"/>
      <c r="K5" s="225"/>
      <c r="M5" s="222" t="s">
        <v>82</v>
      </c>
      <c r="N5" s="223"/>
      <c r="O5" s="223"/>
      <c r="P5" s="223"/>
      <c r="Q5" s="77" t="s">
        <v>39</v>
      </c>
      <c r="R5" s="224">
        <v>50204</v>
      </c>
      <c r="S5" s="224"/>
      <c r="T5" s="224"/>
      <c r="U5" s="224"/>
      <c r="V5" s="224"/>
      <c r="W5" s="225"/>
    </row>
    <row r="6" spans="1:24" ht="18.75" customHeight="1">
      <c r="A6" s="222" t="s">
        <v>81</v>
      </c>
      <c r="B6" s="223"/>
      <c r="C6" s="223"/>
      <c r="D6" s="223"/>
      <c r="E6" s="77" t="s">
        <v>39</v>
      </c>
      <c r="F6" s="223" t="s">
        <v>151</v>
      </c>
      <c r="G6" s="223"/>
      <c r="H6" s="223"/>
      <c r="I6" s="223"/>
      <c r="J6" s="223"/>
      <c r="K6" s="226"/>
      <c r="M6" s="222" t="s">
        <v>81</v>
      </c>
      <c r="N6" s="223"/>
      <c r="O6" s="223"/>
      <c r="P6" s="223"/>
      <c r="Q6" s="77" t="s">
        <v>39</v>
      </c>
      <c r="R6" s="223" t="s">
        <v>151</v>
      </c>
      <c r="S6" s="223"/>
      <c r="T6" s="223"/>
      <c r="U6" s="223"/>
      <c r="V6" s="223"/>
      <c r="W6" s="226"/>
    </row>
    <row r="7" spans="1:24" ht="18.75" customHeight="1">
      <c r="A7" s="227" t="s">
        <v>150</v>
      </c>
      <c r="B7" s="228"/>
      <c r="C7" s="228"/>
      <c r="D7" s="228"/>
      <c r="E7" s="228"/>
      <c r="F7" s="228"/>
      <c r="G7" s="228"/>
      <c r="H7" s="228"/>
      <c r="I7" s="228"/>
      <c r="J7" s="228"/>
      <c r="K7" s="229"/>
      <c r="M7" s="227" t="s">
        <v>150</v>
      </c>
      <c r="N7" s="228"/>
      <c r="O7" s="228"/>
      <c r="P7" s="228"/>
      <c r="Q7" s="228"/>
      <c r="R7" s="228"/>
      <c r="S7" s="228"/>
      <c r="T7" s="228"/>
      <c r="U7" s="228"/>
      <c r="V7" s="228"/>
      <c r="W7" s="229"/>
    </row>
    <row r="8" spans="1:24" ht="18.75" customHeight="1">
      <c r="A8" s="222" t="s">
        <v>78</v>
      </c>
      <c r="B8" s="223"/>
      <c r="C8" s="223"/>
      <c r="D8" s="223"/>
      <c r="E8" s="77" t="s">
        <v>39</v>
      </c>
      <c r="F8" s="230">
        <v>3285000</v>
      </c>
      <c r="G8" s="230"/>
      <c r="H8" s="230"/>
      <c r="I8" s="230"/>
      <c r="J8" s="77" t="s">
        <v>38</v>
      </c>
      <c r="K8" s="82"/>
      <c r="M8" s="222" t="s">
        <v>78</v>
      </c>
      <c r="N8" s="223"/>
      <c r="O8" s="223"/>
      <c r="P8" s="223"/>
      <c r="Q8" s="77" t="s">
        <v>39</v>
      </c>
      <c r="R8" s="230">
        <v>3285000</v>
      </c>
      <c r="S8" s="230"/>
      <c r="T8" s="230"/>
      <c r="U8" s="230"/>
      <c r="V8" s="77" t="s">
        <v>38</v>
      </c>
      <c r="W8" s="82"/>
    </row>
    <row r="9" spans="1:24" ht="18.75" customHeight="1">
      <c r="A9" s="81" t="s">
        <v>77</v>
      </c>
      <c r="B9" s="77"/>
      <c r="C9" s="80"/>
      <c r="D9" s="79"/>
      <c r="E9" s="78"/>
      <c r="F9" s="78"/>
      <c r="G9" s="78"/>
      <c r="H9" s="77"/>
      <c r="I9" s="76"/>
      <c r="J9" s="75"/>
      <c r="K9" s="74"/>
      <c r="M9" s="81" t="s">
        <v>77</v>
      </c>
      <c r="N9" s="77"/>
      <c r="O9" s="80"/>
      <c r="P9" s="79"/>
      <c r="Q9" s="78"/>
      <c r="R9" s="78"/>
      <c r="S9" s="78"/>
      <c r="T9" s="77"/>
      <c r="U9" s="76"/>
      <c r="V9" s="75"/>
      <c r="W9" s="74"/>
    </row>
    <row r="10" spans="1:24" ht="18.75" customHeight="1">
      <c r="A10" s="81" t="s">
        <v>76</v>
      </c>
      <c r="B10" s="77"/>
      <c r="C10" s="80"/>
      <c r="D10" s="79"/>
      <c r="E10" s="78"/>
      <c r="F10" s="78"/>
      <c r="G10" s="78"/>
      <c r="H10" s="77"/>
      <c r="I10" s="76"/>
      <c r="J10" s="75"/>
      <c r="K10" s="74"/>
      <c r="M10" s="81" t="s">
        <v>76</v>
      </c>
      <c r="N10" s="77"/>
      <c r="O10" s="80"/>
      <c r="P10" s="79"/>
      <c r="Q10" s="78"/>
      <c r="R10" s="78"/>
      <c r="S10" s="78"/>
      <c r="T10" s="77"/>
      <c r="U10" s="76"/>
      <c r="V10" s="75"/>
      <c r="W10" s="74"/>
    </row>
    <row r="11" spans="1:24" ht="18.75" customHeight="1">
      <c r="A11" s="81" t="s">
        <v>149</v>
      </c>
      <c r="B11" s="77" t="s">
        <v>39</v>
      </c>
      <c r="C11" s="80">
        <v>26</v>
      </c>
      <c r="D11" s="79" t="s">
        <v>52</v>
      </c>
      <c r="E11" s="249" t="s">
        <v>148</v>
      </c>
      <c r="F11" s="249"/>
      <c r="G11" s="249"/>
      <c r="H11" s="77" t="s">
        <v>39</v>
      </c>
      <c r="I11" s="255">
        <f>+F8/26*C11</f>
        <v>3285000</v>
      </c>
      <c r="J11" s="255"/>
      <c r="K11" s="74" t="s">
        <v>38</v>
      </c>
      <c r="L11" s="95"/>
      <c r="M11" s="81" t="s">
        <v>149</v>
      </c>
      <c r="N11" s="77" t="s">
        <v>39</v>
      </c>
      <c r="O11" s="80">
        <v>26</v>
      </c>
      <c r="P11" s="79" t="s">
        <v>52</v>
      </c>
      <c r="Q11" s="249" t="s">
        <v>148</v>
      </c>
      <c r="R11" s="249"/>
      <c r="S11" s="249"/>
      <c r="T11" s="77" t="s">
        <v>39</v>
      </c>
      <c r="U11" s="255">
        <f>+R8/26*O11</f>
        <v>3285000</v>
      </c>
      <c r="V11" s="255"/>
      <c r="W11" s="74" t="s">
        <v>38</v>
      </c>
      <c r="X11" s="95">
        <f>R8/X1*O11</f>
        <v>3416400</v>
      </c>
    </row>
    <row r="12" spans="1:24" ht="18.75" customHeight="1">
      <c r="A12" s="81" t="s">
        <v>73</v>
      </c>
      <c r="B12" s="77" t="s">
        <v>39</v>
      </c>
      <c r="C12" s="80">
        <v>0</v>
      </c>
      <c r="D12" s="79" t="s">
        <v>52</v>
      </c>
      <c r="E12" s="223" t="s">
        <v>72</v>
      </c>
      <c r="F12" s="223"/>
      <c r="G12" s="223"/>
      <c r="H12" s="77" t="s">
        <v>39</v>
      </c>
      <c r="I12" s="247">
        <f>$F$8/$L$1*C12</f>
        <v>0</v>
      </c>
      <c r="J12" s="247"/>
      <c r="K12" s="74" t="s">
        <v>38</v>
      </c>
      <c r="L12" s="95"/>
      <c r="M12" s="81" t="s">
        <v>73</v>
      </c>
      <c r="N12" s="77" t="s">
        <v>39</v>
      </c>
      <c r="O12" s="80">
        <v>0</v>
      </c>
      <c r="P12" s="79" t="s">
        <v>52</v>
      </c>
      <c r="Q12" s="223" t="s">
        <v>72</v>
      </c>
      <c r="R12" s="223"/>
      <c r="S12" s="223"/>
      <c r="T12" s="77" t="s">
        <v>39</v>
      </c>
      <c r="U12" s="247">
        <f>$F$8/$L$1*O12</f>
        <v>0</v>
      </c>
      <c r="V12" s="247"/>
      <c r="W12" s="74" t="s">
        <v>38</v>
      </c>
      <c r="X12" s="95"/>
    </row>
    <row r="13" spans="1:24" ht="18.75" customHeight="1">
      <c r="A13" s="81" t="s">
        <v>71</v>
      </c>
      <c r="B13" s="77" t="s">
        <v>39</v>
      </c>
      <c r="C13" s="80">
        <v>0</v>
      </c>
      <c r="D13" s="79" t="s">
        <v>52</v>
      </c>
      <c r="E13" s="256" t="s">
        <v>70</v>
      </c>
      <c r="F13" s="256"/>
      <c r="G13" s="256"/>
      <c r="H13" s="77" t="s">
        <v>39</v>
      </c>
      <c r="I13" s="247"/>
      <c r="J13" s="247"/>
      <c r="K13" s="74" t="s">
        <v>38</v>
      </c>
      <c r="L13" s="95"/>
      <c r="M13" s="81" t="s">
        <v>71</v>
      </c>
      <c r="N13" s="77" t="s">
        <v>39</v>
      </c>
      <c r="O13" s="80">
        <v>0</v>
      </c>
      <c r="P13" s="79" t="s">
        <v>52</v>
      </c>
      <c r="Q13" s="256" t="s">
        <v>70</v>
      </c>
      <c r="R13" s="256"/>
      <c r="S13" s="256"/>
      <c r="T13" s="77" t="s">
        <v>39</v>
      </c>
      <c r="U13" s="247"/>
      <c r="V13" s="247"/>
      <c r="W13" s="74" t="s">
        <v>38</v>
      </c>
      <c r="X13" s="95"/>
    </row>
    <row r="14" spans="1:24" ht="18.75" customHeight="1">
      <c r="A14" s="81" t="s">
        <v>69</v>
      </c>
      <c r="B14" s="77" t="s">
        <v>39</v>
      </c>
      <c r="C14" s="80">
        <v>0</v>
      </c>
      <c r="D14" s="79" t="s">
        <v>52</v>
      </c>
      <c r="E14" s="256" t="s">
        <v>68</v>
      </c>
      <c r="F14" s="256"/>
      <c r="G14" s="256"/>
      <c r="H14" s="77" t="s">
        <v>39</v>
      </c>
      <c r="I14" s="247">
        <f>$F$8/$L$1*C14</f>
        <v>0</v>
      </c>
      <c r="J14" s="247"/>
      <c r="K14" s="74" t="s">
        <v>38</v>
      </c>
      <c r="L14" s="95"/>
      <c r="M14" s="81" t="s">
        <v>69</v>
      </c>
      <c r="N14" s="77" t="s">
        <v>39</v>
      </c>
      <c r="O14" s="80">
        <v>0</v>
      </c>
      <c r="P14" s="79" t="s">
        <v>52</v>
      </c>
      <c r="Q14" s="256" t="s">
        <v>68</v>
      </c>
      <c r="R14" s="256"/>
      <c r="S14" s="256"/>
      <c r="T14" s="77" t="s">
        <v>39</v>
      </c>
      <c r="U14" s="247">
        <f>$F$8/$L$1*O14</f>
        <v>0</v>
      </c>
      <c r="V14" s="247"/>
      <c r="W14" s="74" t="s">
        <v>38</v>
      </c>
      <c r="X14" s="95"/>
    </row>
    <row r="15" spans="1:24" ht="18.75" customHeight="1">
      <c r="A15" s="81" t="s">
        <v>67</v>
      </c>
      <c r="B15" s="77" t="s">
        <v>39</v>
      </c>
      <c r="C15" s="80"/>
      <c r="D15" s="79" t="s">
        <v>58</v>
      </c>
      <c r="E15" s="223" t="s">
        <v>66</v>
      </c>
      <c r="F15" s="223"/>
      <c r="G15" s="223"/>
      <c r="H15" s="77" t="s">
        <v>39</v>
      </c>
      <c r="I15" s="247"/>
      <c r="J15" s="247"/>
      <c r="K15" s="74" t="s">
        <v>38</v>
      </c>
      <c r="L15" s="95">
        <f>F8*C15/L1/8*1.5</f>
        <v>0</v>
      </c>
      <c r="M15" s="81" t="s">
        <v>67</v>
      </c>
      <c r="N15" s="77" t="s">
        <v>39</v>
      </c>
      <c r="O15" s="80"/>
      <c r="P15" s="79" t="s">
        <v>58</v>
      </c>
      <c r="Q15" s="223" t="s">
        <v>66</v>
      </c>
      <c r="R15" s="223"/>
      <c r="S15" s="223"/>
      <c r="T15" s="77" t="s">
        <v>39</v>
      </c>
      <c r="U15" s="247"/>
      <c r="V15" s="247"/>
      <c r="W15" s="74" t="s">
        <v>38</v>
      </c>
      <c r="X15" s="95">
        <f>R8*O15/X1/8*1.5</f>
        <v>0</v>
      </c>
    </row>
    <row r="16" spans="1:24" ht="18.75" customHeight="1">
      <c r="A16" s="222" t="s">
        <v>65</v>
      </c>
      <c r="B16" s="223"/>
      <c r="C16" s="80">
        <v>4</v>
      </c>
      <c r="D16" s="79" t="s">
        <v>52</v>
      </c>
      <c r="E16" s="223" t="s">
        <v>64</v>
      </c>
      <c r="F16" s="223"/>
      <c r="G16" s="223"/>
      <c r="H16" s="100" t="s">
        <v>39</v>
      </c>
      <c r="I16" s="247">
        <f>+F8/26*8</f>
        <v>1010769.2307692308</v>
      </c>
      <c r="J16" s="247"/>
      <c r="K16" s="74" t="s">
        <v>38</v>
      </c>
      <c r="L16" s="95"/>
      <c r="M16" s="222" t="s">
        <v>65</v>
      </c>
      <c r="N16" s="223"/>
      <c r="O16" s="80">
        <v>4</v>
      </c>
      <c r="P16" s="79" t="s">
        <v>52</v>
      </c>
      <c r="Q16" s="223" t="s">
        <v>64</v>
      </c>
      <c r="R16" s="223"/>
      <c r="S16" s="223"/>
      <c r="T16" s="100" t="s">
        <v>39</v>
      </c>
      <c r="U16" s="247">
        <f>+R8/26*8</f>
        <v>1010769.2307692308</v>
      </c>
      <c r="V16" s="247"/>
      <c r="W16" s="74" t="s">
        <v>38</v>
      </c>
      <c r="X16" s="95"/>
    </row>
    <row r="17" spans="1:24" ht="18.75" customHeight="1">
      <c r="A17" s="81" t="s">
        <v>63</v>
      </c>
      <c r="B17" s="77" t="s">
        <v>39</v>
      </c>
      <c r="C17" s="80"/>
      <c r="D17" s="79" t="s">
        <v>52</v>
      </c>
      <c r="E17" s="223" t="s">
        <v>62</v>
      </c>
      <c r="F17" s="223"/>
      <c r="G17" s="223"/>
      <c r="H17" s="77" t="s">
        <v>39</v>
      </c>
      <c r="I17" s="247"/>
      <c r="J17" s="247"/>
      <c r="K17" s="74" t="s">
        <v>38</v>
      </c>
      <c r="L17" s="95"/>
      <c r="M17" s="81" t="s">
        <v>63</v>
      </c>
      <c r="N17" s="77" t="s">
        <v>39</v>
      </c>
      <c r="O17" s="80"/>
      <c r="P17" s="79" t="s">
        <v>52</v>
      </c>
      <c r="Q17" s="223" t="s">
        <v>62</v>
      </c>
      <c r="R17" s="223"/>
      <c r="S17" s="223"/>
      <c r="T17" s="77" t="s">
        <v>39</v>
      </c>
      <c r="U17" s="247"/>
      <c r="V17" s="247"/>
      <c r="W17" s="74" t="s">
        <v>38</v>
      </c>
      <c r="X17" s="95"/>
    </row>
    <row r="18" spans="1:24" ht="18.75" customHeight="1">
      <c r="A18" s="99" t="s">
        <v>61</v>
      </c>
      <c r="B18" s="77"/>
      <c r="C18" s="80"/>
      <c r="D18" s="79" t="s">
        <v>58</v>
      </c>
      <c r="E18" s="223" t="s">
        <v>60</v>
      </c>
      <c r="F18" s="223"/>
      <c r="G18" s="223"/>
      <c r="H18" s="77" t="s">
        <v>39</v>
      </c>
      <c r="I18" s="247">
        <f>$F$8*C18/8/$L$1</f>
        <v>0</v>
      </c>
      <c r="J18" s="247"/>
      <c r="K18" s="74" t="s">
        <v>38</v>
      </c>
      <c r="L18" s="95"/>
      <c r="M18" s="99" t="s">
        <v>61</v>
      </c>
      <c r="N18" s="77"/>
      <c r="O18" s="80">
        <v>0</v>
      </c>
      <c r="P18" s="79" t="s">
        <v>58</v>
      </c>
      <c r="Q18" s="223" t="s">
        <v>60</v>
      </c>
      <c r="R18" s="223"/>
      <c r="S18" s="223"/>
      <c r="T18" s="77" t="s">
        <v>39</v>
      </c>
      <c r="U18" s="247">
        <f>$F$8*O18/8/$L$1</f>
        <v>0</v>
      </c>
      <c r="V18" s="247"/>
      <c r="W18" s="74" t="s">
        <v>38</v>
      </c>
      <c r="X18" s="95"/>
    </row>
    <row r="19" spans="1:24" ht="18.75" customHeight="1">
      <c r="A19" s="81" t="s">
        <v>59</v>
      </c>
      <c r="B19" s="77" t="s">
        <v>39</v>
      </c>
      <c r="C19" s="80">
        <v>60</v>
      </c>
      <c r="D19" s="79" t="s">
        <v>58</v>
      </c>
      <c r="E19" s="223" t="s">
        <v>57</v>
      </c>
      <c r="F19" s="223"/>
      <c r="G19" s="223"/>
      <c r="H19" s="77" t="s">
        <v>39</v>
      </c>
      <c r="I19" s="255">
        <v>379038</v>
      </c>
      <c r="J19" s="255"/>
      <c r="K19" s="74" t="s">
        <v>38</v>
      </c>
      <c r="L19" s="95"/>
      <c r="M19" s="81" t="s">
        <v>59</v>
      </c>
      <c r="N19" s="77" t="s">
        <v>39</v>
      </c>
      <c r="O19" s="80">
        <v>66</v>
      </c>
      <c r="P19" s="79" t="s">
        <v>58</v>
      </c>
      <c r="Q19" s="223" t="s">
        <v>57</v>
      </c>
      <c r="R19" s="223"/>
      <c r="S19" s="223"/>
      <c r="T19" s="77" t="s">
        <v>39</v>
      </c>
      <c r="U19" s="255">
        <v>379038</v>
      </c>
      <c r="V19" s="255"/>
      <c r="W19" s="74" t="s">
        <v>38</v>
      </c>
      <c r="X19" s="95"/>
    </row>
    <row r="20" spans="1:24" ht="18.75" customHeight="1">
      <c r="A20" s="81" t="s">
        <v>147</v>
      </c>
      <c r="B20" s="77" t="s">
        <v>39</v>
      </c>
      <c r="C20" s="80"/>
      <c r="D20" s="79" t="s">
        <v>55</v>
      </c>
      <c r="E20" s="98" t="s">
        <v>146</v>
      </c>
      <c r="F20" s="98"/>
      <c r="G20" s="98"/>
      <c r="H20" s="77" t="s">
        <v>39</v>
      </c>
      <c r="I20" s="247">
        <v>200000</v>
      </c>
      <c r="J20" s="247"/>
      <c r="K20" s="74" t="s">
        <v>38</v>
      </c>
      <c r="L20" s="95">
        <f>+IF(L11-I11&lt;0,0,L11-I11)+IF(L15-I15&lt;0,0,L15-I15)</f>
        <v>0</v>
      </c>
      <c r="M20" s="81" t="s">
        <v>147</v>
      </c>
      <c r="N20" s="77" t="s">
        <v>39</v>
      </c>
      <c r="O20" s="80"/>
      <c r="P20" s="79" t="s">
        <v>55</v>
      </c>
      <c r="Q20" s="98" t="s">
        <v>146</v>
      </c>
      <c r="R20" s="98"/>
      <c r="S20" s="98"/>
      <c r="T20" s="77" t="s">
        <v>39</v>
      </c>
      <c r="U20" s="247"/>
      <c r="V20" s="247"/>
      <c r="W20" s="74" t="s">
        <v>38</v>
      </c>
      <c r="X20" s="95">
        <f>+IF(X11-U11&lt;0,0,X11-U11)+IF(X15-U15&lt;0,0,X15-U15)</f>
        <v>131400</v>
      </c>
    </row>
    <row r="21" spans="1:24" ht="18.75" customHeight="1">
      <c r="A21" s="97" t="s">
        <v>53</v>
      </c>
      <c r="B21" s="96"/>
      <c r="C21" s="80"/>
      <c r="D21" s="79" t="s">
        <v>52</v>
      </c>
      <c r="E21" s="223" t="s">
        <v>51</v>
      </c>
      <c r="F21" s="223"/>
      <c r="G21" s="223"/>
      <c r="H21" s="77" t="s">
        <v>39</v>
      </c>
      <c r="I21" s="247">
        <f>30*15000</f>
        <v>450000</v>
      </c>
      <c r="J21" s="247"/>
      <c r="K21" s="74" t="s">
        <v>38</v>
      </c>
      <c r="L21" s="95"/>
      <c r="M21" s="97" t="s">
        <v>53</v>
      </c>
      <c r="N21" s="96"/>
      <c r="O21" s="80"/>
      <c r="P21" s="79" t="s">
        <v>52</v>
      </c>
      <c r="Q21" s="223" t="s">
        <v>51</v>
      </c>
      <c r="R21" s="223"/>
      <c r="S21" s="223"/>
      <c r="T21" s="77" t="s">
        <v>39</v>
      </c>
      <c r="U21" s="247">
        <v>450000</v>
      </c>
      <c r="V21" s="247"/>
      <c r="W21" s="74" t="s">
        <v>38</v>
      </c>
      <c r="X21" s="95"/>
    </row>
    <row r="22" spans="1:24" ht="18.75" customHeight="1">
      <c r="A22" s="248" t="s">
        <v>50</v>
      </c>
      <c r="B22" s="249"/>
      <c r="C22" s="80"/>
      <c r="D22" s="79"/>
      <c r="E22" s="78"/>
      <c r="F22" s="78"/>
      <c r="G22" s="78"/>
      <c r="H22" s="77" t="s">
        <v>39</v>
      </c>
      <c r="I22" s="247"/>
      <c r="J22" s="247"/>
      <c r="K22" s="74" t="s">
        <v>38</v>
      </c>
      <c r="L22" s="95"/>
      <c r="M22" s="248" t="s">
        <v>50</v>
      </c>
      <c r="N22" s="249"/>
      <c r="O22" s="80"/>
      <c r="P22" s="79"/>
      <c r="Q22" s="78"/>
      <c r="R22" s="78"/>
      <c r="S22" s="78"/>
      <c r="T22" s="77" t="s">
        <v>39</v>
      </c>
      <c r="U22" s="247"/>
      <c r="V22" s="247"/>
      <c r="W22" s="74" t="s">
        <v>38</v>
      </c>
      <c r="X22" s="95"/>
    </row>
    <row r="23" spans="1:24" ht="18.75" customHeight="1">
      <c r="A23" s="81" t="s">
        <v>49</v>
      </c>
      <c r="B23" s="77" t="s">
        <v>39</v>
      </c>
      <c r="C23" s="80"/>
      <c r="D23" s="79"/>
      <c r="E23" s="78" t="s">
        <v>48</v>
      </c>
      <c r="F23" s="78"/>
      <c r="G23" s="78"/>
      <c r="H23" s="77" t="s">
        <v>39</v>
      </c>
      <c r="I23" s="247"/>
      <c r="J23" s="247"/>
      <c r="K23" s="74" t="s">
        <v>38</v>
      </c>
      <c r="L23" s="95"/>
      <c r="M23" s="81" t="s">
        <v>49</v>
      </c>
      <c r="N23" s="77" t="s">
        <v>39</v>
      </c>
      <c r="O23" s="80"/>
      <c r="P23" s="79"/>
      <c r="Q23" s="78" t="s">
        <v>48</v>
      </c>
      <c r="R23" s="78"/>
      <c r="S23" s="78"/>
      <c r="T23" s="77" t="s">
        <v>39</v>
      </c>
      <c r="U23" s="247"/>
      <c r="V23" s="247"/>
      <c r="W23" s="74" t="s">
        <v>38</v>
      </c>
      <c r="X23" s="95"/>
    </row>
    <row r="24" spans="1:24" ht="18.75" customHeight="1">
      <c r="A24" s="250" t="s">
        <v>47</v>
      </c>
      <c r="B24" s="251"/>
      <c r="C24" s="251"/>
      <c r="D24" s="251"/>
      <c r="E24" s="251"/>
      <c r="F24" s="251"/>
      <c r="G24" s="77" t="s">
        <v>39</v>
      </c>
      <c r="H24" s="252">
        <f>I11+I12+I13+I14+I15+I18+I22+I23+I16+I21+I19+I20</f>
        <v>5324807.230769231</v>
      </c>
      <c r="I24" s="252"/>
      <c r="J24" s="252"/>
      <c r="K24" s="74" t="s">
        <v>38</v>
      </c>
      <c r="M24" s="250" t="s">
        <v>47</v>
      </c>
      <c r="N24" s="251"/>
      <c r="O24" s="251"/>
      <c r="P24" s="251"/>
      <c r="Q24" s="251"/>
      <c r="R24" s="251"/>
      <c r="S24" s="77" t="s">
        <v>39</v>
      </c>
      <c r="T24" s="252">
        <f>U11+U12+U13+U14+U15+U18+U22+U23+U16+U21+U19+U20</f>
        <v>5124807.230769231</v>
      </c>
      <c r="U24" s="252"/>
      <c r="V24" s="252"/>
      <c r="W24" s="74" t="s">
        <v>38</v>
      </c>
    </row>
    <row r="25" spans="1:24" ht="18.75" customHeight="1">
      <c r="A25" s="94"/>
      <c r="B25" s="93"/>
      <c r="C25" s="93"/>
      <c r="D25" s="93"/>
      <c r="E25" s="93"/>
      <c r="F25" s="93"/>
      <c r="G25" s="93"/>
      <c r="H25" s="93"/>
      <c r="I25" s="93"/>
      <c r="J25" s="93"/>
      <c r="K25" s="92"/>
      <c r="M25" s="94"/>
      <c r="N25" s="93"/>
      <c r="O25" s="93"/>
      <c r="P25" s="93"/>
      <c r="Q25" s="93"/>
      <c r="R25" s="93"/>
      <c r="S25" s="93"/>
      <c r="T25" s="93"/>
      <c r="U25" s="93"/>
      <c r="V25" s="93"/>
      <c r="W25" s="92"/>
    </row>
    <row r="26" spans="1:24" ht="18.75" customHeight="1">
      <c r="A26" s="253" t="s">
        <v>46</v>
      </c>
      <c r="B26" s="254"/>
      <c r="C26" s="254"/>
      <c r="D26" s="254"/>
      <c r="E26" s="254"/>
      <c r="F26" s="254"/>
      <c r="G26" s="77"/>
      <c r="H26" s="77"/>
      <c r="I26" s="77"/>
      <c r="J26" s="77"/>
      <c r="K26" s="74"/>
      <c r="M26" s="253" t="s">
        <v>46</v>
      </c>
      <c r="N26" s="254"/>
      <c r="O26" s="254"/>
      <c r="P26" s="254"/>
      <c r="Q26" s="254"/>
      <c r="R26" s="254"/>
      <c r="S26" s="77"/>
      <c r="T26" s="77"/>
      <c r="U26" s="77"/>
      <c r="V26" s="77"/>
      <c r="W26" s="74"/>
    </row>
    <row r="27" spans="1:24" ht="18.75" customHeight="1">
      <c r="A27" s="232" t="s">
        <v>45</v>
      </c>
      <c r="B27" s="233"/>
      <c r="C27" s="233"/>
      <c r="D27" s="233"/>
      <c r="E27" s="233"/>
      <c r="F27" s="233"/>
      <c r="G27" s="77" t="s">
        <v>39</v>
      </c>
      <c r="H27" s="242"/>
      <c r="I27" s="242"/>
      <c r="J27" s="242"/>
      <c r="K27" s="74" t="s">
        <v>38</v>
      </c>
      <c r="M27" s="232" t="s">
        <v>45</v>
      </c>
      <c r="N27" s="233"/>
      <c r="O27" s="233"/>
      <c r="P27" s="233"/>
      <c r="Q27" s="233"/>
      <c r="R27" s="233"/>
      <c r="S27" s="77" t="s">
        <v>39</v>
      </c>
      <c r="T27" s="242"/>
      <c r="U27" s="242"/>
      <c r="V27" s="242"/>
      <c r="W27" s="74" t="s">
        <v>38</v>
      </c>
    </row>
    <row r="28" spans="1:24" ht="18.75" customHeight="1">
      <c r="A28" s="232" t="s">
        <v>44</v>
      </c>
      <c r="B28" s="233"/>
      <c r="C28" s="233"/>
      <c r="D28" s="233"/>
      <c r="E28" s="233"/>
      <c r="F28" s="233"/>
      <c r="G28" s="77" t="s">
        <v>39</v>
      </c>
      <c r="H28" s="243"/>
      <c r="I28" s="243"/>
      <c r="J28" s="243"/>
      <c r="K28" s="74" t="s">
        <v>38</v>
      </c>
      <c r="M28" s="232" t="s">
        <v>44</v>
      </c>
      <c r="N28" s="233"/>
      <c r="O28" s="233"/>
      <c r="P28" s="233"/>
      <c r="Q28" s="233"/>
      <c r="R28" s="233"/>
      <c r="S28" s="77" t="s">
        <v>39</v>
      </c>
      <c r="T28" s="243"/>
      <c r="U28" s="243"/>
      <c r="V28" s="243"/>
      <c r="W28" s="74" t="s">
        <v>38</v>
      </c>
    </row>
    <row r="29" spans="1:24" ht="18.75" customHeight="1">
      <c r="A29" s="232" t="s">
        <v>43</v>
      </c>
      <c r="B29" s="233"/>
      <c r="C29" s="233"/>
      <c r="D29" s="233"/>
      <c r="E29" s="233"/>
      <c r="F29" s="233"/>
      <c r="G29" s="77" t="s">
        <v>39</v>
      </c>
      <c r="H29" s="243"/>
      <c r="I29" s="243"/>
      <c r="J29" s="243"/>
      <c r="K29" s="74" t="s">
        <v>38</v>
      </c>
      <c r="M29" s="232" t="s">
        <v>43</v>
      </c>
      <c r="N29" s="233"/>
      <c r="O29" s="233"/>
      <c r="P29" s="233"/>
      <c r="Q29" s="233"/>
      <c r="R29" s="233"/>
      <c r="S29" s="77" t="s">
        <v>39</v>
      </c>
      <c r="T29" s="243"/>
      <c r="U29" s="243"/>
      <c r="V29" s="243"/>
      <c r="W29" s="74" t="s">
        <v>38</v>
      </c>
    </row>
    <row r="30" spans="1:24" ht="18.75" customHeight="1">
      <c r="A30" s="232" t="s">
        <v>42</v>
      </c>
      <c r="B30" s="233"/>
      <c r="C30" s="233"/>
      <c r="D30" s="233"/>
      <c r="E30" s="233"/>
      <c r="F30" s="233"/>
      <c r="G30" s="77" t="s">
        <v>39</v>
      </c>
      <c r="H30" s="243"/>
      <c r="I30" s="243"/>
      <c r="J30" s="243"/>
      <c r="K30" s="74" t="s">
        <v>38</v>
      </c>
      <c r="M30" s="232" t="s">
        <v>42</v>
      </c>
      <c r="N30" s="233"/>
      <c r="O30" s="233"/>
      <c r="P30" s="233"/>
      <c r="Q30" s="233"/>
      <c r="R30" s="233"/>
      <c r="S30" s="77" t="s">
        <v>39</v>
      </c>
      <c r="T30" s="243"/>
      <c r="U30" s="243"/>
      <c r="V30" s="243"/>
      <c r="W30" s="74" t="s">
        <v>38</v>
      </c>
    </row>
    <row r="31" spans="1:24" ht="18.75" customHeight="1">
      <c r="A31" s="244" t="s">
        <v>41</v>
      </c>
      <c r="B31" s="245"/>
      <c r="C31" s="245"/>
      <c r="D31" s="245"/>
      <c r="E31" s="245"/>
      <c r="F31" s="245"/>
      <c r="G31" s="77" t="s">
        <v>39</v>
      </c>
      <c r="H31" s="246"/>
      <c r="I31" s="246"/>
      <c r="J31" s="246"/>
      <c r="K31" s="74" t="s">
        <v>38</v>
      </c>
      <c r="M31" s="244" t="s">
        <v>41</v>
      </c>
      <c r="N31" s="245"/>
      <c r="O31" s="245"/>
      <c r="P31" s="245"/>
      <c r="Q31" s="245"/>
      <c r="R31" s="245"/>
      <c r="S31" s="77" t="s">
        <v>39</v>
      </c>
      <c r="T31" s="246"/>
      <c r="U31" s="246"/>
      <c r="V31" s="246"/>
      <c r="W31" s="74" t="s">
        <v>38</v>
      </c>
    </row>
    <row r="32" spans="1:24" ht="18.75" customHeight="1">
      <c r="A32" s="232" t="s">
        <v>40</v>
      </c>
      <c r="B32" s="233"/>
      <c r="C32" s="233"/>
      <c r="D32" s="233"/>
      <c r="E32" s="233"/>
      <c r="F32" s="233"/>
      <c r="G32" s="77" t="s">
        <v>39</v>
      </c>
      <c r="H32" s="234">
        <f>ROUND(H24-H31,-2)</f>
        <v>5324800</v>
      </c>
      <c r="I32" s="234"/>
      <c r="J32" s="234"/>
      <c r="K32" s="74" t="s">
        <v>38</v>
      </c>
      <c r="M32" s="232" t="s">
        <v>40</v>
      </c>
      <c r="N32" s="233"/>
      <c r="O32" s="233"/>
      <c r="P32" s="233"/>
      <c r="Q32" s="233"/>
      <c r="R32" s="233"/>
      <c r="S32" s="77" t="s">
        <v>39</v>
      </c>
      <c r="T32" s="234">
        <f>ROUND(T24-T31,-2)</f>
        <v>5124800</v>
      </c>
      <c r="U32" s="234"/>
      <c r="V32" s="234"/>
      <c r="W32" s="74" t="s">
        <v>38</v>
      </c>
    </row>
    <row r="33" spans="1:24" ht="18.75" customHeight="1">
      <c r="A33" s="91"/>
      <c r="B33" s="90"/>
      <c r="C33" s="90"/>
      <c r="D33" s="90"/>
      <c r="E33" s="90"/>
      <c r="F33" s="90"/>
      <c r="G33" s="90"/>
      <c r="H33" s="90"/>
      <c r="I33" s="90"/>
      <c r="J33" s="90"/>
      <c r="K33" s="89"/>
      <c r="M33" s="91"/>
      <c r="N33" s="90"/>
      <c r="O33" s="90"/>
      <c r="P33" s="90"/>
      <c r="Q33" s="90"/>
      <c r="R33" s="90"/>
      <c r="S33" s="90"/>
      <c r="T33" s="90"/>
      <c r="U33" s="90"/>
      <c r="V33" s="90"/>
      <c r="W33" s="89"/>
    </row>
    <row r="34" spans="1:24" ht="18.75" customHeight="1">
      <c r="A34" s="88"/>
      <c r="B34" s="77"/>
      <c r="C34" s="77"/>
      <c r="D34" s="77"/>
      <c r="E34" s="77"/>
      <c r="F34" s="77"/>
      <c r="G34" s="77"/>
      <c r="H34" s="77"/>
      <c r="I34" s="235" t="s">
        <v>37</v>
      </c>
      <c r="J34" s="235"/>
      <c r="K34" s="236"/>
      <c r="M34" s="88"/>
      <c r="N34" s="77"/>
      <c r="O34" s="77"/>
      <c r="P34" s="77"/>
      <c r="Q34" s="77"/>
      <c r="R34" s="77"/>
      <c r="S34" s="77"/>
      <c r="T34" s="77"/>
      <c r="U34" s="235" t="s">
        <v>37</v>
      </c>
      <c r="V34" s="235"/>
      <c r="W34" s="236"/>
    </row>
    <row r="35" spans="1:24" ht="18.75" customHeight="1">
      <c r="A35" s="88"/>
      <c r="B35" s="235"/>
      <c r="C35" s="235"/>
      <c r="D35" s="235"/>
      <c r="E35" s="235"/>
      <c r="F35" s="77"/>
      <c r="G35" s="77"/>
      <c r="H35" s="77"/>
      <c r="I35" s="77"/>
      <c r="J35" s="77"/>
      <c r="K35" s="82"/>
      <c r="M35" s="88"/>
      <c r="N35" s="235"/>
      <c r="O35" s="235"/>
      <c r="P35" s="235"/>
      <c r="Q35" s="235"/>
      <c r="R35" s="77"/>
      <c r="S35" s="77"/>
      <c r="T35" s="77"/>
      <c r="U35" s="77"/>
      <c r="V35" s="77"/>
      <c r="W35" s="82"/>
    </row>
    <row r="36" spans="1:24" ht="18.75" customHeight="1" thickBot="1">
      <c r="A36" s="87"/>
      <c r="B36" s="86"/>
      <c r="C36" s="86"/>
      <c r="D36" s="86"/>
      <c r="E36" s="86"/>
      <c r="F36" s="86"/>
      <c r="G36" s="86"/>
      <c r="H36" s="86"/>
      <c r="I36" s="237" t="s">
        <v>36</v>
      </c>
      <c r="J36" s="237"/>
      <c r="K36" s="238"/>
      <c r="M36" s="87"/>
      <c r="N36" s="86"/>
      <c r="O36" s="86"/>
      <c r="P36" s="86"/>
      <c r="Q36" s="86"/>
      <c r="R36" s="86"/>
      <c r="S36" s="86"/>
      <c r="T36" s="86"/>
      <c r="U36" s="237" t="s">
        <v>36</v>
      </c>
      <c r="V36" s="237"/>
      <c r="W36" s="238"/>
    </row>
    <row r="39" spans="1:24" ht="18.75" customHeight="1" thickTop="1">
      <c r="A39" s="239" t="s">
        <v>87</v>
      </c>
      <c r="B39" s="240"/>
      <c r="C39" s="240"/>
      <c r="D39" s="240"/>
      <c r="E39" s="240"/>
      <c r="F39" s="240"/>
      <c r="G39" s="240"/>
      <c r="H39" s="240"/>
      <c r="I39" s="240"/>
      <c r="J39" s="240"/>
      <c r="K39" s="241"/>
      <c r="L39" s="72">
        <v>25</v>
      </c>
      <c r="M39" s="239" t="s">
        <v>87</v>
      </c>
      <c r="N39" s="240"/>
      <c r="O39" s="240"/>
      <c r="P39" s="240"/>
      <c r="Q39" s="240"/>
      <c r="R39" s="240"/>
      <c r="S39" s="240"/>
      <c r="T39" s="240"/>
      <c r="U39" s="240"/>
      <c r="V39" s="240"/>
      <c r="W39" s="241"/>
      <c r="X39" s="72">
        <v>25</v>
      </c>
    </row>
    <row r="40" spans="1:24" ht="18.75" customHeight="1">
      <c r="A40" s="85" t="s">
        <v>154</v>
      </c>
      <c r="B40" s="84"/>
      <c r="C40" s="84"/>
      <c r="D40" s="84"/>
      <c r="E40" s="84"/>
      <c r="F40" s="84"/>
      <c r="G40" s="84"/>
      <c r="H40" s="84"/>
      <c r="I40" s="84"/>
      <c r="J40" s="84"/>
      <c r="K40" s="83"/>
      <c r="M40" s="85" t="s">
        <v>153</v>
      </c>
      <c r="N40" s="84"/>
      <c r="O40" s="84"/>
      <c r="P40" s="84"/>
      <c r="Q40" s="84"/>
      <c r="R40" s="84"/>
      <c r="S40" s="84"/>
      <c r="T40" s="84"/>
      <c r="U40" s="84"/>
      <c r="V40" s="84"/>
      <c r="W40" s="83"/>
    </row>
    <row r="41" spans="1:24" ht="18.75" customHeight="1">
      <c r="A41" s="227" t="s">
        <v>84</v>
      </c>
      <c r="B41" s="228"/>
      <c r="C41" s="228"/>
      <c r="D41" s="228"/>
      <c r="E41" s="228"/>
      <c r="F41" s="228"/>
      <c r="G41" s="228"/>
      <c r="H41" s="228"/>
      <c r="I41" s="228"/>
      <c r="J41" s="228"/>
      <c r="K41" s="229"/>
      <c r="M41" s="227" t="s">
        <v>84</v>
      </c>
      <c r="N41" s="228"/>
      <c r="O41" s="228"/>
      <c r="P41" s="228"/>
      <c r="Q41" s="228"/>
      <c r="R41" s="228"/>
      <c r="S41" s="228"/>
      <c r="T41" s="228"/>
      <c r="U41" s="228"/>
      <c r="V41" s="228"/>
      <c r="W41" s="229"/>
    </row>
    <row r="42" spans="1:24" ht="18.75" customHeight="1">
      <c r="A42" s="222" t="s">
        <v>83</v>
      </c>
      <c r="B42" s="223"/>
      <c r="C42" s="223"/>
      <c r="D42" s="223"/>
      <c r="E42" s="77" t="s">
        <v>39</v>
      </c>
      <c r="F42" s="224" t="s">
        <v>152</v>
      </c>
      <c r="G42" s="223"/>
      <c r="H42" s="223"/>
      <c r="I42" s="223"/>
      <c r="J42" s="223"/>
      <c r="K42" s="226"/>
      <c r="M42" s="222" t="s">
        <v>83</v>
      </c>
      <c r="N42" s="223"/>
      <c r="O42" s="223"/>
      <c r="P42" s="223"/>
      <c r="Q42" s="77" t="s">
        <v>39</v>
      </c>
      <c r="R42" s="224">
        <f>'[3]Bang TH nop'!B12</f>
        <v>0</v>
      </c>
      <c r="S42" s="223"/>
      <c r="T42" s="223"/>
      <c r="U42" s="223"/>
      <c r="V42" s="223"/>
      <c r="W42" s="226"/>
    </row>
    <row r="43" spans="1:24" ht="18.75" customHeight="1">
      <c r="A43" s="222" t="s">
        <v>82</v>
      </c>
      <c r="B43" s="223"/>
      <c r="C43" s="223"/>
      <c r="D43" s="223"/>
      <c r="E43" s="77" t="s">
        <v>39</v>
      </c>
      <c r="F43" s="224">
        <v>50205</v>
      </c>
      <c r="G43" s="224"/>
      <c r="H43" s="224"/>
      <c r="I43" s="224"/>
      <c r="J43" s="224"/>
      <c r="K43" s="225"/>
      <c r="M43" s="222" t="s">
        <v>82</v>
      </c>
      <c r="N43" s="223"/>
      <c r="O43" s="223"/>
      <c r="P43" s="223"/>
      <c r="Q43" s="77" t="s">
        <v>39</v>
      </c>
      <c r="R43" s="224">
        <f>'[3]Bang TH nop'!C12</f>
        <v>0</v>
      </c>
      <c r="S43" s="224"/>
      <c r="T43" s="224"/>
      <c r="U43" s="224"/>
      <c r="V43" s="224"/>
      <c r="W43" s="225"/>
    </row>
    <row r="44" spans="1:24" ht="18.75" customHeight="1">
      <c r="A44" s="222" t="s">
        <v>81</v>
      </c>
      <c r="B44" s="223"/>
      <c r="C44" s="223"/>
      <c r="D44" s="223"/>
      <c r="E44" s="77" t="s">
        <v>39</v>
      </c>
      <c r="F44" s="223" t="s">
        <v>151</v>
      </c>
      <c r="G44" s="223"/>
      <c r="H44" s="223"/>
      <c r="I44" s="223"/>
      <c r="J44" s="223"/>
      <c r="K44" s="226"/>
      <c r="M44" s="222" t="s">
        <v>81</v>
      </c>
      <c r="N44" s="223"/>
      <c r="O44" s="223"/>
      <c r="P44" s="223"/>
      <c r="Q44" s="77" t="s">
        <v>39</v>
      </c>
      <c r="R44" s="223" t="s">
        <v>80</v>
      </c>
      <c r="S44" s="223"/>
      <c r="T44" s="223"/>
      <c r="U44" s="223"/>
      <c r="V44" s="223"/>
      <c r="W44" s="226"/>
    </row>
    <row r="45" spans="1:24" ht="18.75" customHeight="1">
      <c r="A45" s="227" t="s">
        <v>150</v>
      </c>
      <c r="B45" s="228"/>
      <c r="C45" s="228"/>
      <c r="D45" s="228"/>
      <c r="E45" s="228"/>
      <c r="F45" s="228"/>
      <c r="G45" s="228"/>
      <c r="H45" s="228"/>
      <c r="I45" s="228"/>
      <c r="J45" s="228"/>
      <c r="K45" s="229"/>
      <c r="M45" s="227" t="s">
        <v>79</v>
      </c>
      <c r="N45" s="228"/>
      <c r="O45" s="228"/>
      <c r="P45" s="228"/>
      <c r="Q45" s="228"/>
      <c r="R45" s="228"/>
      <c r="S45" s="228"/>
      <c r="T45" s="228"/>
      <c r="U45" s="228"/>
      <c r="V45" s="228"/>
      <c r="W45" s="229"/>
    </row>
    <row r="46" spans="1:24" ht="18.75" customHeight="1">
      <c r="A46" s="222" t="s">
        <v>78</v>
      </c>
      <c r="B46" s="223"/>
      <c r="C46" s="223"/>
      <c r="D46" s="223"/>
      <c r="E46" s="77" t="s">
        <v>39</v>
      </c>
      <c r="F46" s="230">
        <v>3285000</v>
      </c>
      <c r="G46" s="230"/>
      <c r="H46" s="230"/>
      <c r="I46" s="230"/>
      <c r="J46" s="77" t="s">
        <v>38</v>
      </c>
      <c r="K46" s="82"/>
      <c r="M46" s="222" t="s">
        <v>78</v>
      </c>
      <c r="N46" s="223"/>
      <c r="O46" s="223"/>
      <c r="P46" s="223"/>
      <c r="Q46" s="77" t="s">
        <v>39</v>
      </c>
      <c r="R46" s="230">
        <v>2915400</v>
      </c>
      <c r="S46" s="230"/>
      <c r="T46" s="230"/>
      <c r="U46" s="230"/>
      <c r="V46" s="77" t="s">
        <v>38</v>
      </c>
      <c r="W46" s="82"/>
    </row>
    <row r="47" spans="1:24" ht="18.75" customHeight="1">
      <c r="A47" s="81" t="s">
        <v>77</v>
      </c>
      <c r="B47" s="77"/>
      <c r="C47" s="80"/>
      <c r="D47" s="79"/>
      <c r="E47" s="78"/>
      <c r="F47" s="78"/>
      <c r="G47" s="78"/>
      <c r="H47" s="77"/>
      <c r="I47" s="76"/>
      <c r="J47" s="75"/>
      <c r="K47" s="74"/>
      <c r="M47" s="81" t="s">
        <v>77</v>
      </c>
      <c r="N47" s="77"/>
      <c r="O47" s="80"/>
      <c r="P47" s="79"/>
      <c r="Q47" s="78"/>
      <c r="R47" s="78"/>
      <c r="S47" s="78"/>
      <c r="T47" s="77"/>
      <c r="U47" s="76" t="e">
        <f>#REF!</f>
        <v>#REF!</v>
      </c>
      <c r="V47" s="75"/>
      <c r="W47" s="74"/>
    </row>
    <row r="48" spans="1:24" ht="18.75" customHeight="1">
      <c r="A48" s="81" t="s">
        <v>76</v>
      </c>
      <c r="B48" s="77"/>
      <c r="C48" s="80"/>
      <c r="D48" s="79"/>
      <c r="E48" s="78"/>
      <c r="F48" s="78"/>
      <c r="G48" s="78"/>
      <c r="H48" s="77"/>
      <c r="I48" s="76"/>
      <c r="J48" s="75"/>
      <c r="K48" s="74"/>
      <c r="M48" s="81" t="s">
        <v>76</v>
      </c>
      <c r="N48" s="77"/>
      <c r="O48" s="80"/>
      <c r="P48" s="79"/>
      <c r="Q48" s="78"/>
      <c r="R48" s="78"/>
      <c r="S48" s="78"/>
      <c r="T48" s="77"/>
      <c r="U48" s="76" t="e">
        <f>U49/O49/8</f>
        <v>#REF!</v>
      </c>
      <c r="V48" s="75"/>
      <c r="W48" s="74"/>
    </row>
    <row r="49" spans="1:24" ht="18.75" customHeight="1">
      <c r="A49" s="81" t="s">
        <v>149</v>
      </c>
      <c r="B49" s="77" t="s">
        <v>39</v>
      </c>
      <c r="C49" s="80">
        <v>26</v>
      </c>
      <c r="D49" s="79" t="s">
        <v>52</v>
      </c>
      <c r="E49" s="249" t="s">
        <v>148</v>
      </c>
      <c r="F49" s="249"/>
      <c r="G49" s="249"/>
      <c r="H49" s="77" t="s">
        <v>39</v>
      </c>
      <c r="I49" s="255">
        <f>+F46/26*C49</f>
        <v>3285000</v>
      </c>
      <c r="J49" s="255"/>
      <c r="K49" s="74" t="s">
        <v>38</v>
      </c>
      <c r="L49" s="95">
        <f>F46/L39*C49</f>
        <v>3416400</v>
      </c>
      <c r="M49" s="81" t="s">
        <v>75</v>
      </c>
      <c r="N49" s="77" t="s">
        <v>39</v>
      </c>
      <c r="O49" s="80" t="e">
        <f>#REF!</f>
        <v>#REF!</v>
      </c>
      <c r="P49" s="79" t="s">
        <v>52</v>
      </c>
      <c r="Q49" s="249" t="s">
        <v>74</v>
      </c>
      <c r="R49" s="249"/>
      <c r="S49" s="249"/>
      <c r="T49" s="77" t="s">
        <v>39</v>
      </c>
      <c r="U49" s="255" t="e">
        <f>#REF!</f>
        <v>#REF!</v>
      </c>
      <c r="V49" s="255"/>
      <c r="W49" s="74" t="s">
        <v>38</v>
      </c>
      <c r="X49" s="95" t="e">
        <f>R46/X39*O49</f>
        <v>#REF!</v>
      </c>
    </row>
    <row r="50" spans="1:24" ht="18.75" customHeight="1">
      <c r="A50" s="81" t="s">
        <v>73</v>
      </c>
      <c r="B50" s="77" t="s">
        <v>39</v>
      </c>
      <c r="C50" s="80">
        <v>0</v>
      </c>
      <c r="D50" s="79" t="s">
        <v>52</v>
      </c>
      <c r="E50" s="223" t="s">
        <v>72</v>
      </c>
      <c r="F50" s="223"/>
      <c r="G50" s="223"/>
      <c r="H50" s="77" t="s">
        <v>39</v>
      </c>
      <c r="I50" s="247">
        <f>$F$8/$L$1*C50</f>
        <v>0</v>
      </c>
      <c r="J50" s="247"/>
      <c r="K50" s="74" t="s">
        <v>38</v>
      </c>
      <c r="L50" s="95"/>
      <c r="M50" s="81" t="s">
        <v>73</v>
      </c>
      <c r="N50" s="77" t="s">
        <v>39</v>
      </c>
      <c r="O50" s="80" t="e">
        <f>#REF!</f>
        <v>#REF!</v>
      </c>
      <c r="P50" s="79" t="s">
        <v>52</v>
      </c>
      <c r="Q50" s="223" t="s">
        <v>72</v>
      </c>
      <c r="R50" s="223"/>
      <c r="S50" s="223"/>
      <c r="T50" s="77" t="s">
        <v>39</v>
      </c>
      <c r="U50" s="247" t="e">
        <f>$F$8/$L$1*O50</f>
        <v>#REF!</v>
      </c>
      <c r="V50" s="247"/>
      <c r="W50" s="74" t="s">
        <v>38</v>
      </c>
      <c r="X50" s="95"/>
    </row>
    <row r="51" spans="1:24" ht="18.75" customHeight="1">
      <c r="A51" s="81" t="s">
        <v>71</v>
      </c>
      <c r="B51" s="77" t="s">
        <v>39</v>
      </c>
      <c r="C51" s="80">
        <v>1</v>
      </c>
      <c r="D51" s="79" t="s">
        <v>52</v>
      </c>
      <c r="E51" s="256" t="s">
        <v>70</v>
      </c>
      <c r="F51" s="256"/>
      <c r="G51" s="256"/>
      <c r="H51" s="77" t="s">
        <v>39</v>
      </c>
      <c r="I51" s="247"/>
      <c r="J51" s="247"/>
      <c r="K51" s="74" t="s">
        <v>38</v>
      </c>
      <c r="L51" s="95"/>
      <c r="M51" s="81" t="s">
        <v>71</v>
      </c>
      <c r="N51" s="77" t="s">
        <v>39</v>
      </c>
      <c r="O51" s="80" t="e">
        <f>#REF!</f>
        <v>#REF!</v>
      </c>
      <c r="P51" s="79" t="s">
        <v>52</v>
      </c>
      <c r="Q51" s="256" t="s">
        <v>70</v>
      </c>
      <c r="R51" s="256"/>
      <c r="S51" s="256"/>
      <c r="T51" s="77" t="s">
        <v>39</v>
      </c>
      <c r="U51" s="247" t="e">
        <f>$F$8/$L$1*O51</f>
        <v>#REF!</v>
      </c>
      <c r="V51" s="247"/>
      <c r="W51" s="74" t="s">
        <v>38</v>
      </c>
      <c r="X51" s="95"/>
    </row>
    <row r="52" spans="1:24" ht="18.75" customHeight="1">
      <c r="A52" s="81" t="s">
        <v>69</v>
      </c>
      <c r="B52" s="77" t="s">
        <v>39</v>
      </c>
      <c r="C52" s="80">
        <v>0</v>
      </c>
      <c r="D52" s="79" t="s">
        <v>52</v>
      </c>
      <c r="E52" s="256" t="s">
        <v>68</v>
      </c>
      <c r="F52" s="256"/>
      <c r="G52" s="256"/>
      <c r="H52" s="77" t="s">
        <v>39</v>
      </c>
      <c r="I52" s="247">
        <f>$F$8/$L$1*C52</f>
        <v>0</v>
      </c>
      <c r="J52" s="247"/>
      <c r="K52" s="74" t="s">
        <v>38</v>
      </c>
      <c r="L52" s="95"/>
      <c r="M52" s="81" t="s">
        <v>69</v>
      </c>
      <c r="N52" s="77" t="s">
        <v>39</v>
      </c>
      <c r="O52" s="80" t="e">
        <f>#REF!</f>
        <v>#REF!</v>
      </c>
      <c r="P52" s="79" t="s">
        <v>52</v>
      </c>
      <c r="Q52" s="256" t="s">
        <v>68</v>
      </c>
      <c r="R52" s="256"/>
      <c r="S52" s="256"/>
      <c r="T52" s="77" t="s">
        <v>39</v>
      </c>
      <c r="U52" s="247" t="e">
        <f>$F$8/$L$1*O52</f>
        <v>#REF!</v>
      </c>
      <c r="V52" s="247"/>
      <c r="W52" s="74" t="s">
        <v>38</v>
      </c>
      <c r="X52" s="95"/>
    </row>
    <row r="53" spans="1:24" ht="18.75" customHeight="1">
      <c r="A53" s="81" t="s">
        <v>67</v>
      </c>
      <c r="B53" s="77" t="s">
        <v>39</v>
      </c>
      <c r="C53" s="80"/>
      <c r="D53" s="79" t="s">
        <v>58</v>
      </c>
      <c r="E53" s="223" t="s">
        <v>66</v>
      </c>
      <c r="F53" s="223"/>
      <c r="G53" s="223"/>
      <c r="H53" s="77" t="s">
        <v>39</v>
      </c>
      <c r="I53" s="247"/>
      <c r="J53" s="247"/>
      <c r="K53" s="74" t="s">
        <v>38</v>
      </c>
      <c r="L53" s="95">
        <f>F46*C53/L39/8*1.5</f>
        <v>0</v>
      </c>
      <c r="M53" s="81" t="s">
        <v>67</v>
      </c>
      <c r="N53" s="77" t="s">
        <v>39</v>
      </c>
      <c r="O53" s="80" t="e">
        <f>#REF!</f>
        <v>#REF!</v>
      </c>
      <c r="P53" s="79" t="s">
        <v>58</v>
      </c>
      <c r="Q53" s="223" t="s">
        <v>66</v>
      </c>
      <c r="R53" s="223"/>
      <c r="S53" s="223"/>
      <c r="T53" s="77" t="s">
        <v>39</v>
      </c>
      <c r="U53" s="247" t="e">
        <f>#REF!</f>
        <v>#REF!</v>
      </c>
      <c r="V53" s="247"/>
      <c r="W53" s="74" t="s">
        <v>38</v>
      </c>
      <c r="X53" s="95" t="e">
        <f>R46*O53/X39/8*1.5</f>
        <v>#REF!</v>
      </c>
    </row>
    <row r="54" spans="1:24" ht="18.75" customHeight="1">
      <c r="A54" s="222" t="s">
        <v>65</v>
      </c>
      <c r="B54" s="223"/>
      <c r="C54" s="80">
        <v>5</v>
      </c>
      <c r="D54" s="79" t="s">
        <v>52</v>
      </c>
      <c r="E54" s="223" t="s">
        <v>64</v>
      </c>
      <c r="F54" s="223"/>
      <c r="G54" s="223"/>
      <c r="H54" s="100" t="s">
        <v>39</v>
      </c>
      <c r="I54" s="247">
        <f>+F46/26*8</f>
        <v>1010769.2307692308</v>
      </c>
      <c r="J54" s="247"/>
      <c r="K54" s="74" t="s">
        <v>38</v>
      </c>
      <c r="L54" s="95"/>
      <c r="M54" s="222" t="s">
        <v>65</v>
      </c>
      <c r="N54" s="223"/>
      <c r="O54" s="80"/>
      <c r="P54" s="79" t="s">
        <v>52</v>
      </c>
      <c r="Q54" s="223" t="s">
        <v>64</v>
      </c>
      <c r="R54" s="223"/>
      <c r="S54" s="223"/>
      <c r="T54" s="100" t="s">
        <v>39</v>
      </c>
      <c r="U54" s="247"/>
      <c r="V54" s="247"/>
      <c r="W54" s="74" t="s">
        <v>38</v>
      </c>
      <c r="X54" s="95"/>
    </row>
    <row r="55" spans="1:24" ht="18.75" customHeight="1">
      <c r="A55" s="81" t="s">
        <v>63</v>
      </c>
      <c r="B55" s="77" t="s">
        <v>39</v>
      </c>
      <c r="C55" s="80"/>
      <c r="D55" s="79" t="s">
        <v>52</v>
      </c>
      <c r="E55" s="223" t="s">
        <v>62</v>
      </c>
      <c r="F55" s="223"/>
      <c r="G55" s="223"/>
      <c r="H55" s="77" t="s">
        <v>39</v>
      </c>
      <c r="I55" s="247"/>
      <c r="J55" s="247"/>
      <c r="K55" s="74" t="s">
        <v>38</v>
      </c>
      <c r="L55" s="95"/>
      <c r="M55" s="81" t="s">
        <v>63</v>
      </c>
      <c r="N55" s="77" t="s">
        <v>39</v>
      </c>
      <c r="O55" s="80"/>
      <c r="P55" s="79" t="s">
        <v>52</v>
      </c>
      <c r="Q55" s="223" t="s">
        <v>62</v>
      </c>
      <c r="R55" s="223"/>
      <c r="S55" s="223"/>
      <c r="T55" s="77" t="s">
        <v>39</v>
      </c>
      <c r="U55" s="247"/>
      <c r="V55" s="247"/>
      <c r="W55" s="74" t="s">
        <v>38</v>
      </c>
      <c r="X55" s="95"/>
    </row>
    <row r="56" spans="1:24" ht="18.75" customHeight="1">
      <c r="A56" s="99" t="s">
        <v>61</v>
      </c>
      <c r="B56" s="77"/>
      <c r="C56" s="80">
        <v>0</v>
      </c>
      <c r="D56" s="79" t="s">
        <v>58</v>
      </c>
      <c r="E56" s="223" t="s">
        <v>60</v>
      </c>
      <c r="F56" s="223"/>
      <c r="G56" s="223"/>
      <c r="H56" s="77" t="s">
        <v>39</v>
      </c>
      <c r="I56" s="247">
        <f>$F$8*C56/8/$L$1</f>
        <v>0</v>
      </c>
      <c r="J56" s="247"/>
      <c r="K56" s="74" t="s">
        <v>38</v>
      </c>
      <c r="L56" s="95"/>
      <c r="M56" s="99" t="s">
        <v>61</v>
      </c>
      <c r="N56" s="77"/>
      <c r="O56" s="80" t="e">
        <f>#REF!</f>
        <v>#REF!</v>
      </c>
      <c r="P56" s="79" t="s">
        <v>58</v>
      </c>
      <c r="Q56" s="223" t="s">
        <v>60</v>
      </c>
      <c r="R56" s="223"/>
      <c r="S56" s="223"/>
      <c r="T56" s="77" t="s">
        <v>39</v>
      </c>
      <c r="U56" s="247" t="e">
        <f>$F$8*O56/8/$L$1</f>
        <v>#REF!</v>
      </c>
      <c r="V56" s="247"/>
      <c r="W56" s="74" t="s">
        <v>38</v>
      </c>
      <c r="X56" s="95"/>
    </row>
    <row r="57" spans="1:24" ht="18.75" customHeight="1">
      <c r="A57" s="81" t="s">
        <v>59</v>
      </c>
      <c r="B57" s="77" t="s">
        <v>39</v>
      </c>
      <c r="C57" s="80">
        <v>60</v>
      </c>
      <c r="D57" s="79" t="s">
        <v>58</v>
      </c>
      <c r="E57" s="223" t="s">
        <v>57</v>
      </c>
      <c r="F57" s="223"/>
      <c r="G57" s="223"/>
      <c r="H57" s="77" t="s">
        <v>39</v>
      </c>
      <c r="I57" s="255">
        <v>379038</v>
      </c>
      <c r="J57" s="255"/>
      <c r="K57" s="74" t="s">
        <v>38</v>
      </c>
      <c r="L57" s="95"/>
      <c r="M57" s="81" t="s">
        <v>59</v>
      </c>
      <c r="N57" s="77" t="s">
        <v>39</v>
      </c>
      <c r="O57" s="80"/>
      <c r="P57" s="79" t="s">
        <v>58</v>
      </c>
      <c r="Q57" s="223" t="s">
        <v>57</v>
      </c>
      <c r="R57" s="223"/>
      <c r="S57" s="223"/>
      <c r="T57" s="77" t="s">
        <v>39</v>
      </c>
      <c r="U57" s="255"/>
      <c r="V57" s="255"/>
      <c r="W57" s="74" t="s">
        <v>38</v>
      </c>
      <c r="X57" s="95"/>
    </row>
    <row r="58" spans="1:24" ht="18.75" customHeight="1">
      <c r="A58" s="81" t="s">
        <v>147</v>
      </c>
      <c r="B58" s="77" t="s">
        <v>39</v>
      </c>
      <c r="C58" s="80"/>
      <c r="D58" s="79" t="s">
        <v>55</v>
      </c>
      <c r="E58" s="98" t="s">
        <v>146</v>
      </c>
      <c r="F58" s="98"/>
      <c r="G58" s="98"/>
      <c r="H58" s="77" t="s">
        <v>39</v>
      </c>
      <c r="I58" s="247"/>
      <c r="J58" s="247"/>
      <c r="K58" s="74" t="s">
        <v>38</v>
      </c>
      <c r="L58" s="95">
        <f>+IF(L49-I49&lt;0,0,L49-I49)+IF(L53-I53&lt;0,0,L53-I53)</f>
        <v>131400</v>
      </c>
      <c r="M58" s="81" t="s">
        <v>56</v>
      </c>
      <c r="N58" s="77" t="s">
        <v>39</v>
      </c>
      <c r="O58" s="80"/>
      <c r="P58" s="79" t="s">
        <v>55</v>
      </c>
      <c r="Q58" s="98" t="s">
        <v>54</v>
      </c>
      <c r="R58" s="98"/>
      <c r="S58" s="98"/>
      <c r="T58" s="77" t="s">
        <v>39</v>
      </c>
      <c r="U58" s="247"/>
      <c r="V58" s="247"/>
      <c r="W58" s="74" t="s">
        <v>38</v>
      </c>
      <c r="X58" s="95" t="e">
        <f>+IF(X49-U49&lt;0,0,X49-U49)+IF(X53-U53&lt;0,0,X53-U53)</f>
        <v>#REF!</v>
      </c>
    </row>
    <row r="59" spans="1:24" ht="18.75" customHeight="1">
      <c r="A59" s="97" t="s">
        <v>53</v>
      </c>
      <c r="B59" s="96"/>
      <c r="C59" s="80"/>
      <c r="D59" s="79" t="s">
        <v>52</v>
      </c>
      <c r="E59" s="223" t="s">
        <v>51</v>
      </c>
      <c r="F59" s="223"/>
      <c r="G59" s="223"/>
      <c r="H59" s="77" t="s">
        <v>39</v>
      </c>
      <c r="I59" s="247">
        <f>30*15000</f>
        <v>450000</v>
      </c>
      <c r="J59" s="247"/>
      <c r="K59" s="74" t="s">
        <v>38</v>
      </c>
      <c r="L59" s="95"/>
      <c r="M59" s="97" t="s">
        <v>53</v>
      </c>
      <c r="N59" s="96"/>
      <c r="O59" s="80"/>
      <c r="P59" s="79" t="s">
        <v>52</v>
      </c>
      <c r="Q59" s="223" t="s">
        <v>51</v>
      </c>
      <c r="R59" s="223"/>
      <c r="S59" s="223"/>
      <c r="T59" s="77" t="s">
        <v>39</v>
      </c>
      <c r="U59" s="247"/>
      <c r="V59" s="247"/>
      <c r="W59" s="74" t="s">
        <v>38</v>
      </c>
      <c r="X59" s="95"/>
    </row>
    <row r="60" spans="1:24" ht="18.75" customHeight="1">
      <c r="A60" s="248" t="s">
        <v>50</v>
      </c>
      <c r="B60" s="249"/>
      <c r="C60" s="80"/>
      <c r="D60" s="79"/>
      <c r="E60" s="78"/>
      <c r="F60" s="78"/>
      <c r="G60" s="78"/>
      <c r="H60" s="77" t="s">
        <v>39</v>
      </c>
      <c r="I60" s="247"/>
      <c r="J60" s="247"/>
      <c r="K60" s="74" t="s">
        <v>38</v>
      </c>
      <c r="L60" s="95"/>
      <c r="M60" s="248" t="s">
        <v>50</v>
      </c>
      <c r="N60" s="249"/>
      <c r="O60" s="80"/>
      <c r="P60" s="79"/>
      <c r="Q60" s="78"/>
      <c r="R60" s="78"/>
      <c r="S60" s="78"/>
      <c r="T60" s="77" t="s">
        <v>39</v>
      </c>
      <c r="U60" s="247" t="e">
        <f>#REF!</f>
        <v>#REF!</v>
      </c>
      <c r="V60" s="247"/>
      <c r="W60" s="74" t="s">
        <v>38</v>
      </c>
      <c r="X60" s="95"/>
    </row>
    <row r="61" spans="1:24" ht="18.75" customHeight="1">
      <c r="A61" s="81" t="s">
        <v>49</v>
      </c>
      <c r="B61" s="77" t="s">
        <v>39</v>
      </c>
      <c r="C61" s="80"/>
      <c r="D61" s="79"/>
      <c r="E61" s="78" t="s">
        <v>48</v>
      </c>
      <c r="F61" s="78"/>
      <c r="G61" s="78"/>
      <c r="H61" s="77" t="s">
        <v>39</v>
      </c>
      <c r="I61" s="247"/>
      <c r="J61" s="247"/>
      <c r="K61" s="74" t="s">
        <v>38</v>
      </c>
      <c r="L61" s="95"/>
      <c r="M61" s="81" t="s">
        <v>49</v>
      </c>
      <c r="N61" s="77" t="s">
        <v>39</v>
      </c>
      <c r="O61" s="80"/>
      <c r="P61" s="79"/>
      <c r="Q61" s="78" t="s">
        <v>48</v>
      </c>
      <c r="R61" s="78"/>
      <c r="S61" s="78"/>
      <c r="T61" s="77" t="s">
        <v>39</v>
      </c>
      <c r="U61" s="247" t="e">
        <f>X58</f>
        <v>#REF!</v>
      </c>
      <c r="V61" s="247"/>
      <c r="W61" s="74" t="s">
        <v>38</v>
      </c>
      <c r="X61" s="95"/>
    </row>
    <row r="62" spans="1:24" ht="18.75" customHeight="1">
      <c r="A62" s="250" t="s">
        <v>47</v>
      </c>
      <c r="B62" s="251"/>
      <c r="C62" s="251"/>
      <c r="D62" s="251"/>
      <c r="E62" s="251"/>
      <c r="F62" s="251"/>
      <c r="G62" s="77" t="s">
        <v>39</v>
      </c>
      <c r="H62" s="252">
        <f>I49+I50+I51+I52+I53+I56+I60+I61+I54+I59+I57+I58</f>
        <v>5124807.230769231</v>
      </c>
      <c r="I62" s="252"/>
      <c r="J62" s="252"/>
      <c r="K62" s="74" t="s">
        <v>38</v>
      </c>
      <c r="M62" s="250" t="s">
        <v>47</v>
      </c>
      <c r="N62" s="251"/>
      <c r="O62" s="251"/>
      <c r="P62" s="251"/>
      <c r="Q62" s="251"/>
      <c r="R62" s="251"/>
      <c r="S62" s="77" t="s">
        <v>39</v>
      </c>
      <c r="T62" s="252" t="e">
        <f>U49+U50+U51+U52+U53+U56+U60+U61</f>
        <v>#REF!</v>
      </c>
      <c r="U62" s="252"/>
      <c r="V62" s="252"/>
      <c r="W62" s="74" t="s">
        <v>38</v>
      </c>
    </row>
    <row r="63" spans="1:24" ht="18.75" customHeight="1">
      <c r="A63" s="94"/>
      <c r="B63" s="93"/>
      <c r="C63" s="93"/>
      <c r="D63" s="93"/>
      <c r="E63" s="93"/>
      <c r="F63" s="93"/>
      <c r="G63" s="93"/>
      <c r="H63" s="93"/>
      <c r="I63" s="93"/>
      <c r="J63" s="93"/>
      <c r="K63" s="92"/>
      <c r="M63" s="94"/>
      <c r="N63" s="93"/>
      <c r="O63" s="93"/>
      <c r="P63" s="93"/>
      <c r="Q63" s="93"/>
      <c r="R63" s="93"/>
      <c r="S63" s="93"/>
      <c r="T63" s="93"/>
      <c r="U63" s="93"/>
      <c r="V63" s="93"/>
      <c r="W63" s="92"/>
    </row>
    <row r="64" spans="1:24" ht="18.75" customHeight="1">
      <c r="A64" s="253" t="s">
        <v>46</v>
      </c>
      <c r="B64" s="254"/>
      <c r="C64" s="254"/>
      <c r="D64" s="254"/>
      <c r="E64" s="254"/>
      <c r="F64" s="254"/>
      <c r="G64" s="77"/>
      <c r="H64" s="77"/>
      <c r="I64" s="77"/>
      <c r="J64" s="77"/>
      <c r="K64" s="74"/>
      <c r="M64" s="253" t="s">
        <v>46</v>
      </c>
      <c r="N64" s="254"/>
      <c r="O64" s="254"/>
      <c r="P64" s="254"/>
      <c r="Q64" s="254"/>
      <c r="R64" s="254"/>
      <c r="S64" s="77"/>
      <c r="T64" s="77"/>
      <c r="U64" s="77"/>
      <c r="V64" s="77"/>
      <c r="W64" s="74"/>
    </row>
    <row r="65" spans="1:24" ht="18.75" customHeight="1">
      <c r="A65" s="232" t="s">
        <v>45</v>
      </c>
      <c r="B65" s="233"/>
      <c r="C65" s="233"/>
      <c r="D65" s="233"/>
      <c r="E65" s="233"/>
      <c r="F65" s="233"/>
      <c r="G65" s="77" t="s">
        <v>39</v>
      </c>
      <c r="H65" s="242"/>
      <c r="I65" s="242"/>
      <c r="J65" s="242"/>
      <c r="K65" s="74" t="s">
        <v>38</v>
      </c>
      <c r="M65" s="232" t="s">
        <v>45</v>
      </c>
      <c r="N65" s="233"/>
      <c r="O65" s="233"/>
      <c r="P65" s="233"/>
      <c r="Q65" s="233"/>
      <c r="R65" s="233"/>
      <c r="S65" s="77" t="s">
        <v>39</v>
      </c>
      <c r="T65" s="242" t="e">
        <f>IF(($L$1-(O49+O50+O51+O52))&gt;12,0,R46*8%)</f>
        <v>#REF!</v>
      </c>
      <c r="U65" s="242"/>
      <c r="V65" s="242"/>
      <c r="W65" s="74" t="s">
        <v>38</v>
      </c>
    </row>
    <row r="66" spans="1:24" ht="18.75" customHeight="1">
      <c r="A66" s="232" t="s">
        <v>44</v>
      </c>
      <c r="B66" s="233"/>
      <c r="C66" s="233"/>
      <c r="D66" s="233"/>
      <c r="E66" s="233"/>
      <c r="F66" s="233"/>
      <c r="G66" s="77" t="s">
        <v>39</v>
      </c>
      <c r="H66" s="243"/>
      <c r="I66" s="243"/>
      <c r="J66" s="243"/>
      <c r="K66" s="74" t="s">
        <v>38</v>
      </c>
      <c r="M66" s="232" t="s">
        <v>44</v>
      </c>
      <c r="N66" s="233"/>
      <c r="O66" s="233"/>
      <c r="P66" s="233"/>
      <c r="Q66" s="233"/>
      <c r="R66" s="233"/>
      <c r="S66" s="77" t="s">
        <v>39</v>
      </c>
      <c r="T66" s="243" t="e">
        <f>IF(($L$1-(O49+O50+O51+O52))&gt;12,0,R46*1.5%)</f>
        <v>#REF!</v>
      </c>
      <c r="U66" s="243"/>
      <c r="V66" s="243"/>
      <c r="W66" s="74" t="s">
        <v>38</v>
      </c>
    </row>
    <row r="67" spans="1:24" ht="18.75" customHeight="1">
      <c r="A67" s="232" t="s">
        <v>43</v>
      </c>
      <c r="B67" s="233"/>
      <c r="C67" s="233"/>
      <c r="D67" s="233"/>
      <c r="E67" s="233"/>
      <c r="F67" s="233"/>
      <c r="G67" s="77" t="s">
        <v>39</v>
      </c>
      <c r="H67" s="243"/>
      <c r="I67" s="243"/>
      <c r="J67" s="243"/>
      <c r="K67" s="74" t="s">
        <v>38</v>
      </c>
      <c r="M67" s="232" t="s">
        <v>43</v>
      </c>
      <c r="N67" s="233"/>
      <c r="O67" s="233"/>
      <c r="P67" s="233"/>
      <c r="Q67" s="233"/>
      <c r="R67" s="233"/>
      <c r="S67" s="77" t="s">
        <v>39</v>
      </c>
      <c r="T67" s="243" t="e">
        <f>IF(($L$1-(O49+O50+O51+O52))&gt;12,0,R46*1%)</f>
        <v>#REF!</v>
      </c>
      <c r="U67" s="243"/>
      <c r="V67" s="243"/>
      <c r="W67" s="74" t="s">
        <v>38</v>
      </c>
    </row>
    <row r="68" spans="1:24" ht="18.75" customHeight="1">
      <c r="A68" s="232" t="s">
        <v>42</v>
      </c>
      <c r="B68" s="233"/>
      <c r="C68" s="233"/>
      <c r="D68" s="233"/>
      <c r="E68" s="233"/>
      <c r="F68" s="233"/>
      <c r="G68" s="77" t="s">
        <v>39</v>
      </c>
      <c r="H68" s="243"/>
      <c r="I68" s="243"/>
      <c r="J68" s="243"/>
      <c r="K68" s="74" t="s">
        <v>38</v>
      </c>
      <c r="M68" s="232" t="s">
        <v>42</v>
      </c>
      <c r="N68" s="233"/>
      <c r="O68" s="233"/>
      <c r="P68" s="233"/>
      <c r="Q68" s="233"/>
      <c r="R68" s="233"/>
      <c r="S68" s="77" t="s">
        <v>39</v>
      </c>
      <c r="T68" s="243">
        <v>0</v>
      </c>
      <c r="U68" s="243"/>
      <c r="V68" s="243"/>
      <c r="W68" s="74" t="s">
        <v>38</v>
      </c>
    </row>
    <row r="69" spans="1:24" ht="18.75" customHeight="1">
      <c r="A69" s="244" t="s">
        <v>41</v>
      </c>
      <c r="B69" s="245"/>
      <c r="C69" s="245"/>
      <c r="D69" s="245"/>
      <c r="E69" s="245"/>
      <c r="F69" s="245"/>
      <c r="G69" s="77" t="s">
        <v>39</v>
      </c>
      <c r="H69" s="246"/>
      <c r="I69" s="246"/>
      <c r="J69" s="246"/>
      <c r="K69" s="74" t="s">
        <v>38</v>
      </c>
      <c r="M69" s="244" t="s">
        <v>41</v>
      </c>
      <c r="N69" s="245"/>
      <c r="O69" s="245"/>
      <c r="P69" s="245"/>
      <c r="Q69" s="245"/>
      <c r="R69" s="245"/>
      <c r="S69" s="77" t="s">
        <v>39</v>
      </c>
      <c r="T69" s="246" t="e">
        <f>SUM(T65:V68)</f>
        <v>#REF!</v>
      </c>
      <c r="U69" s="246"/>
      <c r="V69" s="246"/>
      <c r="W69" s="74" t="s">
        <v>38</v>
      </c>
    </row>
    <row r="70" spans="1:24" ht="18.75" customHeight="1">
      <c r="A70" s="232" t="s">
        <v>40</v>
      </c>
      <c r="B70" s="233"/>
      <c r="C70" s="233"/>
      <c r="D70" s="233"/>
      <c r="E70" s="233"/>
      <c r="F70" s="233"/>
      <c r="G70" s="77" t="s">
        <v>39</v>
      </c>
      <c r="H70" s="234">
        <f>ROUND(H62-H69,-2)</f>
        <v>5124800</v>
      </c>
      <c r="I70" s="234"/>
      <c r="J70" s="234"/>
      <c r="K70" s="74" t="s">
        <v>38</v>
      </c>
      <c r="M70" s="232" t="s">
        <v>40</v>
      </c>
      <c r="N70" s="233"/>
      <c r="O70" s="233"/>
      <c r="P70" s="233"/>
      <c r="Q70" s="233"/>
      <c r="R70" s="233"/>
      <c r="S70" s="77" t="s">
        <v>39</v>
      </c>
      <c r="T70" s="234" t="e">
        <f>ROUND(T62-T69,-2)</f>
        <v>#REF!</v>
      </c>
      <c r="U70" s="234"/>
      <c r="V70" s="234"/>
      <c r="W70" s="74" t="s">
        <v>38</v>
      </c>
    </row>
    <row r="71" spans="1:24" ht="18.75" customHeight="1">
      <c r="A71" s="91"/>
      <c r="B71" s="90"/>
      <c r="C71" s="90"/>
      <c r="D71" s="90"/>
      <c r="E71" s="90"/>
      <c r="F71" s="90"/>
      <c r="G71" s="90"/>
      <c r="H71" s="90"/>
      <c r="I71" s="90"/>
      <c r="J71" s="90"/>
      <c r="K71" s="89"/>
      <c r="M71" s="91"/>
      <c r="N71" s="90"/>
      <c r="O71" s="90"/>
      <c r="P71" s="90"/>
      <c r="Q71" s="90"/>
      <c r="R71" s="90"/>
      <c r="S71" s="90"/>
      <c r="T71" s="90"/>
      <c r="U71" s="90"/>
      <c r="V71" s="90"/>
      <c r="W71" s="89"/>
    </row>
    <row r="72" spans="1:24" ht="18.75" customHeight="1">
      <c r="A72" s="88"/>
      <c r="B72" s="77"/>
      <c r="C72" s="77"/>
      <c r="D72" s="77"/>
      <c r="E72" s="77"/>
      <c r="F72" s="77"/>
      <c r="G72" s="77"/>
      <c r="H72" s="77"/>
      <c r="I72" s="235" t="s">
        <v>37</v>
      </c>
      <c r="J72" s="235"/>
      <c r="K72" s="236"/>
      <c r="M72" s="88"/>
      <c r="N72" s="77"/>
      <c r="O72" s="77"/>
      <c r="P72" s="77"/>
      <c r="Q72" s="77"/>
      <c r="R72" s="77"/>
      <c r="S72" s="77"/>
      <c r="T72" s="77"/>
      <c r="U72" s="235" t="s">
        <v>37</v>
      </c>
      <c r="V72" s="235"/>
      <c r="W72" s="236"/>
    </row>
    <row r="73" spans="1:24" ht="18.75" customHeight="1">
      <c r="A73" s="88"/>
      <c r="B73" s="235"/>
      <c r="C73" s="235"/>
      <c r="D73" s="235"/>
      <c r="E73" s="235"/>
      <c r="F73" s="77"/>
      <c r="G73" s="77"/>
      <c r="H73" s="77"/>
      <c r="I73" s="77"/>
      <c r="J73" s="77"/>
      <c r="K73" s="82"/>
      <c r="M73" s="88"/>
      <c r="N73" s="235"/>
      <c r="O73" s="235"/>
      <c r="P73" s="235"/>
      <c r="Q73" s="235"/>
      <c r="R73" s="77"/>
      <c r="S73" s="77"/>
      <c r="T73" s="77"/>
      <c r="U73" s="77"/>
      <c r="V73" s="77"/>
      <c r="W73" s="82"/>
    </row>
    <row r="74" spans="1:24" ht="18.75" customHeight="1" thickBot="1">
      <c r="A74" s="87"/>
      <c r="B74" s="86"/>
      <c r="C74" s="86"/>
      <c r="D74" s="86"/>
      <c r="E74" s="86"/>
      <c r="F74" s="86"/>
      <c r="G74" s="86"/>
      <c r="H74" s="86"/>
      <c r="I74" s="237" t="s">
        <v>36</v>
      </c>
      <c r="J74" s="237"/>
      <c r="K74" s="238"/>
      <c r="M74" s="87"/>
      <c r="N74" s="86"/>
      <c r="O74" s="86"/>
      <c r="P74" s="86"/>
      <c r="Q74" s="86"/>
      <c r="R74" s="86"/>
      <c r="S74" s="86"/>
      <c r="T74" s="86"/>
      <c r="U74" s="237" t="s">
        <v>36</v>
      </c>
      <c r="V74" s="237"/>
      <c r="W74" s="238"/>
    </row>
    <row r="76" spans="1:24" ht="18.75" customHeight="1" thickTop="1">
      <c r="A76" s="239" t="s">
        <v>87</v>
      </c>
      <c r="B76" s="240"/>
      <c r="C76" s="240"/>
      <c r="D76" s="240"/>
      <c r="E76" s="240"/>
      <c r="F76" s="240"/>
      <c r="G76" s="240"/>
      <c r="H76" s="240"/>
      <c r="I76" s="240"/>
      <c r="J76" s="240"/>
      <c r="K76" s="241"/>
      <c r="L76" s="72">
        <v>25</v>
      </c>
      <c r="M76" s="239" t="s">
        <v>87</v>
      </c>
      <c r="N76" s="240"/>
      <c r="O76" s="240"/>
      <c r="P76" s="240"/>
      <c r="Q76" s="240"/>
      <c r="R76" s="240"/>
      <c r="S76" s="240"/>
      <c r="T76" s="240"/>
      <c r="U76" s="240"/>
      <c r="V76" s="240"/>
      <c r="W76" s="241"/>
      <c r="X76" s="72">
        <v>25</v>
      </c>
    </row>
    <row r="77" spans="1:24" ht="18.75" customHeight="1">
      <c r="A77" s="85" t="s">
        <v>145</v>
      </c>
      <c r="B77" s="84"/>
      <c r="C77" s="84"/>
      <c r="D77" s="84"/>
      <c r="E77" s="84"/>
      <c r="F77" s="84"/>
      <c r="G77" s="84"/>
      <c r="H77" s="84"/>
      <c r="I77" s="84"/>
      <c r="J77" s="84"/>
      <c r="K77" s="83"/>
      <c r="M77" s="85" t="s">
        <v>144</v>
      </c>
      <c r="N77" s="84"/>
      <c r="O77" s="84"/>
      <c r="P77" s="84"/>
      <c r="Q77" s="84"/>
      <c r="R77" s="84"/>
      <c r="S77" s="84"/>
      <c r="T77" s="84"/>
      <c r="U77" s="84"/>
      <c r="V77" s="84"/>
      <c r="W77" s="83"/>
    </row>
    <row r="78" spans="1:24" ht="18.75" customHeight="1">
      <c r="A78" s="227" t="s">
        <v>84</v>
      </c>
      <c r="B78" s="228"/>
      <c r="C78" s="228"/>
      <c r="D78" s="228"/>
      <c r="E78" s="228"/>
      <c r="F78" s="228"/>
      <c r="G78" s="228"/>
      <c r="H78" s="228"/>
      <c r="I78" s="228"/>
      <c r="J78" s="228"/>
      <c r="K78" s="229"/>
      <c r="M78" s="227" t="s">
        <v>84</v>
      </c>
      <c r="N78" s="228"/>
      <c r="O78" s="228"/>
      <c r="P78" s="228"/>
      <c r="Q78" s="228"/>
      <c r="R78" s="228"/>
      <c r="S78" s="228"/>
      <c r="T78" s="228"/>
      <c r="U78" s="228"/>
      <c r="V78" s="228"/>
      <c r="W78" s="229"/>
    </row>
    <row r="79" spans="1:24" ht="18.75" customHeight="1">
      <c r="A79" s="222" t="s">
        <v>83</v>
      </c>
      <c r="B79" s="223"/>
      <c r="C79" s="223"/>
      <c r="D79" s="223"/>
      <c r="E79" s="77" t="s">
        <v>39</v>
      </c>
      <c r="F79" s="224">
        <f>'[3]Bang TH nop'!B52</f>
        <v>0</v>
      </c>
      <c r="G79" s="223"/>
      <c r="H79" s="223"/>
      <c r="I79" s="223"/>
      <c r="J79" s="223"/>
      <c r="K79" s="226"/>
      <c r="M79" s="222" t="s">
        <v>83</v>
      </c>
      <c r="N79" s="223"/>
      <c r="O79" s="223"/>
      <c r="P79" s="223"/>
      <c r="Q79" s="77" t="s">
        <v>39</v>
      </c>
      <c r="R79" s="224">
        <f>'[3]Bang TH nop'!B14</f>
        <v>0</v>
      </c>
      <c r="S79" s="223"/>
      <c r="T79" s="223"/>
      <c r="U79" s="223"/>
      <c r="V79" s="223"/>
      <c r="W79" s="226"/>
    </row>
    <row r="80" spans="1:24" ht="18.75" customHeight="1">
      <c r="A80" s="222" t="s">
        <v>82</v>
      </c>
      <c r="B80" s="223"/>
      <c r="C80" s="223"/>
      <c r="D80" s="223"/>
      <c r="E80" s="77" t="s">
        <v>39</v>
      </c>
      <c r="F80" s="224">
        <f>'[3]Bang TH nop'!C52</f>
        <v>0</v>
      </c>
      <c r="G80" s="224"/>
      <c r="H80" s="224"/>
      <c r="I80" s="224"/>
      <c r="J80" s="224"/>
      <c r="K80" s="225"/>
      <c r="M80" s="222" t="s">
        <v>82</v>
      </c>
      <c r="N80" s="223"/>
      <c r="O80" s="223"/>
      <c r="P80" s="223"/>
      <c r="Q80" s="77" t="s">
        <v>39</v>
      </c>
      <c r="R80" s="224">
        <f>'[3]Bang TH nop'!C14</f>
        <v>0</v>
      </c>
      <c r="S80" s="224"/>
      <c r="T80" s="224"/>
      <c r="U80" s="224"/>
      <c r="V80" s="224"/>
      <c r="W80" s="225"/>
    </row>
    <row r="81" spans="1:24" ht="18.75" customHeight="1">
      <c r="A81" s="222" t="s">
        <v>81</v>
      </c>
      <c r="B81" s="223"/>
      <c r="C81" s="223"/>
      <c r="D81" s="223"/>
      <c r="E81" s="77" t="s">
        <v>39</v>
      </c>
      <c r="F81" s="223" t="s">
        <v>80</v>
      </c>
      <c r="G81" s="223"/>
      <c r="H81" s="223"/>
      <c r="I81" s="223"/>
      <c r="J81" s="223"/>
      <c r="K81" s="226"/>
      <c r="M81" s="222" t="s">
        <v>81</v>
      </c>
      <c r="N81" s="223"/>
      <c r="O81" s="223"/>
      <c r="P81" s="223"/>
      <c r="Q81" s="77" t="s">
        <v>39</v>
      </c>
      <c r="R81" s="223" t="s">
        <v>80</v>
      </c>
      <c r="S81" s="223"/>
      <c r="T81" s="223"/>
      <c r="U81" s="223"/>
      <c r="V81" s="223"/>
      <c r="W81" s="226"/>
    </row>
    <row r="82" spans="1:24" ht="18.75" customHeight="1">
      <c r="A82" s="227" t="s">
        <v>79</v>
      </c>
      <c r="B82" s="228"/>
      <c r="C82" s="228"/>
      <c r="D82" s="228"/>
      <c r="E82" s="228"/>
      <c r="F82" s="228"/>
      <c r="G82" s="228"/>
      <c r="H82" s="228"/>
      <c r="I82" s="228"/>
      <c r="J82" s="228"/>
      <c r="K82" s="229"/>
      <c r="M82" s="227" t="s">
        <v>79</v>
      </c>
      <c r="N82" s="228"/>
      <c r="O82" s="228"/>
      <c r="P82" s="228"/>
      <c r="Q82" s="228"/>
      <c r="R82" s="228"/>
      <c r="S82" s="228"/>
      <c r="T82" s="228"/>
      <c r="U82" s="228"/>
      <c r="V82" s="228"/>
      <c r="W82" s="229"/>
    </row>
    <row r="83" spans="1:24" ht="18.75" customHeight="1">
      <c r="A83" s="222" t="s">
        <v>78</v>
      </c>
      <c r="B83" s="223"/>
      <c r="C83" s="223"/>
      <c r="D83" s="223"/>
      <c r="E83" s="77" t="s">
        <v>39</v>
      </c>
      <c r="F83" s="230">
        <v>2915400</v>
      </c>
      <c r="G83" s="230"/>
      <c r="H83" s="230"/>
      <c r="I83" s="230"/>
      <c r="J83" s="77" t="s">
        <v>38</v>
      </c>
      <c r="K83" s="82"/>
      <c r="M83" s="222" t="s">
        <v>78</v>
      </c>
      <c r="N83" s="223"/>
      <c r="O83" s="223"/>
      <c r="P83" s="223"/>
      <c r="Q83" s="77" t="s">
        <v>39</v>
      </c>
      <c r="R83" s="230">
        <v>2915400</v>
      </c>
      <c r="S83" s="230"/>
      <c r="T83" s="230"/>
      <c r="U83" s="230"/>
      <c r="V83" s="77" t="s">
        <v>38</v>
      </c>
      <c r="W83" s="82"/>
    </row>
    <row r="84" spans="1:24" ht="18.75" customHeight="1">
      <c r="A84" s="81" t="s">
        <v>77</v>
      </c>
      <c r="B84" s="77"/>
      <c r="C84" s="80"/>
      <c r="D84" s="79"/>
      <c r="E84" s="78"/>
      <c r="F84" s="78"/>
      <c r="G84" s="78"/>
      <c r="H84" s="77"/>
      <c r="I84" s="76" t="e">
        <f>#REF!</f>
        <v>#REF!</v>
      </c>
      <c r="J84" s="75"/>
      <c r="K84" s="74"/>
      <c r="M84" s="81" t="s">
        <v>77</v>
      </c>
      <c r="N84" s="77"/>
      <c r="O84" s="80"/>
      <c r="P84" s="79"/>
      <c r="Q84" s="78"/>
      <c r="R84" s="78"/>
      <c r="S84" s="78"/>
      <c r="T84" s="77"/>
      <c r="U84" s="76" t="e">
        <f>#REF!</f>
        <v>#REF!</v>
      </c>
      <c r="V84" s="75"/>
      <c r="W84" s="74"/>
    </row>
    <row r="85" spans="1:24" ht="18.75" customHeight="1">
      <c r="A85" s="81" t="s">
        <v>76</v>
      </c>
      <c r="B85" s="77"/>
      <c r="C85" s="80"/>
      <c r="D85" s="79"/>
      <c r="E85" s="78"/>
      <c r="F85" s="78"/>
      <c r="G85" s="78"/>
      <c r="H85" s="77"/>
      <c r="I85" s="76" t="e">
        <f>I86/C86/8</f>
        <v>#REF!</v>
      </c>
      <c r="J85" s="75"/>
      <c r="K85" s="74"/>
      <c r="M85" s="81" t="s">
        <v>76</v>
      </c>
      <c r="N85" s="77"/>
      <c r="O85" s="80"/>
      <c r="P85" s="79"/>
      <c r="Q85" s="78"/>
      <c r="R85" s="78"/>
      <c r="S85" s="78"/>
      <c r="T85" s="77"/>
      <c r="U85" s="76" t="e">
        <f>U86/O86/8</f>
        <v>#REF!</v>
      </c>
      <c r="V85" s="75"/>
      <c r="W85" s="74"/>
    </row>
    <row r="86" spans="1:24" ht="18.75" customHeight="1">
      <c r="A86" s="81" t="s">
        <v>75</v>
      </c>
      <c r="B86" s="77" t="s">
        <v>39</v>
      </c>
      <c r="C86" s="80" t="e">
        <f>#REF!</f>
        <v>#REF!</v>
      </c>
      <c r="D86" s="79" t="s">
        <v>52</v>
      </c>
      <c r="E86" s="249" t="s">
        <v>74</v>
      </c>
      <c r="F86" s="249"/>
      <c r="G86" s="249"/>
      <c r="H86" s="77" t="s">
        <v>39</v>
      </c>
      <c r="I86" s="255" t="e">
        <f>#REF!</f>
        <v>#REF!</v>
      </c>
      <c r="J86" s="255"/>
      <c r="K86" s="74" t="s">
        <v>38</v>
      </c>
      <c r="L86" s="95" t="e">
        <f>F83/L76*C86</f>
        <v>#REF!</v>
      </c>
      <c r="M86" s="81" t="s">
        <v>75</v>
      </c>
      <c r="N86" s="77" t="s">
        <v>39</v>
      </c>
      <c r="O86" s="80" t="e">
        <f>#REF!</f>
        <v>#REF!</v>
      </c>
      <c r="P86" s="79" t="s">
        <v>52</v>
      </c>
      <c r="Q86" s="249" t="s">
        <v>74</v>
      </c>
      <c r="R86" s="249"/>
      <c r="S86" s="249"/>
      <c r="T86" s="77" t="s">
        <v>39</v>
      </c>
      <c r="U86" s="255" t="e">
        <f>#REF!</f>
        <v>#REF!</v>
      </c>
      <c r="V86" s="255"/>
      <c r="W86" s="74" t="s">
        <v>38</v>
      </c>
      <c r="X86" s="95" t="e">
        <f>R83/X76*O86</f>
        <v>#REF!</v>
      </c>
    </row>
    <row r="87" spans="1:24" ht="18.75" customHeight="1">
      <c r="A87" s="81" t="s">
        <v>73</v>
      </c>
      <c r="B87" s="77" t="s">
        <v>39</v>
      </c>
      <c r="C87" s="80" t="e">
        <f>#REF!</f>
        <v>#REF!</v>
      </c>
      <c r="D87" s="79" t="s">
        <v>52</v>
      </c>
      <c r="E87" s="223" t="s">
        <v>72</v>
      </c>
      <c r="F87" s="223"/>
      <c r="G87" s="223"/>
      <c r="H87" s="77" t="s">
        <v>39</v>
      </c>
      <c r="I87" s="247" t="e">
        <f>$F$8/$L$1*C87</f>
        <v>#REF!</v>
      </c>
      <c r="J87" s="247"/>
      <c r="K87" s="74" t="s">
        <v>38</v>
      </c>
      <c r="L87" s="95"/>
      <c r="M87" s="81" t="s">
        <v>73</v>
      </c>
      <c r="N87" s="77" t="s">
        <v>39</v>
      </c>
      <c r="O87" s="80" t="e">
        <f>#REF!</f>
        <v>#REF!</v>
      </c>
      <c r="P87" s="79" t="s">
        <v>52</v>
      </c>
      <c r="Q87" s="223" t="s">
        <v>72</v>
      </c>
      <c r="R87" s="223"/>
      <c r="S87" s="223"/>
      <c r="T87" s="77" t="s">
        <v>39</v>
      </c>
      <c r="U87" s="247" t="e">
        <f>$F$8/$L$1*O87</f>
        <v>#REF!</v>
      </c>
      <c r="V87" s="247"/>
      <c r="W87" s="74" t="s">
        <v>38</v>
      </c>
      <c r="X87" s="95"/>
    </row>
    <row r="88" spans="1:24" ht="18.75" customHeight="1">
      <c r="A88" s="81" t="s">
        <v>71</v>
      </c>
      <c r="B88" s="77" t="s">
        <v>39</v>
      </c>
      <c r="C88" s="80" t="e">
        <f>#REF!</f>
        <v>#REF!</v>
      </c>
      <c r="D88" s="79" t="s">
        <v>52</v>
      </c>
      <c r="E88" s="256" t="s">
        <v>70</v>
      </c>
      <c r="F88" s="256"/>
      <c r="G88" s="256"/>
      <c r="H88" s="77" t="s">
        <v>39</v>
      </c>
      <c r="I88" s="247" t="e">
        <f>$F$8/$L$1*C88</f>
        <v>#REF!</v>
      </c>
      <c r="J88" s="247"/>
      <c r="K88" s="74" t="s">
        <v>38</v>
      </c>
      <c r="L88" s="95"/>
      <c r="M88" s="81" t="s">
        <v>71</v>
      </c>
      <c r="N88" s="77" t="s">
        <v>39</v>
      </c>
      <c r="O88" s="80" t="e">
        <f>#REF!</f>
        <v>#REF!</v>
      </c>
      <c r="P88" s="79" t="s">
        <v>52</v>
      </c>
      <c r="Q88" s="256" t="s">
        <v>70</v>
      </c>
      <c r="R88" s="256"/>
      <c r="S88" s="256"/>
      <c r="T88" s="77" t="s">
        <v>39</v>
      </c>
      <c r="U88" s="247" t="e">
        <f>$F$8/$L$1*O88</f>
        <v>#REF!</v>
      </c>
      <c r="V88" s="247"/>
      <c r="W88" s="74" t="s">
        <v>38</v>
      </c>
      <c r="X88" s="95"/>
    </row>
    <row r="89" spans="1:24" ht="18.75" customHeight="1">
      <c r="A89" s="81" t="s">
        <v>69</v>
      </c>
      <c r="B89" s="77" t="s">
        <v>39</v>
      </c>
      <c r="C89" s="80" t="e">
        <f>#REF!</f>
        <v>#REF!</v>
      </c>
      <c r="D89" s="79" t="s">
        <v>52</v>
      </c>
      <c r="E89" s="256" t="s">
        <v>68</v>
      </c>
      <c r="F89" s="256"/>
      <c r="G89" s="256"/>
      <c r="H89" s="77" t="s">
        <v>39</v>
      </c>
      <c r="I89" s="247" t="e">
        <f>$F$8/$L$1*C89</f>
        <v>#REF!</v>
      </c>
      <c r="J89" s="247"/>
      <c r="K89" s="74" t="s">
        <v>38</v>
      </c>
      <c r="L89" s="95"/>
      <c r="M89" s="81" t="s">
        <v>69</v>
      </c>
      <c r="N89" s="77" t="s">
        <v>39</v>
      </c>
      <c r="O89" s="80" t="e">
        <f>#REF!</f>
        <v>#REF!</v>
      </c>
      <c r="P89" s="79" t="s">
        <v>52</v>
      </c>
      <c r="Q89" s="256" t="s">
        <v>68</v>
      </c>
      <c r="R89" s="256"/>
      <c r="S89" s="256"/>
      <c r="T89" s="77" t="s">
        <v>39</v>
      </c>
      <c r="U89" s="247" t="e">
        <f>$F$8/$L$1*O89</f>
        <v>#REF!</v>
      </c>
      <c r="V89" s="247"/>
      <c r="W89" s="74" t="s">
        <v>38</v>
      </c>
      <c r="X89" s="95"/>
    </row>
    <row r="90" spans="1:24" ht="18.75" customHeight="1">
      <c r="A90" s="81" t="s">
        <v>67</v>
      </c>
      <c r="B90" s="77" t="s">
        <v>39</v>
      </c>
      <c r="C90" s="80" t="e">
        <f>#REF!</f>
        <v>#REF!</v>
      </c>
      <c r="D90" s="79" t="s">
        <v>58</v>
      </c>
      <c r="E90" s="223" t="s">
        <v>66</v>
      </c>
      <c r="F90" s="223"/>
      <c r="G90" s="223"/>
      <c r="H90" s="77" t="s">
        <v>39</v>
      </c>
      <c r="I90" s="247" t="e">
        <f>#REF!</f>
        <v>#REF!</v>
      </c>
      <c r="J90" s="247"/>
      <c r="K90" s="74" t="s">
        <v>38</v>
      </c>
      <c r="L90" s="95" t="e">
        <f>F83*C90/L76/8*1.5</f>
        <v>#REF!</v>
      </c>
      <c r="M90" s="81" t="s">
        <v>67</v>
      </c>
      <c r="N90" s="77" t="s">
        <v>39</v>
      </c>
      <c r="O90" s="80" t="e">
        <f>#REF!</f>
        <v>#REF!</v>
      </c>
      <c r="P90" s="79" t="s">
        <v>58</v>
      </c>
      <c r="Q90" s="223" t="s">
        <v>66</v>
      </c>
      <c r="R90" s="223"/>
      <c r="S90" s="223"/>
      <c r="T90" s="77" t="s">
        <v>39</v>
      </c>
      <c r="U90" s="247" t="e">
        <f>#REF!</f>
        <v>#REF!</v>
      </c>
      <c r="V90" s="247"/>
      <c r="W90" s="74" t="s">
        <v>38</v>
      </c>
      <c r="X90" s="95" t="e">
        <f>R83*O90/X76/8*1.5</f>
        <v>#REF!</v>
      </c>
    </row>
    <row r="91" spans="1:24" ht="18.75" customHeight="1">
      <c r="A91" s="222" t="s">
        <v>65</v>
      </c>
      <c r="B91" s="223"/>
      <c r="C91" s="80"/>
      <c r="D91" s="79" t="s">
        <v>52</v>
      </c>
      <c r="E91" s="223" t="s">
        <v>64</v>
      </c>
      <c r="F91" s="223"/>
      <c r="G91" s="223"/>
      <c r="H91" s="100" t="s">
        <v>39</v>
      </c>
      <c r="I91" s="247"/>
      <c r="J91" s="247"/>
      <c r="K91" s="74" t="s">
        <v>38</v>
      </c>
      <c r="L91" s="95"/>
      <c r="M91" s="222" t="s">
        <v>65</v>
      </c>
      <c r="N91" s="223"/>
      <c r="O91" s="80"/>
      <c r="P91" s="79" t="s">
        <v>52</v>
      </c>
      <c r="Q91" s="223" t="s">
        <v>64</v>
      </c>
      <c r="R91" s="223"/>
      <c r="S91" s="223"/>
      <c r="T91" s="100" t="s">
        <v>39</v>
      </c>
      <c r="U91" s="247"/>
      <c r="V91" s="247"/>
      <c r="W91" s="74" t="s">
        <v>38</v>
      </c>
      <c r="X91" s="95"/>
    </row>
    <row r="92" spans="1:24" ht="18.75" customHeight="1">
      <c r="A92" s="81" t="s">
        <v>63</v>
      </c>
      <c r="B92" s="77" t="s">
        <v>39</v>
      </c>
      <c r="C92" s="80"/>
      <c r="D92" s="79" t="s">
        <v>52</v>
      </c>
      <c r="E92" s="223" t="s">
        <v>62</v>
      </c>
      <c r="F92" s="223"/>
      <c r="G92" s="223"/>
      <c r="H92" s="77" t="s">
        <v>39</v>
      </c>
      <c r="I92" s="247"/>
      <c r="J92" s="247"/>
      <c r="K92" s="74" t="s">
        <v>38</v>
      </c>
      <c r="L92" s="95"/>
      <c r="M92" s="81" t="s">
        <v>63</v>
      </c>
      <c r="N92" s="77" t="s">
        <v>39</v>
      </c>
      <c r="O92" s="80"/>
      <c r="P92" s="79" t="s">
        <v>52</v>
      </c>
      <c r="Q92" s="223" t="s">
        <v>62</v>
      </c>
      <c r="R92" s="223"/>
      <c r="S92" s="223"/>
      <c r="T92" s="77" t="s">
        <v>39</v>
      </c>
      <c r="U92" s="247"/>
      <c r="V92" s="247"/>
      <c r="W92" s="74" t="s">
        <v>38</v>
      </c>
      <c r="X92" s="95"/>
    </row>
    <row r="93" spans="1:24" ht="18.75" customHeight="1">
      <c r="A93" s="99" t="s">
        <v>61</v>
      </c>
      <c r="B93" s="77"/>
      <c r="C93" s="80" t="e">
        <f>#REF!</f>
        <v>#REF!</v>
      </c>
      <c r="D93" s="79" t="s">
        <v>58</v>
      </c>
      <c r="E93" s="223" t="s">
        <v>60</v>
      </c>
      <c r="F93" s="223"/>
      <c r="G93" s="223"/>
      <c r="H93" s="77" t="s">
        <v>39</v>
      </c>
      <c r="I93" s="247" t="e">
        <f>$F$8*C93/8/$L$1</f>
        <v>#REF!</v>
      </c>
      <c r="J93" s="247"/>
      <c r="K93" s="74" t="s">
        <v>38</v>
      </c>
      <c r="L93" s="95"/>
      <c r="M93" s="99" t="s">
        <v>61</v>
      </c>
      <c r="N93" s="77"/>
      <c r="O93" s="80" t="e">
        <f>#REF!</f>
        <v>#REF!</v>
      </c>
      <c r="P93" s="79" t="s">
        <v>58</v>
      </c>
      <c r="Q93" s="223" t="s">
        <v>60</v>
      </c>
      <c r="R93" s="223"/>
      <c r="S93" s="223"/>
      <c r="T93" s="77" t="s">
        <v>39</v>
      </c>
      <c r="U93" s="247" t="e">
        <f>$F$8*O93/8/$L$1</f>
        <v>#REF!</v>
      </c>
      <c r="V93" s="247"/>
      <c r="W93" s="74" t="s">
        <v>38</v>
      </c>
      <c r="X93" s="95"/>
    </row>
    <row r="94" spans="1:24" ht="18.75" customHeight="1">
      <c r="A94" s="81" t="s">
        <v>59</v>
      </c>
      <c r="B94" s="77" t="s">
        <v>39</v>
      </c>
      <c r="C94" s="80"/>
      <c r="D94" s="79" t="s">
        <v>58</v>
      </c>
      <c r="E94" s="223" t="s">
        <v>57</v>
      </c>
      <c r="F94" s="223"/>
      <c r="G94" s="223"/>
      <c r="H94" s="77" t="s">
        <v>39</v>
      </c>
      <c r="I94" s="255"/>
      <c r="J94" s="255"/>
      <c r="K94" s="74" t="s">
        <v>38</v>
      </c>
      <c r="L94" s="95"/>
      <c r="M94" s="81" t="s">
        <v>59</v>
      </c>
      <c r="N94" s="77" t="s">
        <v>39</v>
      </c>
      <c r="O94" s="80"/>
      <c r="P94" s="79" t="s">
        <v>58</v>
      </c>
      <c r="Q94" s="223" t="s">
        <v>57</v>
      </c>
      <c r="R94" s="223"/>
      <c r="S94" s="223"/>
      <c r="T94" s="77" t="s">
        <v>39</v>
      </c>
      <c r="U94" s="255"/>
      <c r="V94" s="255"/>
      <c r="W94" s="74" t="s">
        <v>38</v>
      </c>
      <c r="X94" s="95"/>
    </row>
    <row r="95" spans="1:24" ht="18.75" customHeight="1">
      <c r="A95" s="81" t="s">
        <v>56</v>
      </c>
      <c r="B95" s="77" t="s">
        <v>39</v>
      </c>
      <c r="C95" s="80"/>
      <c r="D95" s="79" t="s">
        <v>55</v>
      </c>
      <c r="E95" s="98" t="s">
        <v>54</v>
      </c>
      <c r="F95" s="98"/>
      <c r="G95" s="98"/>
      <c r="H95" s="77" t="s">
        <v>39</v>
      </c>
      <c r="I95" s="247"/>
      <c r="J95" s="247"/>
      <c r="K95" s="74" t="s">
        <v>38</v>
      </c>
      <c r="L95" s="95" t="e">
        <f>+IF(L86-I86&lt;0,0,L86-I86)+IF(L90-I90&lt;0,0,L90-I90)</f>
        <v>#REF!</v>
      </c>
      <c r="M95" s="81" t="s">
        <v>56</v>
      </c>
      <c r="N95" s="77" t="s">
        <v>39</v>
      </c>
      <c r="O95" s="80"/>
      <c r="P95" s="79" t="s">
        <v>55</v>
      </c>
      <c r="Q95" s="98" t="s">
        <v>54</v>
      </c>
      <c r="R95" s="98"/>
      <c r="S95" s="98"/>
      <c r="T95" s="77" t="s">
        <v>39</v>
      </c>
      <c r="U95" s="247"/>
      <c r="V95" s="247"/>
      <c r="W95" s="74" t="s">
        <v>38</v>
      </c>
      <c r="X95" s="95" t="e">
        <f>+IF(X86-U86&lt;0,0,X86-U86)+IF(X90-U90&lt;0,0,X90-U90)</f>
        <v>#REF!</v>
      </c>
    </row>
    <row r="96" spans="1:24" ht="18.75" customHeight="1">
      <c r="A96" s="97" t="s">
        <v>53</v>
      </c>
      <c r="B96" s="96"/>
      <c r="C96" s="80"/>
      <c r="D96" s="79" t="s">
        <v>52</v>
      </c>
      <c r="E96" s="223" t="s">
        <v>51</v>
      </c>
      <c r="F96" s="223"/>
      <c r="G96" s="223"/>
      <c r="H96" s="77" t="s">
        <v>39</v>
      </c>
      <c r="I96" s="247"/>
      <c r="J96" s="247"/>
      <c r="K96" s="74" t="s">
        <v>38</v>
      </c>
      <c r="L96" s="95"/>
      <c r="M96" s="97" t="s">
        <v>53</v>
      </c>
      <c r="N96" s="96"/>
      <c r="O96" s="80"/>
      <c r="P96" s="79" t="s">
        <v>52</v>
      </c>
      <c r="Q96" s="223" t="s">
        <v>51</v>
      </c>
      <c r="R96" s="223"/>
      <c r="S96" s="223"/>
      <c r="T96" s="77" t="s">
        <v>39</v>
      </c>
      <c r="U96" s="247"/>
      <c r="V96" s="247"/>
      <c r="W96" s="74" t="s">
        <v>38</v>
      </c>
      <c r="X96" s="95"/>
    </row>
    <row r="97" spans="1:24" ht="18.75" customHeight="1">
      <c r="A97" s="248" t="s">
        <v>50</v>
      </c>
      <c r="B97" s="249"/>
      <c r="C97" s="80"/>
      <c r="D97" s="79"/>
      <c r="E97" s="78"/>
      <c r="F97" s="78"/>
      <c r="G97" s="78"/>
      <c r="H97" s="77" t="s">
        <v>39</v>
      </c>
      <c r="I97" s="247" t="e">
        <f>#REF!</f>
        <v>#REF!</v>
      </c>
      <c r="J97" s="247"/>
      <c r="K97" s="74" t="s">
        <v>38</v>
      </c>
      <c r="L97" s="95"/>
      <c r="M97" s="248" t="s">
        <v>50</v>
      </c>
      <c r="N97" s="249"/>
      <c r="O97" s="80"/>
      <c r="P97" s="79"/>
      <c r="Q97" s="78"/>
      <c r="R97" s="78"/>
      <c r="S97" s="78"/>
      <c r="T97" s="77" t="s">
        <v>39</v>
      </c>
      <c r="U97" s="247" t="e">
        <f>#REF!</f>
        <v>#REF!</v>
      </c>
      <c r="V97" s="247"/>
      <c r="W97" s="74" t="s">
        <v>38</v>
      </c>
      <c r="X97" s="95"/>
    </row>
    <row r="98" spans="1:24" ht="18.75" customHeight="1">
      <c r="A98" s="81" t="s">
        <v>49</v>
      </c>
      <c r="B98" s="77" t="s">
        <v>39</v>
      </c>
      <c r="C98" s="80"/>
      <c r="D98" s="79"/>
      <c r="E98" s="78" t="s">
        <v>48</v>
      </c>
      <c r="F98" s="78"/>
      <c r="G98" s="78"/>
      <c r="H98" s="77" t="s">
        <v>39</v>
      </c>
      <c r="I98" s="247" t="e">
        <f>L95</f>
        <v>#REF!</v>
      </c>
      <c r="J98" s="247"/>
      <c r="K98" s="74" t="s">
        <v>38</v>
      </c>
      <c r="L98" s="95"/>
      <c r="M98" s="81" t="s">
        <v>49</v>
      </c>
      <c r="N98" s="77" t="s">
        <v>39</v>
      </c>
      <c r="O98" s="80"/>
      <c r="P98" s="79"/>
      <c r="Q98" s="78" t="s">
        <v>48</v>
      </c>
      <c r="R98" s="78"/>
      <c r="S98" s="78"/>
      <c r="T98" s="77" t="s">
        <v>39</v>
      </c>
      <c r="U98" s="247" t="e">
        <f>X95</f>
        <v>#REF!</v>
      </c>
      <c r="V98" s="247"/>
      <c r="W98" s="74" t="s">
        <v>38</v>
      </c>
      <c r="X98" s="95"/>
    </row>
    <row r="99" spans="1:24" ht="18.75" customHeight="1">
      <c r="A99" s="250" t="s">
        <v>47</v>
      </c>
      <c r="B99" s="251"/>
      <c r="C99" s="251"/>
      <c r="D99" s="251"/>
      <c r="E99" s="251"/>
      <c r="F99" s="251"/>
      <c r="G99" s="77" t="s">
        <v>39</v>
      </c>
      <c r="H99" s="252" t="e">
        <f>I86+I87+I88+I89+I90+I93+I97+I98</f>
        <v>#REF!</v>
      </c>
      <c r="I99" s="252"/>
      <c r="J99" s="252"/>
      <c r="K99" s="74" t="s">
        <v>38</v>
      </c>
      <c r="M99" s="250" t="s">
        <v>47</v>
      </c>
      <c r="N99" s="251"/>
      <c r="O99" s="251"/>
      <c r="P99" s="251"/>
      <c r="Q99" s="251"/>
      <c r="R99" s="251"/>
      <c r="S99" s="77" t="s">
        <v>39</v>
      </c>
      <c r="T99" s="252" t="e">
        <f>U86+U87+U88+U89+U90+U93+U97+U98</f>
        <v>#REF!</v>
      </c>
      <c r="U99" s="252"/>
      <c r="V99" s="252"/>
      <c r="W99" s="74" t="s">
        <v>38</v>
      </c>
    </row>
    <row r="100" spans="1:24" ht="18.75" customHeight="1">
      <c r="A100" s="94"/>
      <c r="B100" s="93"/>
      <c r="C100" s="93"/>
      <c r="D100" s="93"/>
      <c r="E100" s="93"/>
      <c r="F100" s="93"/>
      <c r="G100" s="93"/>
      <c r="H100" s="93"/>
      <c r="I100" s="93"/>
      <c r="J100" s="93"/>
      <c r="K100" s="92"/>
      <c r="M100" s="94"/>
      <c r="N100" s="93"/>
      <c r="O100" s="93"/>
      <c r="P100" s="93"/>
      <c r="Q100" s="93"/>
      <c r="R100" s="93"/>
      <c r="S100" s="93"/>
      <c r="T100" s="93"/>
      <c r="U100" s="93"/>
      <c r="V100" s="93"/>
      <c r="W100" s="92"/>
    </row>
    <row r="101" spans="1:24" ht="18.75" customHeight="1">
      <c r="A101" s="253" t="s">
        <v>46</v>
      </c>
      <c r="B101" s="254"/>
      <c r="C101" s="254"/>
      <c r="D101" s="254"/>
      <c r="E101" s="254"/>
      <c r="F101" s="254"/>
      <c r="G101" s="77"/>
      <c r="H101" s="77"/>
      <c r="I101" s="77"/>
      <c r="J101" s="77"/>
      <c r="K101" s="74"/>
      <c r="M101" s="253" t="s">
        <v>46</v>
      </c>
      <c r="N101" s="254"/>
      <c r="O101" s="254"/>
      <c r="P101" s="254"/>
      <c r="Q101" s="254"/>
      <c r="R101" s="254"/>
      <c r="S101" s="77"/>
      <c r="T101" s="77"/>
      <c r="U101" s="77"/>
      <c r="V101" s="77"/>
      <c r="W101" s="74"/>
    </row>
    <row r="102" spans="1:24" ht="18.75" customHeight="1">
      <c r="A102" s="232" t="s">
        <v>45</v>
      </c>
      <c r="B102" s="233"/>
      <c r="C102" s="233"/>
      <c r="D102" s="233"/>
      <c r="E102" s="233"/>
      <c r="F102" s="233"/>
      <c r="G102" s="77" t="s">
        <v>39</v>
      </c>
      <c r="H102" s="242" t="e">
        <f>IF(($L$1-(C86+C87+C88+C89))&gt;12,0,F83*8%)</f>
        <v>#REF!</v>
      </c>
      <c r="I102" s="242"/>
      <c r="J102" s="242"/>
      <c r="K102" s="74" t="s">
        <v>38</v>
      </c>
      <c r="M102" s="232" t="s">
        <v>45</v>
      </c>
      <c r="N102" s="233"/>
      <c r="O102" s="233"/>
      <c r="P102" s="233"/>
      <c r="Q102" s="233"/>
      <c r="R102" s="233"/>
      <c r="S102" s="77" t="s">
        <v>39</v>
      </c>
      <c r="T102" s="242" t="e">
        <f>IF(($L$1-(O86+O87+O88+O89))&gt;12,0,R83*8%)</f>
        <v>#REF!</v>
      </c>
      <c r="U102" s="242"/>
      <c r="V102" s="242"/>
      <c r="W102" s="74" t="s">
        <v>38</v>
      </c>
    </row>
    <row r="103" spans="1:24" ht="18.75" customHeight="1">
      <c r="A103" s="232" t="s">
        <v>44</v>
      </c>
      <c r="B103" s="233"/>
      <c r="C103" s="233"/>
      <c r="D103" s="233"/>
      <c r="E103" s="233"/>
      <c r="F103" s="233"/>
      <c r="G103" s="77" t="s">
        <v>39</v>
      </c>
      <c r="H103" s="243" t="e">
        <f>IF(($L$1-(C86+C87+C88+C89))&gt;12,0,F83*1.5%)</f>
        <v>#REF!</v>
      </c>
      <c r="I103" s="243"/>
      <c r="J103" s="243"/>
      <c r="K103" s="74" t="s">
        <v>38</v>
      </c>
      <c r="M103" s="232" t="s">
        <v>44</v>
      </c>
      <c r="N103" s="233"/>
      <c r="O103" s="233"/>
      <c r="P103" s="233"/>
      <c r="Q103" s="233"/>
      <c r="R103" s="233"/>
      <c r="S103" s="77" t="s">
        <v>39</v>
      </c>
      <c r="T103" s="243" t="e">
        <f>IF(($L$1-(O86+O87+O88+O89))&gt;12,0,R83*1.5%)</f>
        <v>#REF!</v>
      </c>
      <c r="U103" s="243"/>
      <c r="V103" s="243"/>
      <c r="W103" s="74" t="s">
        <v>38</v>
      </c>
    </row>
    <row r="104" spans="1:24" ht="18.75" customHeight="1">
      <c r="A104" s="232" t="s">
        <v>43</v>
      </c>
      <c r="B104" s="233"/>
      <c r="C104" s="233"/>
      <c r="D104" s="233"/>
      <c r="E104" s="233"/>
      <c r="F104" s="233"/>
      <c r="G104" s="77" t="s">
        <v>39</v>
      </c>
      <c r="H104" s="243" t="e">
        <f>IF(($L$1-(C86+C87+C88+C89))&gt;12,0,F83*1%)</f>
        <v>#REF!</v>
      </c>
      <c r="I104" s="243"/>
      <c r="J104" s="243"/>
      <c r="K104" s="74" t="s">
        <v>38</v>
      </c>
      <c r="M104" s="232" t="s">
        <v>43</v>
      </c>
      <c r="N104" s="233"/>
      <c r="O104" s="233"/>
      <c r="P104" s="233"/>
      <c r="Q104" s="233"/>
      <c r="R104" s="233"/>
      <c r="S104" s="77" t="s">
        <v>39</v>
      </c>
      <c r="T104" s="243" t="e">
        <f>IF(($L$1-(O86+O87+O88+O89))&gt;12,0,R83*1%)</f>
        <v>#REF!</v>
      </c>
      <c r="U104" s="243"/>
      <c r="V104" s="243"/>
      <c r="W104" s="74" t="s">
        <v>38</v>
      </c>
    </row>
    <row r="105" spans="1:24" ht="18.75" customHeight="1">
      <c r="A105" s="232" t="s">
        <v>42</v>
      </c>
      <c r="B105" s="233"/>
      <c r="C105" s="233"/>
      <c r="D105" s="233"/>
      <c r="E105" s="233"/>
      <c r="F105" s="233"/>
      <c r="G105" s="77" t="s">
        <v>39</v>
      </c>
      <c r="H105" s="243">
        <v>0</v>
      </c>
      <c r="I105" s="243"/>
      <c r="J105" s="243"/>
      <c r="K105" s="74" t="s">
        <v>38</v>
      </c>
      <c r="M105" s="232" t="s">
        <v>42</v>
      </c>
      <c r="N105" s="233"/>
      <c r="O105" s="233"/>
      <c r="P105" s="233"/>
      <c r="Q105" s="233"/>
      <c r="R105" s="233"/>
      <c r="S105" s="77" t="s">
        <v>39</v>
      </c>
      <c r="T105" s="243">
        <v>0</v>
      </c>
      <c r="U105" s="243"/>
      <c r="V105" s="243"/>
      <c r="W105" s="74" t="s">
        <v>38</v>
      </c>
    </row>
    <row r="106" spans="1:24" ht="18.75" customHeight="1">
      <c r="A106" s="244" t="s">
        <v>41</v>
      </c>
      <c r="B106" s="245"/>
      <c r="C106" s="245"/>
      <c r="D106" s="245"/>
      <c r="E106" s="245"/>
      <c r="F106" s="245"/>
      <c r="G106" s="77" t="s">
        <v>39</v>
      </c>
      <c r="H106" s="246" t="e">
        <f>SUM(H102:J105)</f>
        <v>#REF!</v>
      </c>
      <c r="I106" s="246"/>
      <c r="J106" s="246"/>
      <c r="K106" s="74" t="s">
        <v>38</v>
      </c>
      <c r="M106" s="244" t="s">
        <v>41</v>
      </c>
      <c r="N106" s="245"/>
      <c r="O106" s="245"/>
      <c r="P106" s="245"/>
      <c r="Q106" s="245"/>
      <c r="R106" s="245"/>
      <c r="S106" s="77" t="s">
        <v>39</v>
      </c>
      <c r="T106" s="246" t="e">
        <f>SUM(T102:V105)</f>
        <v>#REF!</v>
      </c>
      <c r="U106" s="246"/>
      <c r="V106" s="246"/>
      <c r="W106" s="74" t="s">
        <v>38</v>
      </c>
    </row>
    <row r="107" spans="1:24" ht="18.75" customHeight="1">
      <c r="A107" s="232" t="s">
        <v>40</v>
      </c>
      <c r="B107" s="233"/>
      <c r="C107" s="233"/>
      <c r="D107" s="233"/>
      <c r="E107" s="233"/>
      <c r="F107" s="233"/>
      <c r="G107" s="77" t="s">
        <v>39</v>
      </c>
      <c r="H107" s="234" t="e">
        <f>ROUND(H99-H106,-2)</f>
        <v>#REF!</v>
      </c>
      <c r="I107" s="234"/>
      <c r="J107" s="234"/>
      <c r="K107" s="74" t="s">
        <v>38</v>
      </c>
      <c r="M107" s="232" t="s">
        <v>40</v>
      </c>
      <c r="N107" s="233"/>
      <c r="O107" s="233"/>
      <c r="P107" s="233"/>
      <c r="Q107" s="233"/>
      <c r="R107" s="233"/>
      <c r="S107" s="77" t="s">
        <v>39</v>
      </c>
      <c r="T107" s="234" t="e">
        <f>ROUND(T99-T106,-2)</f>
        <v>#REF!</v>
      </c>
      <c r="U107" s="234"/>
      <c r="V107" s="234"/>
      <c r="W107" s="74" t="s">
        <v>38</v>
      </c>
    </row>
    <row r="108" spans="1:24" ht="18.75" customHeight="1">
      <c r="A108" s="91"/>
      <c r="B108" s="90"/>
      <c r="C108" s="90"/>
      <c r="D108" s="90"/>
      <c r="E108" s="90"/>
      <c r="F108" s="90"/>
      <c r="G108" s="90"/>
      <c r="H108" s="90"/>
      <c r="I108" s="90"/>
      <c r="J108" s="90"/>
      <c r="K108" s="89"/>
      <c r="M108" s="91"/>
      <c r="N108" s="90"/>
      <c r="O108" s="90"/>
      <c r="P108" s="90"/>
      <c r="Q108" s="90"/>
      <c r="R108" s="90"/>
      <c r="S108" s="90"/>
      <c r="T108" s="90"/>
      <c r="U108" s="90"/>
      <c r="V108" s="90"/>
      <c r="W108" s="89"/>
    </row>
    <row r="109" spans="1:24" ht="18.75" customHeight="1">
      <c r="A109" s="88"/>
      <c r="B109" s="77"/>
      <c r="C109" s="77"/>
      <c r="D109" s="77"/>
      <c r="E109" s="77"/>
      <c r="F109" s="77"/>
      <c r="G109" s="77"/>
      <c r="H109" s="77"/>
      <c r="I109" s="235" t="s">
        <v>37</v>
      </c>
      <c r="J109" s="235"/>
      <c r="K109" s="236"/>
      <c r="M109" s="88"/>
      <c r="N109" s="77"/>
      <c r="O109" s="77"/>
      <c r="P109" s="77"/>
      <c r="Q109" s="77"/>
      <c r="R109" s="77"/>
      <c r="S109" s="77"/>
      <c r="T109" s="77"/>
      <c r="U109" s="235" t="s">
        <v>37</v>
      </c>
      <c r="V109" s="235"/>
      <c r="W109" s="236"/>
    </row>
    <row r="110" spans="1:24" ht="18.75" hidden="1" customHeight="1">
      <c r="A110" s="88"/>
      <c r="B110" s="235"/>
      <c r="C110" s="235"/>
      <c r="D110" s="235"/>
      <c r="E110" s="235"/>
      <c r="F110" s="77"/>
      <c r="G110" s="77"/>
      <c r="H110" s="77"/>
      <c r="I110" s="77"/>
      <c r="J110" s="77"/>
      <c r="K110" s="82"/>
      <c r="M110" s="88"/>
      <c r="N110" s="235"/>
      <c r="O110" s="235"/>
      <c r="P110" s="235"/>
      <c r="Q110" s="235"/>
      <c r="R110" s="77"/>
      <c r="S110" s="77"/>
      <c r="T110" s="77"/>
      <c r="U110" s="77"/>
      <c r="V110" s="77"/>
      <c r="W110" s="82"/>
    </row>
    <row r="111" spans="1:24" ht="18.75" customHeight="1" thickBot="1">
      <c r="A111" s="87"/>
      <c r="B111" s="86"/>
      <c r="C111" s="86"/>
      <c r="D111" s="86"/>
      <c r="E111" s="86"/>
      <c r="F111" s="86"/>
      <c r="G111" s="86"/>
      <c r="H111" s="86"/>
      <c r="I111" s="237" t="s">
        <v>36</v>
      </c>
      <c r="J111" s="237"/>
      <c r="K111" s="238"/>
      <c r="M111" s="87"/>
      <c r="N111" s="86"/>
      <c r="O111" s="86"/>
      <c r="P111" s="86"/>
      <c r="Q111" s="86"/>
      <c r="R111" s="86"/>
      <c r="S111" s="86"/>
      <c r="T111" s="86"/>
      <c r="U111" s="237" t="s">
        <v>36</v>
      </c>
      <c r="V111" s="237"/>
      <c r="W111" s="238"/>
    </row>
    <row r="112" spans="1:24" ht="18.75" customHeight="1" thickTop="1" thickBot="1"/>
    <row r="113" spans="1:24" ht="18.75" customHeight="1" thickTop="1">
      <c r="A113" s="239" t="s">
        <v>87</v>
      </c>
      <c r="B113" s="240"/>
      <c r="C113" s="240"/>
      <c r="D113" s="240"/>
      <c r="E113" s="240"/>
      <c r="F113" s="240"/>
      <c r="G113" s="240"/>
      <c r="H113" s="240"/>
      <c r="I113" s="240"/>
      <c r="J113" s="240"/>
      <c r="K113" s="241"/>
      <c r="L113" s="72">
        <v>25</v>
      </c>
      <c r="M113" s="239" t="s">
        <v>87</v>
      </c>
      <c r="N113" s="240"/>
      <c r="O113" s="240"/>
      <c r="P113" s="240"/>
      <c r="Q113" s="240"/>
      <c r="R113" s="240"/>
      <c r="S113" s="240"/>
      <c r="T113" s="240"/>
      <c r="U113" s="240"/>
      <c r="V113" s="240"/>
      <c r="W113" s="241"/>
      <c r="X113" s="72">
        <v>25</v>
      </c>
    </row>
    <row r="114" spans="1:24" ht="18.75" customHeight="1">
      <c r="A114" s="85" t="s">
        <v>143</v>
      </c>
      <c r="B114" s="84"/>
      <c r="C114" s="84"/>
      <c r="D114" s="84"/>
      <c r="E114" s="84"/>
      <c r="F114" s="84"/>
      <c r="G114" s="84"/>
      <c r="H114" s="84"/>
      <c r="I114" s="84"/>
      <c r="J114" s="84"/>
      <c r="K114" s="83"/>
      <c r="M114" s="85" t="s">
        <v>142</v>
      </c>
      <c r="N114" s="84"/>
      <c r="O114" s="84"/>
      <c r="P114" s="84"/>
      <c r="Q114" s="84"/>
      <c r="R114" s="84"/>
      <c r="S114" s="84"/>
      <c r="T114" s="84"/>
      <c r="U114" s="84"/>
      <c r="V114" s="84"/>
      <c r="W114" s="83"/>
    </row>
    <row r="115" spans="1:24" ht="18.75" customHeight="1">
      <c r="A115" s="227" t="s">
        <v>84</v>
      </c>
      <c r="B115" s="228"/>
      <c r="C115" s="228"/>
      <c r="D115" s="228"/>
      <c r="E115" s="228"/>
      <c r="F115" s="228"/>
      <c r="G115" s="228"/>
      <c r="H115" s="228"/>
      <c r="I115" s="228"/>
      <c r="J115" s="228"/>
      <c r="K115" s="229"/>
      <c r="M115" s="227" t="s">
        <v>84</v>
      </c>
      <c r="N115" s="228"/>
      <c r="O115" s="228"/>
      <c r="P115" s="228"/>
      <c r="Q115" s="228"/>
      <c r="R115" s="228"/>
      <c r="S115" s="228"/>
      <c r="T115" s="228"/>
      <c r="U115" s="228"/>
      <c r="V115" s="228"/>
      <c r="W115" s="229"/>
    </row>
    <row r="116" spans="1:24" ht="18.75" customHeight="1">
      <c r="A116" s="222" t="s">
        <v>83</v>
      </c>
      <c r="B116" s="223"/>
      <c r="C116" s="223"/>
      <c r="D116" s="223"/>
      <c r="E116" s="77" t="s">
        <v>39</v>
      </c>
      <c r="F116" s="224">
        <f>'[3]Bang TH nop'!B16</f>
        <v>0</v>
      </c>
      <c r="G116" s="223"/>
      <c r="H116" s="223"/>
      <c r="I116" s="223"/>
      <c r="J116" s="223"/>
      <c r="K116" s="226"/>
      <c r="M116" s="222" t="s">
        <v>83</v>
      </c>
      <c r="N116" s="223"/>
      <c r="O116" s="223"/>
      <c r="P116" s="223"/>
      <c r="Q116" s="77" t="s">
        <v>39</v>
      </c>
      <c r="R116" s="224">
        <f>'[3]Bang TH nop'!B54</f>
        <v>0</v>
      </c>
      <c r="S116" s="223"/>
      <c r="T116" s="223"/>
      <c r="U116" s="223"/>
      <c r="V116" s="223"/>
      <c r="W116" s="226"/>
    </row>
    <row r="117" spans="1:24" ht="18.75" customHeight="1">
      <c r="A117" s="222" t="s">
        <v>82</v>
      </c>
      <c r="B117" s="223"/>
      <c r="C117" s="223"/>
      <c r="D117" s="223"/>
      <c r="E117" s="77" t="s">
        <v>39</v>
      </c>
      <c r="F117" s="224">
        <f>'[3]Bang TH nop'!C16</f>
        <v>0</v>
      </c>
      <c r="G117" s="224"/>
      <c r="H117" s="224"/>
      <c r="I117" s="224"/>
      <c r="J117" s="224"/>
      <c r="K117" s="225"/>
      <c r="M117" s="222" t="s">
        <v>82</v>
      </c>
      <c r="N117" s="223"/>
      <c r="O117" s="223"/>
      <c r="P117" s="223"/>
      <c r="Q117" s="77" t="s">
        <v>39</v>
      </c>
      <c r="R117" s="224">
        <f>'[3]Bang TH nop'!C54</f>
        <v>0</v>
      </c>
      <c r="S117" s="224"/>
      <c r="T117" s="224"/>
      <c r="U117" s="224"/>
      <c r="V117" s="224"/>
      <c r="W117" s="225"/>
    </row>
    <row r="118" spans="1:24" ht="18.75" customHeight="1">
      <c r="A118" s="222" t="s">
        <v>81</v>
      </c>
      <c r="B118" s="223"/>
      <c r="C118" s="223"/>
      <c r="D118" s="223"/>
      <c r="E118" s="77" t="s">
        <v>39</v>
      </c>
      <c r="F118" s="223" t="s">
        <v>80</v>
      </c>
      <c r="G118" s="223"/>
      <c r="H118" s="223"/>
      <c r="I118" s="223"/>
      <c r="J118" s="223"/>
      <c r="K118" s="226"/>
      <c r="M118" s="222" t="s">
        <v>81</v>
      </c>
      <c r="N118" s="223"/>
      <c r="O118" s="223"/>
      <c r="P118" s="223"/>
      <c r="Q118" s="77" t="s">
        <v>39</v>
      </c>
      <c r="R118" s="223" t="s">
        <v>80</v>
      </c>
      <c r="S118" s="223"/>
      <c r="T118" s="223"/>
      <c r="U118" s="223"/>
      <c r="V118" s="223"/>
      <c r="W118" s="226"/>
    </row>
    <row r="119" spans="1:24" ht="18.75" customHeight="1">
      <c r="A119" s="227" t="s">
        <v>79</v>
      </c>
      <c r="B119" s="228"/>
      <c r="C119" s="228"/>
      <c r="D119" s="228"/>
      <c r="E119" s="228"/>
      <c r="F119" s="228"/>
      <c r="G119" s="228"/>
      <c r="H119" s="228"/>
      <c r="I119" s="228"/>
      <c r="J119" s="228"/>
      <c r="K119" s="229"/>
      <c r="M119" s="227" t="s">
        <v>79</v>
      </c>
      <c r="N119" s="228"/>
      <c r="O119" s="228"/>
      <c r="P119" s="228"/>
      <c r="Q119" s="228"/>
      <c r="R119" s="228"/>
      <c r="S119" s="228"/>
      <c r="T119" s="228"/>
      <c r="U119" s="228"/>
      <c r="V119" s="228"/>
      <c r="W119" s="229"/>
    </row>
    <row r="120" spans="1:24" ht="18.75" customHeight="1">
      <c r="A120" s="222" t="s">
        <v>78</v>
      </c>
      <c r="B120" s="223"/>
      <c r="C120" s="223"/>
      <c r="D120" s="223"/>
      <c r="E120" s="77" t="s">
        <v>39</v>
      </c>
      <c r="F120" s="230">
        <v>2915400</v>
      </c>
      <c r="G120" s="230"/>
      <c r="H120" s="230"/>
      <c r="I120" s="230"/>
      <c r="J120" s="77" t="s">
        <v>38</v>
      </c>
      <c r="K120" s="82"/>
      <c r="M120" s="222" t="s">
        <v>78</v>
      </c>
      <c r="N120" s="223"/>
      <c r="O120" s="223"/>
      <c r="P120" s="223"/>
      <c r="Q120" s="77" t="s">
        <v>39</v>
      </c>
      <c r="R120" s="230">
        <v>2915400</v>
      </c>
      <c r="S120" s="230"/>
      <c r="T120" s="230"/>
      <c r="U120" s="230"/>
      <c r="V120" s="77" t="s">
        <v>38</v>
      </c>
      <c r="W120" s="82"/>
    </row>
    <row r="121" spans="1:24" ht="18.75" customHeight="1">
      <c r="A121" s="81" t="s">
        <v>77</v>
      </c>
      <c r="B121" s="77"/>
      <c r="C121" s="80"/>
      <c r="D121" s="79"/>
      <c r="E121" s="78"/>
      <c r="F121" s="78"/>
      <c r="G121" s="78"/>
      <c r="H121" s="77"/>
      <c r="I121" s="76" t="e">
        <f>#REF!</f>
        <v>#REF!</v>
      </c>
      <c r="J121" s="75"/>
      <c r="K121" s="74"/>
      <c r="M121" s="81" t="s">
        <v>77</v>
      </c>
      <c r="N121" s="77"/>
      <c r="O121" s="80"/>
      <c r="P121" s="79"/>
      <c r="Q121" s="78"/>
      <c r="R121" s="78"/>
      <c r="S121" s="78"/>
      <c r="T121" s="77"/>
      <c r="U121" s="76" t="e">
        <f>#REF!</f>
        <v>#REF!</v>
      </c>
      <c r="V121" s="75"/>
      <c r="W121" s="74"/>
    </row>
    <row r="122" spans="1:24" ht="18.75" customHeight="1">
      <c r="A122" s="81" t="s">
        <v>76</v>
      </c>
      <c r="B122" s="77"/>
      <c r="C122" s="80"/>
      <c r="D122" s="79"/>
      <c r="E122" s="78"/>
      <c r="F122" s="78"/>
      <c r="G122" s="78"/>
      <c r="H122" s="77"/>
      <c r="I122" s="76" t="e">
        <f>I123/C123/8</f>
        <v>#REF!</v>
      </c>
      <c r="J122" s="75"/>
      <c r="K122" s="74"/>
      <c r="M122" s="81" t="s">
        <v>76</v>
      </c>
      <c r="N122" s="77"/>
      <c r="O122" s="80"/>
      <c r="P122" s="79"/>
      <c r="Q122" s="78"/>
      <c r="R122" s="78"/>
      <c r="S122" s="78"/>
      <c r="T122" s="77"/>
      <c r="U122" s="76" t="e">
        <f>U123/O123/8</f>
        <v>#REF!</v>
      </c>
      <c r="V122" s="75"/>
      <c r="W122" s="74"/>
    </row>
    <row r="123" spans="1:24" ht="18.75" customHeight="1">
      <c r="A123" s="81" t="s">
        <v>75</v>
      </c>
      <c r="B123" s="77" t="s">
        <v>39</v>
      </c>
      <c r="C123" s="80" t="e">
        <f>#REF!</f>
        <v>#REF!</v>
      </c>
      <c r="D123" s="79" t="s">
        <v>52</v>
      </c>
      <c r="E123" s="249" t="s">
        <v>74</v>
      </c>
      <c r="F123" s="249"/>
      <c r="G123" s="249"/>
      <c r="H123" s="77" t="s">
        <v>39</v>
      </c>
      <c r="I123" s="255" t="e">
        <f>#REF!</f>
        <v>#REF!</v>
      </c>
      <c r="J123" s="255"/>
      <c r="K123" s="74" t="s">
        <v>38</v>
      </c>
      <c r="L123" s="95" t="e">
        <f>F120/L113*C123</f>
        <v>#REF!</v>
      </c>
      <c r="M123" s="81" t="s">
        <v>75</v>
      </c>
      <c r="N123" s="77" t="s">
        <v>39</v>
      </c>
      <c r="O123" s="80" t="e">
        <f>#REF!</f>
        <v>#REF!</v>
      </c>
      <c r="P123" s="79" t="s">
        <v>52</v>
      </c>
      <c r="Q123" s="249" t="s">
        <v>74</v>
      </c>
      <c r="R123" s="249"/>
      <c r="S123" s="249"/>
      <c r="T123" s="77" t="s">
        <v>39</v>
      </c>
      <c r="U123" s="255" t="e">
        <f>#REF!</f>
        <v>#REF!</v>
      </c>
      <c r="V123" s="255"/>
      <c r="W123" s="74" t="s">
        <v>38</v>
      </c>
      <c r="X123" s="95" t="e">
        <f>R120/X113*O123</f>
        <v>#REF!</v>
      </c>
    </row>
    <row r="124" spans="1:24" ht="18.75" customHeight="1">
      <c r="A124" s="81" t="s">
        <v>73</v>
      </c>
      <c r="B124" s="77" t="s">
        <v>39</v>
      </c>
      <c r="C124" s="80" t="e">
        <f>#REF!</f>
        <v>#REF!</v>
      </c>
      <c r="D124" s="79" t="s">
        <v>52</v>
      </c>
      <c r="E124" s="223" t="s">
        <v>72</v>
      </c>
      <c r="F124" s="223"/>
      <c r="G124" s="223"/>
      <c r="H124" s="77" t="s">
        <v>39</v>
      </c>
      <c r="I124" s="247" t="e">
        <f>$F$8/$L$1*C124</f>
        <v>#REF!</v>
      </c>
      <c r="J124" s="247"/>
      <c r="K124" s="74" t="s">
        <v>38</v>
      </c>
      <c r="L124" s="95"/>
      <c r="M124" s="81" t="s">
        <v>73</v>
      </c>
      <c r="N124" s="77" t="s">
        <v>39</v>
      </c>
      <c r="O124" s="80" t="e">
        <f>#REF!</f>
        <v>#REF!</v>
      </c>
      <c r="P124" s="79" t="s">
        <v>52</v>
      </c>
      <c r="Q124" s="223" t="s">
        <v>72</v>
      </c>
      <c r="R124" s="223"/>
      <c r="S124" s="223"/>
      <c r="T124" s="77" t="s">
        <v>39</v>
      </c>
      <c r="U124" s="247" t="e">
        <f>$F$8/$L$1*O124</f>
        <v>#REF!</v>
      </c>
      <c r="V124" s="247"/>
      <c r="W124" s="74" t="s">
        <v>38</v>
      </c>
      <c r="X124" s="95"/>
    </row>
    <row r="125" spans="1:24" ht="18.75" customHeight="1">
      <c r="A125" s="81" t="s">
        <v>71</v>
      </c>
      <c r="B125" s="77" t="s">
        <v>39</v>
      </c>
      <c r="C125" s="80" t="e">
        <f>#REF!</f>
        <v>#REF!</v>
      </c>
      <c r="D125" s="79" t="s">
        <v>52</v>
      </c>
      <c r="E125" s="256" t="s">
        <v>70</v>
      </c>
      <c r="F125" s="256"/>
      <c r="G125" s="256"/>
      <c r="H125" s="77" t="s">
        <v>39</v>
      </c>
      <c r="I125" s="247" t="e">
        <f>$F$8/$L$1*C125</f>
        <v>#REF!</v>
      </c>
      <c r="J125" s="247"/>
      <c r="K125" s="74" t="s">
        <v>38</v>
      </c>
      <c r="L125" s="95"/>
      <c r="M125" s="81" t="s">
        <v>71</v>
      </c>
      <c r="N125" s="77" t="s">
        <v>39</v>
      </c>
      <c r="O125" s="80" t="e">
        <f>#REF!</f>
        <v>#REF!</v>
      </c>
      <c r="P125" s="79" t="s">
        <v>52</v>
      </c>
      <c r="Q125" s="256" t="s">
        <v>70</v>
      </c>
      <c r="R125" s="256"/>
      <c r="S125" s="256"/>
      <c r="T125" s="77" t="s">
        <v>39</v>
      </c>
      <c r="U125" s="247" t="e">
        <f>$F$8/$L$1*O125</f>
        <v>#REF!</v>
      </c>
      <c r="V125" s="247"/>
      <c r="W125" s="74" t="s">
        <v>38</v>
      </c>
      <c r="X125" s="95"/>
    </row>
    <row r="126" spans="1:24" ht="18.75" customHeight="1">
      <c r="A126" s="81" t="s">
        <v>69</v>
      </c>
      <c r="B126" s="77" t="s">
        <v>39</v>
      </c>
      <c r="C126" s="80" t="e">
        <f>#REF!</f>
        <v>#REF!</v>
      </c>
      <c r="D126" s="79" t="s">
        <v>52</v>
      </c>
      <c r="E126" s="256" t="s">
        <v>68</v>
      </c>
      <c r="F126" s="256"/>
      <c r="G126" s="256"/>
      <c r="H126" s="77" t="s">
        <v>39</v>
      </c>
      <c r="I126" s="247" t="e">
        <f>$F$8/$L$1*C126</f>
        <v>#REF!</v>
      </c>
      <c r="J126" s="247"/>
      <c r="K126" s="74" t="s">
        <v>38</v>
      </c>
      <c r="L126" s="95"/>
      <c r="M126" s="81" t="s">
        <v>69</v>
      </c>
      <c r="N126" s="77" t="s">
        <v>39</v>
      </c>
      <c r="O126" s="80" t="e">
        <f>#REF!</f>
        <v>#REF!</v>
      </c>
      <c r="P126" s="79" t="s">
        <v>52</v>
      </c>
      <c r="Q126" s="256" t="s">
        <v>68</v>
      </c>
      <c r="R126" s="256"/>
      <c r="S126" s="256"/>
      <c r="T126" s="77" t="s">
        <v>39</v>
      </c>
      <c r="U126" s="247" t="e">
        <f>$F$8/$L$1*O126</f>
        <v>#REF!</v>
      </c>
      <c r="V126" s="247"/>
      <c r="W126" s="74" t="s">
        <v>38</v>
      </c>
      <c r="X126" s="95"/>
    </row>
    <row r="127" spans="1:24" ht="18.75" customHeight="1">
      <c r="A127" s="81" t="s">
        <v>67</v>
      </c>
      <c r="B127" s="77" t="s">
        <v>39</v>
      </c>
      <c r="C127" s="80" t="e">
        <f>#REF!</f>
        <v>#REF!</v>
      </c>
      <c r="D127" s="79" t="s">
        <v>58</v>
      </c>
      <c r="E127" s="223" t="s">
        <v>66</v>
      </c>
      <c r="F127" s="223"/>
      <c r="G127" s="223"/>
      <c r="H127" s="77" t="s">
        <v>39</v>
      </c>
      <c r="I127" s="247" t="e">
        <f>#REF!</f>
        <v>#REF!</v>
      </c>
      <c r="J127" s="247"/>
      <c r="K127" s="74" t="s">
        <v>38</v>
      </c>
      <c r="L127" s="95" t="e">
        <f>F120*C127/L113/8*1.5</f>
        <v>#REF!</v>
      </c>
      <c r="M127" s="81" t="s">
        <v>67</v>
      </c>
      <c r="N127" s="77" t="s">
        <v>39</v>
      </c>
      <c r="O127" s="80" t="e">
        <f>#REF!</f>
        <v>#REF!</v>
      </c>
      <c r="P127" s="79" t="s">
        <v>58</v>
      </c>
      <c r="Q127" s="223" t="s">
        <v>66</v>
      </c>
      <c r="R127" s="223"/>
      <c r="S127" s="223"/>
      <c r="T127" s="77" t="s">
        <v>39</v>
      </c>
      <c r="U127" s="247" t="e">
        <f>#REF!</f>
        <v>#REF!</v>
      </c>
      <c r="V127" s="247"/>
      <c r="W127" s="74" t="s">
        <v>38</v>
      </c>
      <c r="X127" s="95" t="e">
        <f>R120*O127/X113/8*1.5</f>
        <v>#REF!</v>
      </c>
    </row>
    <row r="128" spans="1:24" ht="18.75" customHeight="1">
      <c r="A128" s="222" t="s">
        <v>65</v>
      </c>
      <c r="B128" s="223"/>
      <c r="C128" s="80"/>
      <c r="D128" s="79" t="s">
        <v>52</v>
      </c>
      <c r="E128" s="223" t="s">
        <v>64</v>
      </c>
      <c r="F128" s="223"/>
      <c r="G128" s="223"/>
      <c r="H128" s="100" t="s">
        <v>39</v>
      </c>
      <c r="I128" s="247"/>
      <c r="J128" s="247"/>
      <c r="K128" s="74" t="s">
        <v>38</v>
      </c>
      <c r="L128" s="95"/>
      <c r="M128" s="222" t="s">
        <v>65</v>
      </c>
      <c r="N128" s="223"/>
      <c r="O128" s="80"/>
      <c r="P128" s="79" t="s">
        <v>52</v>
      </c>
      <c r="Q128" s="223" t="s">
        <v>64</v>
      </c>
      <c r="R128" s="223"/>
      <c r="S128" s="223"/>
      <c r="T128" s="100" t="s">
        <v>39</v>
      </c>
      <c r="U128" s="247"/>
      <c r="V128" s="247"/>
      <c r="W128" s="74" t="s">
        <v>38</v>
      </c>
      <c r="X128" s="95"/>
    </row>
    <row r="129" spans="1:24" ht="18.75" customHeight="1">
      <c r="A129" s="81" t="s">
        <v>63</v>
      </c>
      <c r="B129" s="77" t="s">
        <v>39</v>
      </c>
      <c r="C129" s="80"/>
      <c r="D129" s="79" t="s">
        <v>52</v>
      </c>
      <c r="E129" s="223" t="s">
        <v>62</v>
      </c>
      <c r="F129" s="223"/>
      <c r="G129" s="223"/>
      <c r="H129" s="77" t="s">
        <v>39</v>
      </c>
      <c r="I129" s="247"/>
      <c r="J129" s="247"/>
      <c r="K129" s="74" t="s">
        <v>38</v>
      </c>
      <c r="L129" s="95"/>
      <c r="M129" s="81" t="s">
        <v>63</v>
      </c>
      <c r="N129" s="77" t="s">
        <v>39</v>
      </c>
      <c r="O129" s="80"/>
      <c r="P129" s="79" t="s">
        <v>52</v>
      </c>
      <c r="Q129" s="223" t="s">
        <v>62</v>
      </c>
      <c r="R129" s="223"/>
      <c r="S129" s="223"/>
      <c r="T129" s="77" t="s">
        <v>39</v>
      </c>
      <c r="U129" s="247"/>
      <c r="V129" s="247"/>
      <c r="W129" s="74" t="s">
        <v>38</v>
      </c>
      <c r="X129" s="95"/>
    </row>
    <row r="130" spans="1:24" ht="18.75" customHeight="1">
      <c r="A130" s="99" t="s">
        <v>61</v>
      </c>
      <c r="B130" s="77"/>
      <c r="C130" s="80" t="e">
        <f>#REF!</f>
        <v>#REF!</v>
      </c>
      <c r="D130" s="79" t="s">
        <v>58</v>
      </c>
      <c r="E130" s="223" t="s">
        <v>60</v>
      </c>
      <c r="F130" s="223"/>
      <c r="G130" s="223"/>
      <c r="H130" s="77" t="s">
        <v>39</v>
      </c>
      <c r="I130" s="247" t="e">
        <f>$F$8*C130/8/$L$1</f>
        <v>#REF!</v>
      </c>
      <c r="J130" s="247"/>
      <c r="K130" s="74" t="s">
        <v>38</v>
      </c>
      <c r="L130" s="95"/>
      <c r="M130" s="99" t="s">
        <v>61</v>
      </c>
      <c r="N130" s="77"/>
      <c r="O130" s="80" t="e">
        <f>#REF!</f>
        <v>#REF!</v>
      </c>
      <c r="P130" s="79" t="s">
        <v>58</v>
      </c>
      <c r="Q130" s="223" t="s">
        <v>60</v>
      </c>
      <c r="R130" s="223"/>
      <c r="S130" s="223"/>
      <c r="T130" s="77" t="s">
        <v>39</v>
      </c>
      <c r="U130" s="247" t="e">
        <f>$F$8*O130/8/$L$1</f>
        <v>#REF!</v>
      </c>
      <c r="V130" s="247"/>
      <c r="W130" s="74" t="s">
        <v>38</v>
      </c>
      <c r="X130" s="95"/>
    </row>
    <row r="131" spans="1:24" ht="18.75" customHeight="1">
      <c r="A131" s="81" t="s">
        <v>59</v>
      </c>
      <c r="B131" s="77" t="s">
        <v>39</v>
      </c>
      <c r="C131" s="80"/>
      <c r="D131" s="79" t="s">
        <v>58</v>
      </c>
      <c r="E131" s="223" t="s">
        <v>57</v>
      </c>
      <c r="F131" s="223"/>
      <c r="G131" s="223"/>
      <c r="H131" s="77" t="s">
        <v>39</v>
      </c>
      <c r="I131" s="255"/>
      <c r="J131" s="255"/>
      <c r="K131" s="74" t="s">
        <v>38</v>
      </c>
      <c r="L131" s="95"/>
      <c r="M131" s="81" t="s">
        <v>59</v>
      </c>
      <c r="N131" s="77" t="s">
        <v>39</v>
      </c>
      <c r="O131" s="80"/>
      <c r="P131" s="79" t="s">
        <v>58</v>
      </c>
      <c r="Q131" s="223" t="s">
        <v>57</v>
      </c>
      <c r="R131" s="223"/>
      <c r="S131" s="223"/>
      <c r="T131" s="77" t="s">
        <v>39</v>
      </c>
      <c r="U131" s="255"/>
      <c r="V131" s="255"/>
      <c r="W131" s="74" t="s">
        <v>38</v>
      </c>
      <c r="X131" s="95"/>
    </row>
    <row r="132" spans="1:24" ht="18.75" customHeight="1">
      <c r="A132" s="81" t="s">
        <v>56</v>
      </c>
      <c r="B132" s="77" t="s">
        <v>39</v>
      </c>
      <c r="C132" s="80"/>
      <c r="D132" s="79" t="s">
        <v>55</v>
      </c>
      <c r="E132" s="98" t="s">
        <v>54</v>
      </c>
      <c r="F132" s="98"/>
      <c r="G132" s="98"/>
      <c r="H132" s="77" t="s">
        <v>39</v>
      </c>
      <c r="I132" s="247"/>
      <c r="J132" s="247"/>
      <c r="K132" s="74" t="s">
        <v>38</v>
      </c>
      <c r="L132" s="95" t="e">
        <f>+IF(L123-I123&lt;0,0,L123-I123)+IF(L127-I127&lt;0,0,L127-I127)</f>
        <v>#REF!</v>
      </c>
      <c r="M132" s="81" t="s">
        <v>56</v>
      </c>
      <c r="N132" s="77" t="s">
        <v>39</v>
      </c>
      <c r="O132" s="80"/>
      <c r="P132" s="79" t="s">
        <v>55</v>
      </c>
      <c r="Q132" s="98" t="s">
        <v>54</v>
      </c>
      <c r="R132" s="98"/>
      <c r="S132" s="98"/>
      <c r="T132" s="77" t="s">
        <v>39</v>
      </c>
      <c r="U132" s="247"/>
      <c r="V132" s="247"/>
      <c r="W132" s="74" t="s">
        <v>38</v>
      </c>
      <c r="X132" s="95" t="e">
        <f>+IF(X123-U123&lt;0,0,X123-U123)+IF(X127-U127&lt;0,0,X127-U127)</f>
        <v>#REF!</v>
      </c>
    </row>
    <row r="133" spans="1:24" ht="18.75" customHeight="1">
      <c r="A133" s="97" t="s">
        <v>53</v>
      </c>
      <c r="B133" s="96"/>
      <c r="C133" s="80"/>
      <c r="D133" s="79" t="s">
        <v>52</v>
      </c>
      <c r="E133" s="223" t="s">
        <v>51</v>
      </c>
      <c r="F133" s="223"/>
      <c r="G133" s="223"/>
      <c r="H133" s="77" t="s">
        <v>39</v>
      </c>
      <c r="I133" s="247"/>
      <c r="J133" s="247"/>
      <c r="K133" s="74" t="s">
        <v>38</v>
      </c>
      <c r="L133" s="95"/>
      <c r="M133" s="97" t="s">
        <v>53</v>
      </c>
      <c r="N133" s="96"/>
      <c r="O133" s="80"/>
      <c r="P133" s="79" t="s">
        <v>52</v>
      </c>
      <c r="Q133" s="223" t="s">
        <v>51</v>
      </c>
      <c r="R133" s="223"/>
      <c r="S133" s="223"/>
      <c r="T133" s="77" t="s">
        <v>39</v>
      </c>
      <c r="U133" s="247"/>
      <c r="V133" s="247"/>
      <c r="W133" s="74" t="s">
        <v>38</v>
      </c>
      <c r="X133" s="95"/>
    </row>
    <row r="134" spans="1:24" ht="18.75" customHeight="1">
      <c r="A134" s="248" t="s">
        <v>50</v>
      </c>
      <c r="B134" s="249"/>
      <c r="C134" s="80"/>
      <c r="D134" s="79"/>
      <c r="E134" s="78"/>
      <c r="F134" s="78"/>
      <c r="G134" s="78"/>
      <c r="H134" s="77" t="s">
        <v>39</v>
      </c>
      <c r="I134" s="247" t="e">
        <f>#REF!</f>
        <v>#REF!</v>
      </c>
      <c r="J134" s="247"/>
      <c r="K134" s="74" t="s">
        <v>38</v>
      </c>
      <c r="L134" s="95"/>
      <c r="M134" s="248" t="s">
        <v>50</v>
      </c>
      <c r="N134" s="249"/>
      <c r="O134" s="80"/>
      <c r="P134" s="79"/>
      <c r="Q134" s="78"/>
      <c r="R134" s="78"/>
      <c r="S134" s="78"/>
      <c r="T134" s="77" t="s">
        <v>39</v>
      </c>
      <c r="U134" s="247" t="e">
        <f>#REF!</f>
        <v>#REF!</v>
      </c>
      <c r="V134" s="247"/>
      <c r="W134" s="74" t="s">
        <v>38</v>
      </c>
      <c r="X134" s="95"/>
    </row>
    <row r="135" spans="1:24" ht="18.75" customHeight="1">
      <c r="A135" s="81" t="s">
        <v>49</v>
      </c>
      <c r="B135" s="77" t="s">
        <v>39</v>
      </c>
      <c r="C135" s="80"/>
      <c r="D135" s="79"/>
      <c r="E135" s="78" t="s">
        <v>48</v>
      </c>
      <c r="F135" s="78"/>
      <c r="G135" s="78"/>
      <c r="H135" s="77" t="s">
        <v>39</v>
      </c>
      <c r="I135" s="247" t="e">
        <f>L132</f>
        <v>#REF!</v>
      </c>
      <c r="J135" s="247"/>
      <c r="K135" s="74" t="s">
        <v>38</v>
      </c>
      <c r="L135" s="95"/>
      <c r="M135" s="81" t="s">
        <v>49</v>
      </c>
      <c r="N135" s="77" t="s">
        <v>39</v>
      </c>
      <c r="O135" s="80"/>
      <c r="P135" s="79"/>
      <c r="Q135" s="78" t="s">
        <v>48</v>
      </c>
      <c r="R135" s="78"/>
      <c r="S135" s="78"/>
      <c r="T135" s="77" t="s">
        <v>39</v>
      </c>
      <c r="U135" s="247" t="e">
        <f>X132</f>
        <v>#REF!</v>
      </c>
      <c r="V135" s="247"/>
      <c r="W135" s="74" t="s">
        <v>38</v>
      </c>
      <c r="X135" s="95"/>
    </row>
    <row r="136" spans="1:24" ht="18.75" customHeight="1">
      <c r="A136" s="250" t="s">
        <v>47</v>
      </c>
      <c r="B136" s="251"/>
      <c r="C136" s="251"/>
      <c r="D136" s="251"/>
      <c r="E136" s="251"/>
      <c r="F136" s="251"/>
      <c r="G136" s="77" t="s">
        <v>39</v>
      </c>
      <c r="H136" s="252" t="e">
        <f>I123+I124+I125+I126+I127+I130+I134+I135</f>
        <v>#REF!</v>
      </c>
      <c r="I136" s="252"/>
      <c r="J136" s="252"/>
      <c r="K136" s="74" t="s">
        <v>38</v>
      </c>
      <c r="M136" s="250" t="s">
        <v>47</v>
      </c>
      <c r="N136" s="251"/>
      <c r="O136" s="251"/>
      <c r="P136" s="251"/>
      <c r="Q136" s="251"/>
      <c r="R136" s="251"/>
      <c r="S136" s="77" t="s">
        <v>39</v>
      </c>
      <c r="T136" s="252" t="e">
        <f>U123+U124+U125+U126+U127+U130+U134+U135</f>
        <v>#REF!</v>
      </c>
      <c r="U136" s="252"/>
      <c r="V136" s="252"/>
      <c r="W136" s="74" t="s">
        <v>38</v>
      </c>
    </row>
    <row r="137" spans="1:24" ht="18.75" customHeight="1">
      <c r="A137" s="94"/>
      <c r="B137" s="93"/>
      <c r="C137" s="93"/>
      <c r="D137" s="93"/>
      <c r="E137" s="93"/>
      <c r="F137" s="93"/>
      <c r="G137" s="93"/>
      <c r="H137" s="93"/>
      <c r="I137" s="93"/>
      <c r="J137" s="93"/>
      <c r="K137" s="92"/>
      <c r="M137" s="94"/>
      <c r="N137" s="93"/>
      <c r="O137" s="93"/>
      <c r="P137" s="93"/>
      <c r="Q137" s="93"/>
      <c r="R137" s="93"/>
      <c r="S137" s="93"/>
      <c r="T137" s="93"/>
      <c r="U137" s="93"/>
      <c r="V137" s="93"/>
      <c r="W137" s="92"/>
    </row>
    <row r="138" spans="1:24" ht="18.75" customHeight="1">
      <c r="A138" s="253" t="s">
        <v>46</v>
      </c>
      <c r="B138" s="254"/>
      <c r="C138" s="254"/>
      <c r="D138" s="254"/>
      <c r="E138" s="254"/>
      <c r="F138" s="254"/>
      <c r="G138" s="77"/>
      <c r="H138" s="77"/>
      <c r="I138" s="77"/>
      <c r="J138" s="77"/>
      <c r="K138" s="74"/>
      <c r="M138" s="253" t="s">
        <v>46</v>
      </c>
      <c r="N138" s="254"/>
      <c r="O138" s="254"/>
      <c r="P138" s="254"/>
      <c r="Q138" s="254"/>
      <c r="R138" s="254"/>
      <c r="S138" s="77"/>
      <c r="T138" s="77"/>
      <c r="U138" s="77"/>
      <c r="V138" s="77"/>
      <c r="W138" s="74"/>
    </row>
    <row r="139" spans="1:24" ht="18.75" customHeight="1">
      <c r="A139" s="232" t="s">
        <v>45</v>
      </c>
      <c r="B139" s="233"/>
      <c r="C139" s="233"/>
      <c r="D139" s="233"/>
      <c r="E139" s="233"/>
      <c r="F139" s="233"/>
      <c r="G139" s="77" t="s">
        <v>39</v>
      </c>
      <c r="H139" s="242" t="e">
        <f>IF(($L$1-C123)&gt;12,0,F120*8%)</f>
        <v>#REF!</v>
      </c>
      <c r="I139" s="242"/>
      <c r="J139" s="242"/>
      <c r="K139" s="74" t="s">
        <v>38</v>
      </c>
      <c r="M139" s="232" t="s">
        <v>45</v>
      </c>
      <c r="N139" s="233"/>
      <c r="O139" s="233"/>
      <c r="P139" s="233"/>
      <c r="Q139" s="233"/>
      <c r="R139" s="233"/>
      <c r="S139" s="77" t="s">
        <v>39</v>
      </c>
      <c r="T139" s="242" t="e">
        <f>IF(($L$1-O123)&gt;12,0,R120*8%)</f>
        <v>#REF!</v>
      </c>
      <c r="U139" s="242"/>
      <c r="V139" s="242"/>
      <c r="W139" s="74" t="s">
        <v>38</v>
      </c>
    </row>
    <row r="140" spans="1:24" ht="18.75" customHeight="1">
      <c r="A140" s="232" t="s">
        <v>44</v>
      </c>
      <c r="B140" s="233"/>
      <c r="C140" s="233"/>
      <c r="D140" s="233"/>
      <c r="E140" s="233"/>
      <c r="F140" s="233"/>
      <c r="G140" s="77" t="s">
        <v>39</v>
      </c>
      <c r="H140" s="243" t="e">
        <f>IF(($L$1-C123)&gt;12,0,F120*1.5%)</f>
        <v>#REF!</v>
      </c>
      <c r="I140" s="243"/>
      <c r="J140" s="243"/>
      <c r="K140" s="74" t="s">
        <v>38</v>
      </c>
      <c r="M140" s="232" t="s">
        <v>44</v>
      </c>
      <c r="N140" s="233"/>
      <c r="O140" s="233"/>
      <c r="P140" s="233"/>
      <c r="Q140" s="233"/>
      <c r="R140" s="233"/>
      <c r="S140" s="77" t="s">
        <v>39</v>
      </c>
      <c r="T140" s="243" t="e">
        <f>IF(($L$1-O123)&gt;12,0,R120*1.5%)</f>
        <v>#REF!</v>
      </c>
      <c r="U140" s="243"/>
      <c r="V140" s="243"/>
      <c r="W140" s="74" t="s">
        <v>38</v>
      </c>
    </row>
    <row r="141" spans="1:24" ht="18.75" customHeight="1">
      <c r="A141" s="232" t="s">
        <v>43</v>
      </c>
      <c r="B141" s="233"/>
      <c r="C141" s="233"/>
      <c r="D141" s="233"/>
      <c r="E141" s="233"/>
      <c r="F141" s="233"/>
      <c r="G141" s="77" t="s">
        <v>39</v>
      </c>
      <c r="H141" s="243" t="e">
        <f>IF(($L$1-C123)&gt;12,0,F120*1%)</f>
        <v>#REF!</v>
      </c>
      <c r="I141" s="243"/>
      <c r="J141" s="243"/>
      <c r="K141" s="74" t="s">
        <v>38</v>
      </c>
      <c r="M141" s="232" t="s">
        <v>43</v>
      </c>
      <c r="N141" s="233"/>
      <c r="O141" s="233"/>
      <c r="P141" s="233"/>
      <c r="Q141" s="233"/>
      <c r="R141" s="233"/>
      <c r="S141" s="77" t="s">
        <v>39</v>
      </c>
      <c r="T141" s="243" t="e">
        <f>IF(($L$1-O123)&gt;12,0,R120*1%)</f>
        <v>#REF!</v>
      </c>
      <c r="U141" s="243"/>
      <c r="V141" s="243"/>
      <c r="W141" s="74" t="s">
        <v>38</v>
      </c>
    </row>
    <row r="142" spans="1:24" ht="18.75" customHeight="1">
      <c r="A142" s="232" t="s">
        <v>42</v>
      </c>
      <c r="B142" s="233"/>
      <c r="C142" s="233"/>
      <c r="D142" s="233"/>
      <c r="E142" s="233"/>
      <c r="F142" s="233"/>
      <c r="G142" s="77" t="s">
        <v>39</v>
      </c>
      <c r="H142" s="243">
        <v>0</v>
      </c>
      <c r="I142" s="243"/>
      <c r="J142" s="243"/>
      <c r="K142" s="74" t="s">
        <v>38</v>
      </c>
      <c r="M142" s="232" t="s">
        <v>42</v>
      </c>
      <c r="N142" s="233"/>
      <c r="O142" s="233"/>
      <c r="P142" s="233"/>
      <c r="Q142" s="233"/>
      <c r="R142" s="233"/>
      <c r="S142" s="77" t="s">
        <v>39</v>
      </c>
      <c r="T142" s="243">
        <v>0</v>
      </c>
      <c r="U142" s="243"/>
      <c r="V142" s="243"/>
      <c r="W142" s="74" t="s">
        <v>38</v>
      </c>
    </row>
    <row r="143" spans="1:24" ht="18.75" customHeight="1">
      <c r="A143" s="244" t="s">
        <v>41</v>
      </c>
      <c r="B143" s="245"/>
      <c r="C143" s="245"/>
      <c r="D143" s="245"/>
      <c r="E143" s="245"/>
      <c r="F143" s="245"/>
      <c r="G143" s="77" t="s">
        <v>39</v>
      </c>
      <c r="H143" s="246" t="e">
        <f>SUM(H139:J142)</f>
        <v>#REF!</v>
      </c>
      <c r="I143" s="246"/>
      <c r="J143" s="246"/>
      <c r="K143" s="74" t="s">
        <v>38</v>
      </c>
      <c r="M143" s="244" t="s">
        <v>41</v>
      </c>
      <c r="N143" s="245"/>
      <c r="O143" s="245"/>
      <c r="P143" s="245"/>
      <c r="Q143" s="245"/>
      <c r="R143" s="245"/>
      <c r="S143" s="77" t="s">
        <v>39</v>
      </c>
      <c r="T143" s="246" t="e">
        <f>SUM(T139:V142)</f>
        <v>#REF!</v>
      </c>
      <c r="U143" s="246"/>
      <c r="V143" s="246"/>
      <c r="W143" s="74" t="s">
        <v>38</v>
      </c>
    </row>
    <row r="144" spans="1:24" ht="18.75" customHeight="1">
      <c r="A144" s="232" t="s">
        <v>40</v>
      </c>
      <c r="B144" s="233"/>
      <c r="C144" s="233"/>
      <c r="D144" s="233"/>
      <c r="E144" s="233"/>
      <c r="F144" s="233"/>
      <c r="G144" s="77" t="s">
        <v>39</v>
      </c>
      <c r="H144" s="234" t="e">
        <f>ROUND(H136-H143,-2)</f>
        <v>#REF!</v>
      </c>
      <c r="I144" s="234"/>
      <c r="J144" s="234"/>
      <c r="K144" s="74" t="s">
        <v>38</v>
      </c>
      <c r="M144" s="232" t="s">
        <v>40</v>
      </c>
      <c r="N144" s="233"/>
      <c r="O144" s="233"/>
      <c r="P144" s="233"/>
      <c r="Q144" s="233"/>
      <c r="R144" s="233"/>
      <c r="S144" s="77" t="s">
        <v>39</v>
      </c>
      <c r="T144" s="234" t="e">
        <f>ROUND(T136-T143,-2)</f>
        <v>#REF!</v>
      </c>
      <c r="U144" s="234"/>
      <c r="V144" s="234"/>
      <c r="W144" s="74" t="s">
        <v>38</v>
      </c>
    </row>
    <row r="145" spans="1:24" ht="18.75" customHeight="1">
      <c r="A145" s="91"/>
      <c r="B145" s="90"/>
      <c r="C145" s="90"/>
      <c r="D145" s="90"/>
      <c r="E145" s="90"/>
      <c r="F145" s="90"/>
      <c r="G145" s="90"/>
      <c r="H145" s="90"/>
      <c r="I145" s="90"/>
      <c r="J145" s="90"/>
      <c r="K145" s="89"/>
      <c r="M145" s="91"/>
      <c r="N145" s="90"/>
      <c r="O145" s="90"/>
      <c r="P145" s="90"/>
      <c r="Q145" s="90"/>
      <c r="R145" s="90"/>
      <c r="S145" s="90"/>
      <c r="T145" s="90"/>
      <c r="U145" s="90"/>
      <c r="V145" s="90"/>
      <c r="W145" s="89"/>
    </row>
    <row r="146" spans="1:24" ht="18.75" customHeight="1">
      <c r="A146" s="88"/>
      <c r="B146" s="77"/>
      <c r="C146" s="77"/>
      <c r="D146" s="77"/>
      <c r="E146" s="77"/>
      <c r="F146" s="77"/>
      <c r="G146" s="77"/>
      <c r="H146" s="77"/>
      <c r="I146" s="235" t="s">
        <v>37</v>
      </c>
      <c r="J146" s="235"/>
      <c r="K146" s="236"/>
      <c r="M146" s="88"/>
      <c r="N146" s="77"/>
      <c r="O146" s="77"/>
      <c r="P146" s="77"/>
      <c r="Q146" s="77"/>
      <c r="R146" s="77"/>
      <c r="S146" s="77"/>
      <c r="T146" s="77"/>
      <c r="U146" s="235" t="s">
        <v>37</v>
      </c>
      <c r="V146" s="235"/>
      <c r="W146" s="236"/>
    </row>
    <row r="147" spans="1:24" ht="18.75" customHeight="1">
      <c r="A147" s="88"/>
      <c r="B147" s="235"/>
      <c r="C147" s="235"/>
      <c r="D147" s="235"/>
      <c r="E147" s="235"/>
      <c r="F147" s="77"/>
      <c r="G147" s="77"/>
      <c r="H147" s="77"/>
      <c r="I147" s="77"/>
      <c r="J147" s="77"/>
      <c r="K147" s="82"/>
      <c r="M147" s="88"/>
      <c r="N147" s="235"/>
      <c r="O147" s="235"/>
      <c r="P147" s="235"/>
      <c r="Q147" s="235"/>
      <c r="R147" s="77"/>
      <c r="S147" s="77"/>
      <c r="T147" s="77"/>
      <c r="U147" s="77"/>
      <c r="V147" s="77"/>
      <c r="W147" s="82"/>
    </row>
    <row r="148" spans="1:24" ht="18.75" customHeight="1" thickBot="1">
      <c r="A148" s="87"/>
      <c r="B148" s="86"/>
      <c r="C148" s="86"/>
      <c r="D148" s="86"/>
      <c r="E148" s="86"/>
      <c r="F148" s="86"/>
      <c r="G148" s="86"/>
      <c r="H148" s="86"/>
      <c r="I148" s="237" t="s">
        <v>36</v>
      </c>
      <c r="J148" s="237"/>
      <c r="K148" s="238"/>
      <c r="M148" s="87"/>
      <c r="N148" s="86"/>
      <c r="O148" s="86"/>
      <c r="P148" s="86"/>
      <c r="Q148" s="86"/>
      <c r="R148" s="86"/>
      <c r="S148" s="86"/>
      <c r="T148" s="86"/>
      <c r="U148" s="237" t="s">
        <v>36</v>
      </c>
      <c r="V148" s="237"/>
      <c r="W148" s="238"/>
    </row>
    <row r="150" spans="1:24" ht="18.75" customHeight="1" thickTop="1">
      <c r="A150" s="239" t="s">
        <v>87</v>
      </c>
      <c r="B150" s="240"/>
      <c r="C150" s="240"/>
      <c r="D150" s="240"/>
      <c r="E150" s="240"/>
      <c r="F150" s="240"/>
      <c r="G150" s="240"/>
      <c r="H150" s="240"/>
      <c r="I150" s="240"/>
      <c r="J150" s="240"/>
      <c r="K150" s="241"/>
      <c r="L150" s="72">
        <v>25</v>
      </c>
      <c r="M150" s="239" t="s">
        <v>87</v>
      </c>
      <c r="N150" s="240"/>
      <c r="O150" s="240"/>
      <c r="P150" s="240"/>
      <c r="Q150" s="240"/>
      <c r="R150" s="240"/>
      <c r="S150" s="240"/>
      <c r="T150" s="240"/>
      <c r="U150" s="240"/>
      <c r="V150" s="240"/>
      <c r="W150" s="241"/>
      <c r="X150" s="72">
        <v>25</v>
      </c>
    </row>
    <row r="151" spans="1:24" ht="18.75" customHeight="1">
      <c r="A151" s="85" t="s">
        <v>141</v>
      </c>
      <c r="B151" s="84"/>
      <c r="C151" s="84"/>
      <c r="D151" s="84"/>
      <c r="E151" s="84"/>
      <c r="F151" s="84"/>
      <c r="G151" s="84"/>
      <c r="H151" s="84"/>
      <c r="I151" s="84"/>
      <c r="J151" s="84"/>
      <c r="K151" s="83"/>
      <c r="M151" s="85" t="s">
        <v>140</v>
      </c>
      <c r="N151" s="84"/>
      <c r="O151" s="84"/>
      <c r="P151" s="84"/>
      <c r="Q151" s="84"/>
      <c r="R151" s="84"/>
      <c r="S151" s="84"/>
      <c r="T151" s="84"/>
      <c r="U151" s="84"/>
      <c r="V151" s="84"/>
      <c r="W151" s="83"/>
    </row>
    <row r="152" spans="1:24" ht="18.75" customHeight="1">
      <c r="A152" s="227" t="s">
        <v>84</v>
      </c>
      <c r="B152" s="228"/>
      <c r="C152" s="228"/>
      <c r="D152" s="228"/>
      <c r="E152" s="228"/>
      <c r="F152" s="228"/>
      <c r="G152" s="228"/>
      <c r="H152" s="228"/>
      <c r="I152" s="228"/>
      <c r="J152" s="228"/>
      <c r="K152" s="229"/>
      <c r="M152" s="227" t="s">
        <v>84</v>
      </c>
      <c r="N152" s="228"/>
      <c r="O152" s="228"/>
      <c r="P152" s="228"/>
      <c r="Q152" s="228"/>
      <c r="R152" s="228"/>
      <c r="S152" s="228"/>
      <c r="T152" s="228"/>
      <c r="U152" s="228"/>
      <c r="V152" s="228"/>
      <c r="W152" s="229"/>
    </row>
    <row r="153" spans="1:24" ht="18.75" customHeight="1">
      <c r="A153" s="222" t="s">
        <v>83</v>
      </c>
      <c r="B153" s="223"/>
      <c r="C153" s="223"/>
      <c r="D153" s="223"/>
      <c r="E153" s="77" t="s">
        <v>39</v>
      </c>
      <c r="F153" s="224" t="e">
        <f>'[3]Bang TH nop'!#REF!</f>
        <v>#REF!</v>
      </c>
      <c r="G153" s="223"/>
      <c r="H153" s="223"/>
      <c r="I153" s="223"/>
      <c r="J153" s="223"/>
      <c r="K153" s="226"/>
      <c r="M153" s="222" t="s">
        <v>83</v>
      </c>
      <c r="N153" s="223"/>
      <c r="O153" s="223"/>
      <c r="P153" s="223"/>
      <c r="Q153" s="77" t="s">
        <v>39</v>
      </c>
      <c r="R153" s="224">
        <f>'[3]Bang TH nop'!B18</f>
        <v>0</v>
      </c>
      <c r="S153" s="223"/>
      <c r="T153" s="223"/>
      <c r="U153" s="223"/>
      <c r="V153" s="223"/>
      <c r="W153" s="226"/>
    </row>
    <row r="154" spans="1:24" ht="18.75" customHeight="1">
      <c r="A154" s="222" t="s">
        <v>82</v>
      </c>
      <c r="B154" s="223"/>
      <c r="C154" s="223"/>
      <c r="D154" s="223"/>
      <c r="E154" s="77" t="s">
        <v>39</v>
      </c>
      <c r="F154" s="224" t="e">
        <f>'[3]Bang TH nop'!#REF!</f>
        <v>#REF!</v>
      </c>
      <c r="G154" s="224"/>
      <c r="H154" s="224"/>
      <c r="I154" s="224"/>
      <c r="J154" s="224"/>
      <c r="K154" s="225"/>
      <c r="M154" s="222" t="s">
        <v>82</v>
      </c>
      <c r="N154" s="223"/>
      <c r="O154" s="223"/>
      <c r="P154" s="223"/>
      <c r="Q154" s="77" t="s">
        <v>39</v>
      </c>
      <c r="R154" s="224">
        <f>'[3]Bang TH nop'!C18</f>
        <v>0</v>
      </c>
      <c r="S154" s="224"/>
      <c r="T154" s="224"/>
      <c r="U154" s="224"/>
      <c r="V154" s="224"/>
      <c r="W154" s="225"/>
    </row>
    <row r="155" spans="1:24" ht="18.75" customHeight="1">
      <c r="A155" s="222" t="s">
        <v>81</v>
      </c>
      <c r="B155" s="223"/>
      <c r="C155" s="223"/>
      <c r="D155" s="223"/>
      <c r="E155" s="77" t="s">
        <v>39</v>
      </c>
      <c r="F155" s="223" t="s">
        <v>80</v>
      </c>
      <c r="G155" s="223"/>
      <c r="H155" s="223"/>
      <c r="I155" s="223"/>
      <c r="J155" s="223"/>
      <c r="K155" s="226"/>
      <c r="M155" s="222" t="s">
        <v>81</v>
      </c>
      <c r="N155" s="223"/>
      <c r="O155" s="223"/>
      <c r="P155" s="223"/>
      <c r="Q155" s="77" t="s">
        <v>39</v>
      </c>
      <c r="R155" s="223" t="s">
        <v>80</v>
      </c>
      <c r="S155" s="223"/>
      <c r="T155" s="223"/>
      <c r="U155" s="223"/>
      <c r="V155" s="223"/>
      <c r="W155" s="226"/>
    </row>
    <row r="156" spans="1:24" ht="18.75" customHeight="1">
      <c r="A156" s="227" t="s">
        <v>79</v>
      </c>
      <c r="B156" s="228"/>
      <c r="C156" s="228"/>
      <c r="D156" s="228"/>
      <c r="E156" s="228"/>
      <c r="F156" s="228"/>
      <c r="G156" s="228"/>
      <c r="H156" s="228"/>
      <c r="I156" s="228"/>
      <c r="J156" s="228"/>
      <c r="K156" s="229"/>
      <c r="M156" s="227" t="s">
        <v>79</v>
      </c>
      <c r="N156" s="228"/>
      <c r="O156" s="228"/>
      <c r="P156" s="228"/>
      <c r="Q156" s="228"/>
      <c r="R156" s="228"/>
      <c r="S156" s="228"/>
      <c r="T156" s="228"/>
      <c r="U156" s="228"/>
      <c r="V156" s="228"/>
      <c r="W156" s="229"/>
    </row>
    <row r="157" spans="1:24" ht="18.75" customHeight="1">
      <c r="A157" s="222" t="s">
        <v>78</v>
      </c>
      <c r="B157" s="223"/>
      <c r="C157" s="223"/>
      <c r="D157" s="223"/>
      <c r="E157" s="77" t="s">
        <v>39</v>
      </c>
      <c r="F157" s="230">
        <v>2915400</v>
      </c>
      <c r="G157" s="230"/>
      <c r="H157" s="230"/>
      <c r="I157" s="230"/>
      <c r="J157" s="77" t="s">
        <v>38</v>
      </c>
      <c r="K157" s="82"/>
      <c r="M157" s="222" t="s">
        <v>78</v>
      </c>
      <c r="N157" s="223"/>
      <c r="O157" s="223"/>
      <c r="P157" s="223"/>
      <c r="Q157" s="77" t="s">
        <v>39</v>
      </c>
      <c r="R157" s="230">
        <v>2915400</v>
      </c>
      <c r="S157" s="230"/>
      <c r="T157" s="230"/>
      <c r="U157" s="230"/>
      <c r="V157" s="77" t="s">
        <v>38</v>
      </c>
      <c r="W157" s="82"/>
    </row>
    <row r="158" spans="1:24" ht="18.75" customHeight="1">
      <c r="A158" s="81" t="s">
        <v>77</v>
      </c>
      <c r="B158" s="77"/>
      <c r="C158" s="80"/>
      <c r="D158" s="79"/>
      <c r="E158" s="78"/>
      <c r="F158" s="78"/>
      <c r="G158" s="78"/>
      <c r="H158" s="77"/>
      <c r="I158" s="76" t="e">
        <f>#REF!</f>
        <v>#REF!</v>
      </c>
      <c r="J158" s="75"/>
      <c r="K158" s="74"/>
      <c r="M158" s="81" t="s">
        <v>77</v>
      </c>
      <c r="N158" s="77"/>
      <c r="O158" s="80"/>
      <c r="P158" s="79"/>
      <c r="Q158" s="78"/>
      <c r="R158" s="78"/>
      <c r="S158" s="78"/>
      <c r="T158" s="77"/>
      <c r="U158" s="76" t="e">
        <f>#REF!</f>
        <v>#REF!</v>
      </c>
      <c r="V158" s="75"/>
      <c r="W158" s="74"/>
    </row>
    <row r="159" spans="1:24" ht="18.75" customHeight="1">
      <c r="A159" s="81" t="s">
        <v>76</v>
      </c>
      <c r="B159" s="77"/>
      <c r="C159" s="80"/>
      <c r="D159" s="79"/>
      <c r="E159" s="78"/>
      <c r="F159" s="78"/>
      <c r="G159" s="78"/>
      <c r="H159" s="77"/>
      <c r="I159" s="76" t="e">
        <f>I160/C160/8</f>
        <v>#REF!</v>
      </c>
      <c r="J159" s="75"/>
      <c r="K159" s="74"/>
      <c r="M159" s="81" t="s">
        <v>76</v>
      </c>
      <c r="N159" s="77"/>
      <c r="O159" s="80"/>
      <c r="P159" s="79"/>
      <c r="Q159" s="78"/>
      <c r="R159" s="78"/>
      <c r="S159" s="78"/>
      <c r="T159" s="77"/>
      <c r="U159" s="76" t="e">
        <f>U160/O160/8</f>
        <v>#REF!</v>
      </c>
      <c r="V159" s="75"/>
      <c r="W159" s="74"/>
    </row>
    <row r="160" spans="1:24" ht="18.75" customHeight="1">
      <c r="A160" s="81" t="s">
        <v>75</v>
      </c>
      <c r="B160" s="77" t="s">
        <v>39</v>
      </c>
      <c r="C160" s="80" t="e">
        <f>#REF!</f>
        <v>#REF!</v>
      </c>
      <c r="D160" s="79" t="s">
        <v>52</v>
      </c>
      <c r="E160" s="249" t="s">
        <v>74</v>
      </c>
      <c r="F160" s="249"/>
      <c r="G160" s="249"/>
      <c r="H160" s="77" t="s">
        <v>39</v>
      </c>
      <c r="I160" s="255" t="e">
        <f>#REF!</f>
        <v>#REF!</v>
      </c>
      <c r="J160" s="255"/>
      <c r="K160" s="74" t="s">
        <v>38</v>
      </c>
      <c r="L160" s="95" t="e">
        <f>F157/L150*C160</f>
        <v>#REF!</v>
      </c>
      <c r="M160" s="81" t="s">
        <v>75</v>
      </c>
      <c r="N160" s="77" t="s">
        <v>39</v>
      </c>
      <c r="O160" s="80" t="e">
        <f>#REF!</f>
        <v>#REF!</v>
      </c>
      <c r="P160" s="79" t="s">
        <v>52</v>
      </c>
      <c r="Q160" s="249" t="s">
        <v>74</v>
      </c>
      <c r="R160" s="249"/>
      <c r="S160" s="249"/>
      <c r="T160" s="77" t="s">
        <v>39</v>
      </c>
      <c r="U160" s="255" t="e">
        <f>#REF!</f>
        <v>#REF!</v>
      </c>
      <c r="V160" s="255"/>
      <c r="W160" s="74" t="s">
        <v>38</v>
      </c>
      <c r="X160" s="95" t="e">
        <f>R157/X150*O160</f>
        <v>#REF!</v>
      </c>
    </row>
    <row r="161" spans="1:24" ht="18.75" customHeight="1">
      <c r="A161" s="81" t="s">
        <v>73</v>
      </c>
      <c r="B161" s="77" t="s">
        <v>39</v>
      </c>
      <c r="C161" s="80" t="e">
        <f>#REF!</f>
        <v>#REF!</v>
      </c>
      <c r="D161" s="79" t="s">
        <v>52</v>
      </c>
      <c r="E161" s="223" t="s">
        <v>72</v>
      </c>
      <c r="F161" s="223"/>
      <c r="G161" s="223"/>
      <c r="H161" s="77" t="s">
        <v>39</v>
      </c>
      <c r="I161" s="247" t="e">
        <f>$F$8/$L$1*C161</f>
        <v>#REF!</v>
      </c>
      <c r="J161" s="247"/>
      <c r="K161" s="74" t="s">
        <v>38</v>
      </c>
      <c r="L161" s="95"/>
      <c r="M161" s="81" t="s">
        <v>73</v>
      </c>
      <c r="N161" s="77" t="s">
        <v>39</v>
      </c>
      <c r="O161" s="80" t="e">
        <f>#REF!</f>
        <v>#REF!</v>
      </c>
      <c r="P161" s="79" t="s">
        <v>52</v>
      </c>
      <c r="Q161" s="223" t="s">
        <v>72</v>
      </c>
      <c r="R161" s="223"/>
      <c r="S161" s="223"/>
      <c r="T161" s="77" t="s">
        <v>39</v>
      </c>
      <c r="U161" s="247" t="e">
        <f>$F$8/$L$1*O161</f>
        <v>#REF!</v>
      </c>
      <c r="V161" s="247"/>
      <c r="W161" s="74" t="s">
        <v>38</v>
      </c>
      <c r="X161" s="95"/>
    </row>
    <row r="162" spans="1:24" ht="18.75" customHeight="1">
      <c r="A162" s="81" t="s">
        <v>71</v>
      </c>
      <c r="B162" s="77" t="s">
        <v>39</v>
      </c>
      <c r="C162" s="80" t="e">
        <f>#REF!</f>
        <v>#REF!</v>
      </c>
      <c r="D162" s="79" t="s">
        <v>52</v>
      </c>
      <c r="E162" s="256" t="s">
        <v>70</v>
      </c>
      <c r="F162" s="256"/>
      <c r="G162" s="256"/>
      <c r="H162" s="77" t="s">
        <v>39</v>
      </c>
      <c r="I162" s="247" t="e">
        <f>$F$8/$L$1*C162</f>
        <v>#REF!</v>
      </c>
      <c r="J162" s="247"/>
      <c r="K162" s="74" t="s">
        <v>38</v>
      </c>
      <c r="L162" s="95"/>
      <c r="M162" s="81" t="s">
        <v>71</v>
      </c>
      <c r="N162" s="77" t="s">
        <v>39</v>
      </c>
      <c r="O162" s="80" t="e">
        <f>#REF!</f>
        <v>#REF!</v>
      </c>
      <c r="P162" s="79" t="s">
        <v>52</v>
      </c>
      <c r="Q162" s="256" t="s">
        <v>70</v>
      </c>
      <c r="R162" s="256"/>
      <c r="S162" s="256"/>
      <c r="T162" s="77" t="s">
        <v>39</v>
      </c>
      <c r="U162" s="247" t="e">
        <f>$F$8/$L$1*O162</f>
        <v>#REF!</v>
      </c>
      <c r="V162" s="247"/>
      <c r="W162" s="74" t="s">
        <v>38</v>
      </c>
      <c r="X162" s="95"/>
    </row>
    <row r="163" spans="1:24" ht="18.75" customHeight="1">
      <c r="A163" s="81" t="s">
        <v>69</v>
      </c>
      <c r="B163" s="77" t="s">
        <v>39</v>
      </c>
      <c r="C163" s="80" t="e">
        <f>#REF!</f>
        <v>#REF!</v>
      </c>
      <c r="D163" s="79" t="s">
        <v>52</v>
      </c>
      <c r="E163" s="256" t="s">
        <v>68</v>
      </c>
      <c r="F163" s="256"/>
      <c r="G163" s="256"/>
      <c r="H163" s="77" t="s">
        <v>39</v>
      </c>
      <c r="I163" s="247" t="e">
        <f>$F$8/$L$1*C163</f>
        <v>#REF!</v>
      </c>
      <c r="J163" s="247"/>
      <c r="K163" s="74" t="s">
        <v>38</v>
      </c>
      <c r="L163" s="95"/>
      <c r="M163" s="81" t="s">
        <v>69</v>
      </c>
      <c r="N163" s="77" t="s">
        <v>39</v>
      </c>
      <c r="O163" s="80" t="e">
        <f>#REF!</f>
        <v>#REF!</v>
      </c>
      <c r="P163" s="79" t="s">
        <v>52</v>
      </c>
      <c r="Q163" s="256" t="s">
        <v>68</v>
      </c>
      <c r="R163" s="256"/>
      <c r="S163" s="256"/>
      <c r="T163" s="77" t="s">
        <v>39</v>
      </c>
      <c r="U163" s="247" t="e">
        <f>$F$8/$L$1*O163</f>
        <v>#REF!</v>
      </c>
      <c r="V163" s="247"/>
      <c r="W163" s="74" t="s">
        <v>38</v>
      </c>
      <c r="X163" s="95"/>
    </row>
    <row r="164" spans="1:24" ht="18.75" customHeight="1">
      <c r="A164" s="81" t="s">
        <v>67</v>
      </c>
      <c r="B164" s="77" t="s">
        <v>39</v>
      </c>
      <c r="C164" s="80" t="e">
        <f>#REF!</f>
        <v>#REF!</v>
      </c>
      <c r="D164" s="79" t="s">
        <v>58</v>
      </c>
      <c r="E164" s="223" t="s">
        <v>66</v>
      </c>
      <c r="F164" s="223"/>
      <c r="G164" s="223"/>
      <c r="H164" s="77" t="s">
        <v>39</v>
      </c>
      <c r="I164" s="247" t="e">
        <f>#REF!</f>
        <v>#REF!</v>
      </c>
      <c r="J164" s="247"/>
      <c r="K164" s="74" t="s">
        <v>38</v>
      </c>
      <c r="L164" s="95" t="e">
        <f>F157*C164/L150/8*1.5</f>
        <v>#REF!</v>
      </c>
      <c r="M164" s="81" t="s">
        <v>67</v>
      </c>
      <c r="N164" s="77" t="s">
        <v>39</v>
      </c>
      <c r="O164" s="80" t="e">
        <f>#REF!</f>
        <v>#REF!</v>
      </c>
      <c r="P164" s="79" t="s">
        <v>58</v>
      </c>
      <c r="Q164" s="223" t="s">
        <v>66</v>
      </c>
      <c r="R164" s="223"/>
      <c r="S164" s="223"/>
      <c r="T164" s="77" t="s">
        <v>39</v>
      </c>
      <c r="U164" s="247" t="e">
        <f>#REF!</f>
        <v>#REF!</v>
      </c>
      <c r="V164" s="247"/>
      <c r="W164" s="74" t="s">
        <v>38</v>
      </c>
      <c r="X164" s="95" t="e">
        <f>R157*O164/X150/8*1.5</f>
        <v>#REF!</v>
      </c>
    </row>
    <row r="165" spans="1:24" ht="18.75" customHeight="1">
      <c r="A165" s="222" t="s">
        <v>65</v>
      </c>
      <c r="B165" s="223"/>
      <c r="C165" s="80"/>
      <c r="D165" s="79" t="s">
        <v>52</v>
      </c>
      <c r="E165" s="223" t="s">
        <v>64</v>
      </c>
      <c r="F165" s="223"/>
      <c r="G165" s="223"/>
      <c r="H165" s="100" t="s">
        <v>39</v>
      </c>
      <c r="I165" s="247"/>
      <c r="J165" s="247"/>
      <c r="K165" s="74" t="s">
        <v>38</v>
      </c>
      <c r="L165" s="95"/>
      <c r="M165" s="222" t="s">
        <v>65</v>
      </c>
      <c r="N165" s="223"/>
      <c r="O165" s="80"/>
      <c r="P165" s="79" t="s">
        <v>52</v>
      </c>
      <c r="Q165" s="223" t="s">
        <v>64</v>
      </c>
      <c r="R165" s="223"/>
      <c r="S165" s="223"/>
      <c r="T165" s="100" t="s">
        <v>39</v>
      </c>
      <c r="U165" s="247"/>
      <c r="V165" s="247"/>
      <c r="W165" s="74" t="s">
        <v>38</v>
      </c>
      <c r="X165" s="95"/>
    </row>
    <row r="166" spans="1:24" ht="18.75" customHeight="1">
      <c r="A166" s="81" t="s">
        <v>63</v>
      </c>
      <c r="B166" s="77" t="s">
        <v>39</v>
      </c>
      <c r="C166" s="80"/>
      <c r="D166" s="79" t="s">
        <v>52</v>
      </c>
      <c r="E166" s="223" t="s">
        <v>62</v>
      </c>
      <c r="F166" s="223"/>
      <c r="G166" s="223"/>
      <c r="H166" s="77" t="s">
        <v>39</v>
      </c>
      <c r="I166" s="247"/>
      <c r="J166" s="247"/>
      <c r="K166" s="74" t="s">
        <v>38</v>
      </c>
      <c r="L166" s="95"/>
      <c r="M166" s="81" t="s">
        <v>63</v>
      </c>
      <c r="N166" s="77" t="s">
        <v>39</v>
      </c>
      <c r="O166" s="80"/>
      <c r="P166" s="79" t="s">
        <v>52</v>
      </c>
      <c r="Q166" s="223" t="s">
        <v>62</v>
      </c>
      <c r="R166" s="223"/>
      <c r="S166" s="223"/>
      <c r="T166" s="77" t="s">
        <v>39</v>
      </c>
      <c r="U166" s="247"/>
      <c r="V166" s="247"/>
      <c r="W166" s="74" t="s">
        <v>38</v>
      </c>
      <c r="X166" s="95"/>
    </row>
    <row r="167" spans="1:24" ht="18.75" customHeight="1">
      <c r="A167" s="99" t="s">
        <v>61</v>
      </c>
      <c r="B167" s="77"/>
      <c r="C167" s="80" t="e">
        <f>#REF!</f>
        <v>#REF!</v>
      </c>
      <c r="D167" s="79" t="s">
        <v>58</v>
      </c>
      <c r="E167" s="223" t="s">
        <v>60</v>
      </c>
      <c r="F167" s="223"/>
      <c r="G167" s="223"/>
      <c r="H167" s="77" t="s">
        <v>39</v>
      </c>
      <c r="I167" s="247" t="e">
        <f>$F$8*C167/8/$L$1</f>
        <v>#REF!</v>
      </c>
      <c r="J167" s="247"/>
      <c r="K167" s="74" t="s">
        <v>38</v>
      </c>
      <c r="L167" s="95"/>
      <c r="M167" s="99" t="s">
        <v>61</v>
      </c>
      <c r="N167" s="77"/>
      <c r="O167" s="80" t="e">
        <f>#REF!</f>
        <v>#REF!</v>
      </c>
      <c r="P167" s="79" t="s">
        <v>58</v>
      </c>
      <c r="Q167" s="223" t="s">
        <v>60</v>
      </c>
      <c r="R167" s="223"/>
      <c r="S167" s="223"/>
      <c r="T167" s="77" t="s">
        <v>39</v>
      </c>
      <c r="U167" s="247" t="e">
        <f>$F$8*O167/8/$L$1</f>
        <v>#REF!</v>
      </c>
      <c r="V167" s="247"/>
      <c r="W167" s="74" t="s">
        <v>38</v>
      </c>
      <c r="X167" s="95"/>
    </row>
    <row r="168" spans="1:24" ht="18.75" customHeight="1">
      <c r="A168" s="81" t="s">
        <v>59</v>
      </c>
      <c r="B168" s="77" t="s">
        <v>39</v>
      </c>
      <c r="C168" s="80"/>
      <c r="D168" s="79" t="s">
        <v>58</v>
      </c>
      <c r="E168" s="223" t="s">
        <v>57</v>
      </c>
      <c r="F168" s="223"/>
      <c r="G168" s="223"/>
      <c r="H168" s="77" t="s">
        <v>39</v>
      </c>
      <c r="I168" s="255"/>
      <c r="J168" s="255"/>
      <c r="K168" s="74" t="s">
        <v>38</v>
      </c>
      <c r="L168" s="95"/>
      <c r="M168" s="81" t="s">
        <v>59</v>
      </c>
      <c r="N168" s="77" t="s">
        <v>39</v>
      </c>
      <c r="O168" s="80"/>
      <c r="P168" s="79" t="s">
        <v>58</v>
      </c>
      <c r="Q168" s="223" t="s">
        <v>57</v>
      </c>
      <c r="R168" s="223"/>
      <c r="S168" s="223"/>
      <c r="T168" s="77" t="s">
        <v>39</v>
      </c>
      <c r="U168" s="255"/>
      <c r="V168" s="255"/>
      <c r="W168" s="74" t="s">
        <v>38</v>
      </c>
      <c r="X168" s="95"/>
    </row>
    <row r="169" spans="1:24" ht="18.75" customHeight="1">
      <c r="A169" s="81" t="s">
        <v>56</v>
      </c>
      <c r="B169" s="77" t="s">
        <v>39</v>
      </c>
      <c r="C169" s="80"/>
      <c r="D169" s="79" t="s">
        <v>55</v>
      </c>
      <c r="E169" s="98" t="s">
        <v>54</v>
      </c>
      <c r="F169" s="98"/>
      <c r="G169" s="98"/>
      <c r="H169" s="77" t="s">
        <v>39</v>
      </c>
      <c r="I169" s="247"/>
      <c r="J169" s="247"/>
      <c r="K169" s="74" t="s">
        <v>38</v>
      </c>
      <c r="L169" s="95" t="e">
        <f>+IF(L160-I160&lt;0,0,L160-I160)+IF(L164-I164&lt;0,0,L164-I164)</f>
        <v>#REF!</v>
      </c>
      <c r="M169" s="81" t="s">
        <v>56</v>
      </c>
      <c r="N169" s="77" t="s">
        <v>39</v>
      </c>
      <c r="O169" s="80"/>
      <c r="P169" s="79" t="s">
        <v>55</v>
      </c>
      <c r="Q169" s="98" t="s">
        <v>54</v>
      </c>
      <c r="R169" s="98"/>
      <c r="S169" s="98"/>
      <c r="T169" s="77" t="s">
        <v>39</v>
      </c>
      <c r="U169" s="247"/>
      <c r="V169" s="247"/>
      <c r="W169" s="74" t="s">
        <v>38</v>
      </c>
      <c r="X169" s="95" t="e">
        <f>+IF(X160-U160&lt;0,0,X160-U160)+IF(X164-U164&lt;0,0,X164-U164)</f>
        <v>#REF!</v>
      </c>
    </row>
    <row r="170" spans="1:24" ht="18.75" customHeight="1">
      <c r="A170" s="97" t="s">
        <v>53</v>
      </c>
      <c r="B170" s="96"/>
      <c r="C170" s="80"/>
      <c r="D170" s="79" t="s">
        <v>52</v>
      </c>
      <c r="E170" s="223" t="s">
        <v>51</v>
      </c>
      <c r="F170" s="223"/>
      <c r="G170" s="223"/>
      <c r="H170" s="77" t="s">
        <v>39</v>
      </c>
      <c r="I170" s="247"/>
      <c r="J170" s="247"/>
      <c r="K170" s="74" t="s">
        <v>38</v>
      </c>
      <c r="L170" s="95"/>
      <c r="M170" s="97" t="s">
        <v>53</v>
      </c>
      <c r="N170" s="96"/>
      <c r="O170" s="80"/>
      <c r="P170" s="79" t="s">
        <v>52</v>
      </c>
      <c r="Q170" s="223" t="s">
        <v>51</v>
      </c>
      <c r="R170" s="223"/>
      <c r="S170" s="223"/>
      <c r="T170" s="77" t="s">
        <v>39</v>
      </c>
      <c r="U170" s="247"/>
      <c r="V170" s="247"/>
      <c r="W170" s="74" t="s">
        <v>38</v>
      </c>
      <c r="X170" s="95"/>
    </row>
    <row r="171" spans="1:24" ht="18.75" customHeight="1">
      <c r="A171" s="248" t="s">
        <v>50</v>
      </c>
      <c r="B171" s="249"/>
      <c r="C171" s="80"/>
      <c r="D171" s="79"/>
      <c r="E171" s="78"/>
      <c r="F171" s="78"/>
      <c r="G171" s="78"/>
      <c r="H171" s="77" t="s">
        <v>39</v>
      </c>
      <c r="I171" s="247" t="e">
        <f>#REF!</f>
        <v>#REF!</v>
      </c>
      <c r="J171" s="247"/>
      <c r="K171" s="74" t="s">
        <v>38</v>
      </c>
      <c r="L171" s="95"/>
      <c r="M171" s="248" t="s">
        <v>50</v>
      </c>
      <c r="N171" s="249"/>
      <c r="O171" s="80"/>
      <c r="P171" s="79"/>
      <c r="Q171" s="78"/>
      <c r="R171" s="78"/>
      <c r="S171" s="78"/>
      <c r="T171" s="77" t="s">
        <v>39</v>
      </c>
      <c r="U171" s="247" t="e">
        <f>#REF!</f>
        <v>#REF!</v>
      </c>
      <c r="V171" s="247"/>
      <c r="W171" s="74" t="s">
        <v>38</v>
      </c>
      <c r="X171" s="95"/>
    </row>
    <row r="172" spans="1:24" ht="18.75" customHeight="1">
      <c r="A172" s="81" t="s">
        <v>49</v>
      </c>
      <c r="B172" s="77" t="s">
        <v>39</v>
      </c>
      <c r="C172" s="80"/>
      <c r="D172" s="79"/>
      <c r="E172" s="78" t="s">
        <v>48</v>
      </c>
      <c r="F172" s="78"/>
      <c r="G172" s="78"/>
      <c r="H172" s="77" t="s">
        <v>39</v>
      </c>
      <c r="I172" s="247" t="e">
        <f>L169</f>
        <v>#REF!</v>
      </c>
      <c r="J172" s="247"/>
      <c r="K172" s="74" t="s">
        <v>38</v>
      </c>
      <c r="L172" s="95"/>
      <c r="M172" s="81" t="s">
        <v>49</v>
      </c>
      <c r="N172" s="77" t="s">
        <v>39</v>
      </c>
      <c r="O172" s="80"/>
      <c r="P172" s="79"/>
      <c r="Q172" s="78" t="s">
        <v>48</v>
      </c>
      <c r="R172" s="78"/>
      <c r="S172" s="78"/>
      <c r="T172" s="77" t="s">
        <v>39</v>
      </c>
      <c r="U172" s="247" t="e">
        <f>X169</f>
        <v>#REF!</v>
      </c>
      <c r="V172" s="247"/>
      <c r="W172" s="74" t="s">
        <v>38</v>
      </c>
      <c r="X172" s="95"/>
    </row>
    <row r="173" spans="1:24" ht="18.75" customHeight="1">
      <c r="A173" s="250" t="s">
        <v>47</v>
      </c>
      <c r="B173" s="251"/>
      <c r="C173" s="251"/>
      <c r="D173" s="251"/>
      <c r="E173" s="251"/>
      <c r="F173" s="251"/>
      <c r="G173" s="77" t="s">
        <v>39</v>
      </c>
      <c r="H173" s="252" t="e">
        <f>I160+I161+I162+I163+I164+I167+I171+I172</f>
        <v>#REF!</v>
      </c>
      <c r="I173" s="252"/>
      <c r="J173" s="252"/>
      <c r="K173" s="74" t="s">
        <v>38</v>
      </c>
      <c r="M173" s="250" t="s">
        <v>47</v>
      </c>
      <c r="N173" s="251"/>
      <c r="O173" s="251"/>
      <c r="P173" s="251"/>
      <c r="Q173" s="251"/>
      <c r="R173" s="251"/>
      <c r="S173" s="77" t="s">
        <v>39</v>
      </c>
      <c r="T173" s="252" t="e">
        <f>U160+U161+U162+U163+U164+U167+U171+U172</f>
        <v>#REF!</v>
      </c>
      <c r="U173" s="252"/>
      <c r="V173" s="252"/>
      <c r="W173" s="74" t="s">
        <v>38</v>
      </c>
    </row>
    <row r="174" spans="1:24" ht="18.75" customHeight="1">
      <c r="A174" s="94"/>
      <c r="B174" s="93"/>
      <c r="C174" s="93"/>
      <c r="D174" s="93"/>
      <c r="E174" s="93"/>
      <c r="F174" s="93"/>
      <c r="G174" s="93"/>
      <c r="H174" s="93"/>
      <c r="I174" s="93"/>
      <c r="J174" s="93"/>
      <c r="K174" s="92"/>
      <c r="M174" s="94"/>
      <c r="N174" s="93"/>
      <c r="O174" s="93"/>
      <c r="P174" s="93"/>
      <c r="Q174" s="93"/>
      <c r="R174" s="93"/>
      <c r="S174" s="93"/>
      <c r="T174" s="93"/>
      <c r="U174" s="93"/>
      <c r="V174" s="93"/>
      <c r="W174" s="92"/>
    </row>
    <row r="175" spans="1:24" ht="18.75" customHeight="1">
      <c r="A175" s="253" t="s">
        <v>46</v>
      </c>
      <c r="B175" s="254"/>
      <c r="C175" s="254"/>
      <c r="D175" s="254"/>
      <c r="E175" s="254"/>
      <c r="F175" s="254"/>
      <c r="G175" s="77"/>
      <c r="H175" s="77"/>
      <c r="I175" s="77"/>
      <c r="J175" s="77"/>
      <c r="K175" s="74"/>
      <c r="M175" s="253" t="s">
        <v>46</v>
      </c>
      <c r="N175" s="254"/>
      <c r="O175" s="254"/>
      <c r="P175" s="254"/>
      <c r="Q175" s="254"/>
      <c r="R175" s="254"/>
      <c r="S175" s="77"/>
      <c r="T175" s="77"/>
      <c r="U175" s="77"/>
      <c r="V175" s="77"/>
      <c r="W175" s="74"/>
    </row>
    <row r="176" spans="1:24" ht="18.75" customHeight="1">
      <c r="A176" s="232" t="s">
        <v>45</v>
      </c>
      <c r="B176" s="233"/>
      <c r="C176" s="233"/>
      <c r="D176" s="233"/>
      <c r="E176" s="233"/>
      <c r="F176" s="233"/>
      <c r="G176" s="77" t="s">
        <v>39</v>
      </c>
      <c r="H176" s="242" t="e">
        <f>IF(($L$1-(C160+C161+C162+C163))&gt;12,0,F157*8%)</f>
        <v>#REF!</v>
      </c>
      <c r="I176" s="242"/>
      <c r="J176" s="242"/>
      <c r="K176" s="74" t="s">
        <v>38</v>
      </c>
      <c r="M176" s="232" t="s">
        <v>45</v>
      </c>
      <c r="N176" s="233"/>
      <c r="O176" s="233"/>
      <c r="P176" s="233"/>
      <c r="Q176" s="233"/>
      <c r="R176" s="233"/>
      <c r="S176" s="77" t="s">
        <v>39</v>
      </c>
      <c r="T176" s="242" t="e">
        <f>IF(($L$1-(O160+O161+O162+O163))&gt;12,0,R157*8%)</f>
        <v>#REF!</v>
      </c>
      <c r="U176" s="242"/>
      <c r="V176" s="242"/>
      <c r="W176" s="74" t="s">
        <v>38</v>
      </c>
    </row>
    <row r="177" spans="1:24" ht="18.75" customHeight="1">
      <c r="A177" s="232" t="s">
        <v>44</v>
      </c>
      <c r="B177" s="233"/>
      <c r="C177" s="233"/>
      <c r="D177" s="233"/>
      <c r="E177" s="233"/>
      <c r="F177" s="233"/>
      <c r="G177" s="77" t="s">
        <v>39</v>
      </c>
      <c r="H177" s="243" t="e">
        <f>IF(($L$1-(C160+C161+C162+C163))&gt;12,0,F157*1.5%)</f>
        <v>#REF!</v>
      </c>
      <c r="I177" s="243"/>
      <c r="J177" s="243"/>
      <c r="K177" s="74" t="s">
        <v>38</v>
      </c>
      <c r="M177" s="232" t="s">
        <v>44</v>
      </c>
      <c r="N177" s="233"/>
      <c r="O177" s="233"/>
      <c r="P177" s="233"/>
      <c r="Q177" s="233"/>
      <c r="R177" s="233"/>
      <c r="S177" s="77" t="s">
        <v>39</v>
      </c>
      <c r="T177" s="243" t="e">
        <f>IF(($L$1-(O160+O161+O162+O163))&gt;12,0,R157*1.5%)</f>
        <v>#REF!</v>
      </c>
      <c r="U177" s="243"/>
      <c r="V177" s="243"/>
      <c r="W177" s="74" t="s">
        <v>38</v>
      </c>
    </row>
    <row r="178" spans="1:24" ht="18.75" customHeight="1">
      <c r="A178" s="232" t="s">
        <v>43</v>
      </c>
      <c r="B178" s="233"/>
      <c r="C178" s="233"/>
      <c r="D178" s="233"/>
      <c r="E178" s="233"/>
      <c r="F178" s="233"/>
      <c r="G178" s="77" t="s">
        <v>39</v>
      </c>
      <c r="H178" s="243" t="e">
        <f>IF(($L$1-(C160+C161+C162+C163))&gt;12,0,F157*1%)</f>
        <v>#REF!</v>
      </c>
      <c r="I178" s="243"/>
      <c r="J178" s="243"/>
      <c r="K178" s="74" t="s">
        <v>38</v>
      </c>
      <c r="M178" s="232" t="s">
        <v>43</v>
      </c>
      <c r="N178" s="233"/>
      <c r="O178" s="233"/>
      <c r="P178" s="233"/>
      <c r="Q178" s="233"/>
      <c r="R178" s="233"/>
      <c r="S178" s="77" t="s">
        <v>39</v>
      </c>
      <c r="T178" s="243" t="e">
        <f>IF(($L$1-(O160+O161+O162+O163))&gt;12,0,R157*1%)</f>
        <v>#REF!</v>
      </c>
      <c r="U178" s="243"/>
      <c r="V178" s="243"/>
      <c r="W178" s="74" t="s">
        <v>38</v>
      </c>
    </row>
    <row r="179" spans="1:24" ht="18.75" customHeight="1">
      <c r="A179" s="232" t="s">
        <v>42</v>
      </c>
      <c r="B179" s="233"/>
      <c r="C179" s="233"/>
      <c r="D179" s="233"/>
      <c r="E179" s="233"/>
      <c r="F179" s="233"/>
      <c r="G179" s="77" t="s">
        <v>39</v>
      </c>
      <c r="H179" s="243">
        <v>0</v>
      </c>
      <c r="I179" s="243"/>
      <c r="J179" s="243"/>
      <c r="K179" s="74" t="s">
        <v>38</v>
      </c>
      <c r="M179" s="232" t="s">
        <v>42</v>
      </c>
      <c r="N179" s="233"/>
      <c r="O179" s="233"/>
      <c r="P179" s="233"/>
      <c r="Q179" s="233"/>
      <c r="R179" s="233"/>
      <c r="S179" s="77" t="s">
        <v>39</v>
      </c>
      <c r="T179" s="243">
        <v>0</v>
      </c>
      <c r="U179" s="243"/>
      <c r="V179" s="243"/>
      <c r="W179" s="74" t="s">
        <v>38</v>
      </c>
    </row>
    <row r="180" spans="1:24" ht="18.75" customHeight="1">
      <c r="A180" s="244" t="s">
        <v>41</v>
      </c>
      <c r="B180" s="245"/>
      <c r="C180" s="245"/>
      <c r="D180" s="245"/>
      <c r="E180" s="245"/>
      <c r="F180" s="245"/>
      <c r="G180" s="77" t="s">
        <v>39</v>
      </c>
      <c r="H180" s="246" t="e">
        <f>SUM(H176:J179)</f>
        <v>#REF!</v>
      </c>
      <c r="I180" s="246"/>
      <c r="J180" s="246"/>
      <c r="K180" s="74" t="s">
        <v>38</v>
      </c>
      <c r="M180" s="244" t="s">
        <v>41</v>
      </c>
      <c r="N180" s="245"/>
      <c r="O180" s="245"/>
      <c r="P180" s="245"/>
      <c r="Q180" s="245"/>
      <c r="R180" s="245"/>
      <c r="S180" s="77" t="s">
        <v>39</v>
      </c>
      <c r="T180" s="246" t="e">
        <f>SUM(T176:V179)</f>
        <v>#REF!</v>
      </c>
      <c r="U180" s="246"/>
      <c r="V180" s="246"/>
      <c r="W180" s="74" t="s">
        <v>38</v>
      </c>
    </row>
    <row r="181" spans="1:24" ht="18.75" customHeight="1">
      <c r="A181" s="232" t="s">
        <v>40</v>
      </c>
      <c r="B181" s="233"/>
      <c r="C181" s="233"/>
      <c r="D181" s="233"/>
      <c r="E181" s="233"/>
      <c r="F181" s="233"/>
      <c r="G181" s="77" t="s">
        <v>39</v>
      </c>
      <c r="H181" s="234" t="e">
        <f>ROUND(H173-H180,-2)</f>
        <v>#REF!</v>
      </c>
      <c r="I181" s="234"/>
      <c r="J181" s="234"/>
      <c r="K181" s="74" t="s">
        <v>38</v>
      </c>
      <c r="M181" s="232" t="s">
        <v>40</v>
      </c>
      <c r="N181" s="233"/>
      <c r="O181" s="233"/>
      <c r="P181" s="233"/>
      <c r="Q181" s="233"/>
      <c r="R181" s="233"/>
      <c r="S181" s="77" t="s">
        <v>39</v>
      </c>
      <c r="T181" s="234" t="e">
        <f>ROUND(T173-T180,-2)</f>
        <v>#REF!</v>
      </c>
      <c r="U181" s="234"/>
      <c r="V181" s="234"/>
      <c r="W181" s="74" t="s">
        <v>38</v>
      </c>
    </row>
    <row r="182" spans="1:24" ht="18.75" customHeight="1">
      <c r="A182" s="91"/>
      <c r="B182" s="90"/>
      <c r="C182" s="90"/>
      <c r="D182" s="90"/>
      <c r="E182" s="90"/>
      <c r="F182" s="90"/>
      <c r="G182" s="90"/>
      <c r="H182" s="90"/>
      <c r="I182" s="90"/>
      <c r="J182" s="90"/>
      <c r="K182" s="89"/>
      <c r="M182" s="91"/>
      <c r="N182" s="90"/>
      <c r="O182" s="90"/>
      <c r="P182" s="90"/>
      <c r="Q182" s="90"/>
      <c r="R182" s="90"/>
      <c r="S182" s="90"/>
      <c r="T182" s="90"/>
      <c r="U182" s="90"/>
      <c r="V182" s="90"/>
      <c r="W182" s="89"/>
    </row>
    <row r="183" spans="1:24" ht="18.75" customHeight="1">
      <c r="A183" s="88"/>
      <c r="B183" s="77"/>
      <c r="C183" s="77"/>
      <c r="D183" s="77"/>
      <c r="E183" s="77"/>
      <c r="F183" s="77"/>
      <c r="G183" s="77"/>
      <c r="H183" s="77"/>
      <c r="I183" s="235" t="s">
        <v>37</v>
      </c>
      <c r="J183" s="235"/>
      <c r="K183" s="236"/>
      <c r="M183" s="88"/>
      <c r="N183" s="77"/>
      <c r="O183" s="77"/>
      <c r="P183" s="77"/>
      <c r="Q183" s="77"/>
      <c r="R183" s="77"/>
      <c r="S183" s="77"/>
      <c r="T183" s="77"/>
      <c r="U183" s="235" t="s">
        <v>37</v>
      </c>
      <c r="V183" s="235"/>
      <c r="W183" s="236"/>
    </row>
    <row r="184" spans="1:24" ht="18.75" customHeight="1">
      <c r="A184" s="88"/>
      <c r="B184" s="235"/>
      <c r="C184" s="235"/>
      <c r="D184" s="235"/>
      <c r="E184" s="235"/>
      <c r="F184" s="77"/>
      <c r="G184" s="77"/>
      <c r="H184" s="77"/>
      <c r="I184" s="77"/>
      <c r="J184" s="77"/>
      <c r="K184" s="82"/>
      <c r="M184" s="88"/>
      <c r="N184" s="235"/>
      <c r="O184" s="235"/>
      <c r="P184" s="235"/>
      <c r="Q184" s="235"/>
      <c r="R184" s="77"/>
      <c r="S184" s="77"/>
      <c r="T184" s="77"/>
      <c r="U184" s="77"/>
      <c r="V184" s="77"/>
      <c r="W184" s="82"/>
    </row>
    <row r="185" spans="1:24" ht="18.75" customHeight="1" thickBot="1">
      <c r="A185" s="87"/>
      <c r="B185" s="86"/>
      <c r="C185" s="86"/>
      <c r="D185" s="86"/>
      <c r="E185" s="86"/>
      <c r="F185" s="86"/>
      <c r="G185" s="86"/>
      <c r="H185" s="86"/>
      <c r="I185" s="237" t="s">
        <v>36</v>
      </c>
      <c r="J185" s="237"/>
      <c r="K185" s="238"/>
      <c r="M185" s="87"/>
      <c r="N185" s="86"/>
      <c r="O185" s="86"/>
      <c r="P185" s="86"/>
      <c r="Q185" s="86"/>
      <c r="R185" s="86"/>
      <c r="S185" s="86"/>
      <c r="T185" s="86"/>
      <c r="U185" s="237" t="s">
        <v>36</v>
      </c>
      <c r="V185" s="237"/>
      <c r="W185" s="238"/>
    </row>
    <row r="187" spans="1:24" ht="18.75" customHeight="1" thickTop="1">
      <c r="A187" s="239" t="s">
        <v>87</v>
      </c>
      <c r="B187" s="240"/>
      <c r="C187" s="240"/>
      <c r="D187" s="240"/>
      <c r="E187" s="240"/>
      <c r="F187" s="240"/>
      <c r="G187" s="240"/>
      <c r="H187" s="240"/>
      <c r="I187" s="240"/>
      <c r="J187" s="240"/>
      <c r="K187" s="241"/>
      <c r="L187" s="72">
        <v>25</v>
      </c>
      <c r="M187" s="239" t="s">
        <v>87</v>
      </c>
      <c r="N187" s="240"/>
      <c r="O187" s="240"/>
      <c r="P187" s="240"/>
      <c r="Q187" s="240"/>
      <c r="R187" s="240"/>
      <c r="S187" s="240"/>
      <c r="T187" s="240"/>
      <c r="U187" s="240"/>
      <c r="V187" s="240"/>
      <c r="W187" s="241"/>
      <c r="X187" s="72">
        <v>25</v>
      </c>
    </row>
    <row r="188" spans="1:24" ht="18.75" customHeight="1">
      <c r="A188" s="85" t="s">
        <v>139</v>
      </c>
      <c r="B188" s="84"/>
      <c r="C188" s="84"/>
      <c r="D188" s="84"/>
      <c r="E188" s="84"/>
      <c r="F188" s="84"/>
      <c r="G188" s="84"/>
      <c r="H188" s="84"/>
      <c r="I188" s="84"/>
      <c r="J188" s="84"/>
      <c r="K188" s="83"/>
      <c r="M188" s="85" t="s">
        <v>138</v>
      </c>
      <c r="N188" s="84"/>
      <c r="O188" s="84"/>
      <c r="P188" s="84"/>
      <c r="Q188" s="84"/>
      <c r="R188" s="84"/>
      <c r="S188" s="84"/>
      <c r="T188" s="84"/>
      <c r="U188" s="84"/>
      <c r="V188" s="84"/>
      <c r="W188" s="83"/>
    </row>
    <row r="189" spans="1:24" ht="18.75" customHeight="1">
      <c r="A189" s="227" t="s">
        <v>84</v>
      </c>
      <c r="B189" s="228"/>
      <c r="C189" s="228"/>
      <c r="D189" s="228"/>
      <c r="E189" s="228"/>
      <c r="F189" s="228"/>
      <c r="G189" s="228"/>
      <c r="H189" s="228"/>
      <c r="I189" s="228"/>
      <c r="J189" s="228"/>
      <c r="K189" s="229"/>
      <c r="M189" s="227" t="s">
        <v>84</v>
      </c>
      <c r="N189" s="228"/>
      <c r="O189" s="228"/>
      <c r="P189" s="228"/>
      <c r="Q189" s="228"/>
      <c r="R189" s="228"/>
      <c r="S189" s="228"/>
      <c r="T189" s="228"/>
      <c r="U189" s="228"/>
      <c r="V189" s="228"/>
      <c r="W189" s="229"/>
    </row>
    <row r="190" spans="1:24" ht="18.75" customHeight="1">
      <c r="A190" s="222" t="s">
        <v>83</v>
      </c>
      <c r="B190" s="223"/>
      <c r="C190" s="223"/>
      <c r="D190" s="223"/>
      <c r="E190" s="77" t="s">
        <v>39</v>
      </c>
      <c r="F190" s="224">
        <f>'[3]Bang TH nop'!B20</f>
        <v>0</v>
      </c>
      <c r="G190" s="223"/>
      <c r="H190" s="223"/>
      <c r="I190" s="223"/>
      <c r="J190" s="223"/>
      <c r="K190" s="226"/>
      <c r="M190" s="222" t="s">
        <v>83</v>
      </c>
      <c r="N190" s="223"/>
      <c r="O190" s="223"/>
      <c r="P190" s="223"/>
      <c r="Q190" s="77" t="s">
        <v>39</v>
      </c>
      <c r="R190" s="224">
        <f>'[3]Bang TH nop'!B22</f>
        <v>0</v>
      </c>
      <c r="S190" s="223"/>
      <c r="T190" s="223"/>
      <c r="U190" s="223"/>
      <c r="V190" s="223"/>
      <c r="W190" s="226"/>
    </row>
    <row r="191" spans="1:24" ht="18.75" customHeight="1">
      <c r="A191" s="222" t="s">
        <v>82</v>
      </c>
      <c r="B191" s="223"/>
      <c r="C191" s="223"/>
      <c r="D191" s="223"/>
      <c r="E191" s="77" t="s">
        <v>39</v>
      </c>
      <c r="F191" s="224">
        <f>'[3]Bang TH nop'!C20</f>
        <v>0</v>
      </c>
      <c r="G191" s="224"/>
      <c r="H191" s="224"/>
      <c r="I191" s="224"/>
      <c r="J191" s="224"/>
      <c r="K191" s="225"/>
      <c r="M191" s="222" t="s">
        <v>82</v>
      </c>
      <c r="N191" s="223"/>
      <c r="O191" s="223"/>
      <c r="P191" s="223"/>
      <c r="Q191" s="77" t="s">
        <v>39</v>
      </c>
      <c r="R191" s="224">
        <f>'[3]Bang TH nop'!C22</f>
        <v>0</v>
      </c>
      <c r="S191" s="224"/>
      <c r="T191" s="224"/>
      <c r="U191" s="224"/>
      <c r="V191" s="224"/>
      <c r="W191" s="225"/>
    </row>
    <row r="192" spans="1:24" ht="18.75" customHeight="1">
      <c r="A192" s="222" t="s">
        <v>81</v>
      </c>
      <c r="B192" s="223"/>
      <c r="C192" s="223"/>
      <c r="D192" s="223"/>
      <c r="E192" s="77" t="s">
        <v>39</v>
      </c>
      <c r="F192" s="223" t="s">
        <v>80</v>
      </c>
      <c r="G192" s="223"/>
      <c r="H192" s="223"/>
      <c r="I192" s="223"/>
      <c r="J192" s="223"/>
      <c r="K192" s="226"/>
      <c r="M192" s="222" t="s">
        <v>81</v>
      </c>
      <c r="N192" s="223"/>
      <c r="O192" s="223"/>
      <c r="P192" s="223"/>
      <c r="Q192" s="77" t="s">
        <v>39</v>
      </c>
      <c r="R192" s="223" t="s">
        <v>80</v>
      </c>
      <c r="S192" s="223"/>
      <c r="T192" s="223"/>
      <c r="U192" s="223"/>
      <c r="V192" s="223"/>
      <c r="W192" s="226"/>
    </row>
    <row r="193" spans="1:24" ht="18.75" customHeight="1">
      <c r="A193" s="227" t="s">
        <v>79</v>
      </c>
      <c r="B193" s="228"/>
      <c r="C193" s="228"/>
      <c r="D193" s="228"/>
      <c r="E193" s="228"/>
      <c r="F193" s="228"/>
      <c r="G193" s="228"/>
      <c r="H193" s="228"/>
      <c r="I193" s="228"/>
      <c r="J193" s="228"/>
      <c r="K193" s="229"/>
      <c r="M193" s="227" t="s">
        <v>79</v>
      </c>
      <c r="N193" s="228"/>
      <c r="O193" s="228"/>
      <c r="P193" s="228"/>
      <c r="Q193" s="228"/>
      <c r="R193" s="228"/>
      <c r="S193" s="228"/>
      <c r="T193" s="228"/>
      <c r="U193" s="228"/>
      <c r="V193" s="228"/>
      <c r="W193" s="229"/>
    </row>
    <row r="194" spans="1:24" ht="18.75" customHeight="1">
      <c r="A194" s="222" t="s">
        <v>78</v>
      </c>
      <c r="B194" s="223"/>
      <c r="C194" s="223"/>
      <c r="D194" s="223"/>
      <c r="E194" s="77" t="s">
        <v>39</v>
      </c>
      <c r="F194" s="230">
        <v>2915400</v>
      </c>
      <c r="G194" s="230"/>
      <c r="H194" s="230"/>
      <c r="I194" s="230"/>
      <c r="J194" s="77" t="s">
        <v>38</v>
      </c>
      <c r="K194" s="82"/>
      <c r="M194" s="222" t="s">
        <v>78</v>
      </c>
      <c r="N194" s="223"/>
      <c r="O194" s="223"/>
      <c r="P194" s="223"/>
      <c r="Q194" s="77" t="s">
        <v>39</v>
      </c>
      <c r="R194" s="230">
        <v>2915400</v>
      </c>
      <c r="S194" s="230"/>
      <c r="T194" s="230"/>
      <c r="U194" s="230"/>
      <c r="V194" s="77" t="s">
        <v>38</v>
      </c>
      <c r="W194" s="82"/>
    </row>
    <row r="195" spans="1:24" ht="18.75" customHeight="1">
      <c r="A195" s="81" t="s">
        <v>77</v>
      </c>
      <c r="B195" s="77"/>
      <c r="C195" s="80"/>
      <c r="D195" s="79"/>
      <c r="E195" s="78"/>
      <c r="F195" s="78"/>
      <c r="G195" s="78"/>
      <c r="H195" s="77"/>
      <c r="I195" s="76" t="e">
        <f>#REF!</f>
        <v>#REF!</v>
      </c>
      <c r="J195" s="75"/>
      <c r="K195" s="74"/>
      <c r="M195" s="81" t="s">
        <v>77</v>
      </c>
      <c r="N195" s="77"/>
      <c r="O195" s="80"/>
      <c r="P195" s="79"/>
      <c r="Q195" s="78"/>
      <c r="R195" s="78"/>
      <c r="S195" s="78"/>
      <c r="T195" s="77"/>
      <c r="U195" s="76" t="e">
        <f>#REF!</f>
        <v>#REF!</v>
      </c>
      <c r="V195" s="75"/>
      <c r="W195" s="74"/>
    </row>
    <row r="196" spans="1:24" ht="18.75" customHeight="1">
      <c r="A196" s="81" t="s">
        <v>76</v>
      </c>
      <c r="B196" s="77"/>
      <c r="C196" s="80"/>
      <c r="D196" s="79"/>
      <c r="E196" s="78"/>
      <c r="F196" s="78"/>
      <c r="G196" s="78"/>
      <c r="H196" s="77"/>
      <c r="I196" s="76" t="e">
        <f>I197/C197/8</f>
        <v>#REF!</v>
      </c>
      <c r="J196" s="75"/>
      <c r="K196" s="74"/>
      <c r="M196" s="81" t="s">
        <v>76</v>
      </c>
      <c r="N196" s="77"/>
      <c r="O196" s="80"/>
      <c r="P196" s="79"/>
      <c r="Q196" s="78"/>
      <c r="R196" s="78"/>
      <c r="S196" s="78"/>
      <c r="T196" s="77"/>
      <c r="U196" s="76" t="e">
        <f>U197/O197/8</f>
        <v>#REF!</v>
      </c>
      <c r="V196" s="75"/>
      <c r="W196" s="74"/>
    </row>
    <row r="197" spans="1:24" ht="18.75" customHeight="1">
      <c r="A197" s="81" t="s">
        <v>75</v>
      </c>
      <c r="B197" s="77" t="s">
        <v>39</v>
      </c>
      <c r="C197" s="80" t="e">
        <f>#REF!</f>
        <v>#REF!</v>
      </c>
      <c r="D197" s="79" t="s">
        <v>52</v>
      </c>
      <c r="E197" s="249" t="s">
        <v>74</v>
      </c>
      <c r="F197" s="249"/>
      <c r="G197" s="249"/>
      <c r="H197" s="77" t="s">
        <v>39</v>
      </c>
      <c r="I197" s="255" t="e">
        <f>#REF!</f>
        <v>#REF!</v>
      </c>
      <c r="J197" s="255"/>
      <c r="K197" s="74" t="s">
        <v>38</v>
      </c>
      <c r="L197" s="95" t="e">
        <f>F194/L187*C197</f>
        <v>#REF!</v>
      </c>
      <c r="M197" s="81" t="s">
        <v>75</v>
      </c>
      <c r="N197" s="77" t="s">
        <v>39</v>
      </c>
      <c r="O197" s="80" t="e">
        <f>#REF!</f>
        <v>#REF!</v>
      </c>
      <c r="P197" s="79" t="s">
        <v>52</v>
      </c>
      <c r="Q197" s="249" t="s">
        <v>74</v>
      </c>
      <c r="R197" s="249"/>
      <c r="S197" s="249"/>
      <c r="T197" s="77" t="s">
        <v>39</v>
      </c>
      <c r="U197" s="255" t="e">
        <f>#REF!</f>
        <v>#REF!</v>
      </c>
      <c r="V197" s="255"/>
      <c r="W197" s="74" t="s">
        <v>38</v>
      </c>
      <c r="X197" s="95" t="e">
        <f>R194/X187*O197</f>
        <v>#REF!</v>
      </c>
    </row>
    <row r="198" spans="1:24" ht="18.75" customHeight="1">
      <c r="A198" s="81" t="s">
        <v>73</v>
      </c>
      <c r="B198" s="77" t="s">
        <v>39</v>
      </c>
      <c r="C198" s="80" t="e">
        <f>#REF!</f>
        <v>#REF!</v>
      </c>
      <c r="D198" s="79" t="s">
        <v>52</v>
      </c>
      <c r="E198" s="223" t="s">
        <v>72</v>
      </c>
      <c r="F198" s="223"/>
      <c r="G198" s="223"/>
      <c r="H198" s="77" t="s">
        <v>39</v>
      </c>
      <c r="I198" s="247" t="e">
        <f>$F$8/$L$1*C198</f>
        <v>#REF!</v>
      </c>
      <c r="J198" s="247"/>
      <c r="K198" s="74" t="s">
        <v>38</v>
      </c>
      <c r="L198" s="95"/>
      <c r="M198" s="81" t="s">
        <v>73</v>
      </c>
      <c r="N198" s="77" t="s">
        <v>39</v>
      </c>
      <c r="O198" s="80" t="e">
        <f>#REF!</f>
        <v>#REF!</v>
      </c>
      <c r="P198" s="79" t="s">
        <v>52</v>
      </c>
      <c r="Q198" s="223" t="s">
        <v>72</v>
      </c>
      <c r="R198" s="223"/>
      <c r="S198" s="223"/>
      <c r="T198" s="77" t="s">
        <v>39</v>
      </c>
      <c r="U198" s="247" t="e">
        <f>$F$8/$L$1*O198</f>
        <v>#REF!</v>
      </c>
      <c r="V198" s="247"/>
      <c r="W198" s="74" t="s">
        <v>38</v>
      </c>
      <c r="X198" s="95"/>
    </row>
    <row r="199" spans="1:24" ht="18.75" customHeight="1">
      <c r="A199" s="81" t="s">
        <v>71</v>
      </c>
      <c r="B199" s="77" t="s">
        <v>39</v>
      </c>
      <c r="C199" s="80" t="e">
        <f>#REF!</f>
        <v>#REF!</v>
      </c>
      <c r="D199" s="79" t="s">
        <v>52</v>
      </c>
      <c r="E199" s="256" t="s">
        <v>70</v>
      </c>
      <c r="F199" s="256"/>
      <c r="G199" s="256"/>
      <c r="H199" s="77" t="s">
        <v>39</v>
      </c>
      <c r="I199" s="247" t="e">
        <f>$F$8/$L$1*C199</f>
        <v>#REF!</v>
      </c>
      <c r="J199" s="247"/>
      <c r="K199" s="74" t="s">
        <v>38</v>
      </c>
      <c r="L199" s="95"/>
      <c r="M199" s="81" t="s">
        <v>71</v>
      </c>
      <c r="N199" s="77" t="s">
        <v>39</v>
      </c>
      <c r="O199" s="80" t="e">
        <f>#REF!</f>
        <v>#REF!</v>
      </c>
      <c r="P199" s="79" t="s">
        <v>52</v>
      </c>
      <c r="Q199" s="256" t="s">
        <v>70</v>
      </c>
      <c r="R199" s="256"/>
      <c r="S199" s="256"/>
      <c r="T199" s="77" t="s">
        <v>39</v>
      </c>
      <c r="U199" s="247" t="e">
        <f>$F$8/$L$1*O199</f>
        <v>#REF!</v>
      </c>
      <c r="V199" s="247"/>
      <c r="W199" s="74" t="s">
        <v>38</v>
      </c>
      <c r="X199" s="95"/>
    </row>
    <row r="200" spans="1:24" ht="18.75" customHeight="1">
      <c r="A200" s="81" t="s">
        <v>69</v>
      </c>
      <c r="B200" s="77" t="s">
        <v>39</v>
      </c>
      <c r="C200" s="80" t="e">
        <f>#REF!</f>
        <v>#REF!</v>
      </c>
      <c r="D200" s="79" t="s">
        <v>52</v>
      </c>
      <c r="E200" s="256" t="s">
        <v>68</v>
      </c>
      <c r="F200" s="256"/>
      <c r="G200" s="256"/>
      <c r="H200" s="77" t="s">
        <v>39</v>
      </c>
      <c r="I200" s="247" t="e">
        <f>$F$8/$L$1*C200</f>
        <v>#REF!</v>
      </c>
      <c r="J200" s="247"/>
      <c r="K200" s="74" t="s">
        <v>38</v>
      </c>
      <c r="L200" s="95"/>
      <c r="M200" s="81" t="s">
        <v>69</v>
      </c>
      <c r="N200" s="77" t="s">
        <v>39</v>
      </c>
      <c r="O200" s="80" t="e">
        <f>#REF!</f>
        <v>#REF!</v>
      </c>
      <c r="P200" s="79" t="s">
        <v>52</v>
      </c>
      <c r="Q200" s="256" t="s">
        <v>68</v>
      </c>
      <c r="R200" s="256"/>
      <c r="S200" s="256"/>
      <c r="T200" s="77" t="s">
        <v>39</v>
      </c>
      <c r="U200" s="247" t="e">
        <f>$F$8/$L$1*O200</f>
        <v>#REF!</v>
      </c>
      <c r="V200" s="247"/>
      <c r="W200" s="74" t="s">
        <v>38</v>
      </c>
      <c r="X200" s="95"/>
    </row>
    <row r="201" spans="1:24" ht="18.75" customHeight="1">
      <c r="A201" s="81" t="s">
        <v>67</v>
      </c>
      <c r="B201" s="77" t="s">
        <v>39</v>
      </c>
      <c r="C201" s="80" t="e">
        <f>#REF!</f>
        <v>#REF!</v>
      </c>
      <c r="D201" s="79" t="s">
        <v>58</v>
      </c>
      <c r="E201" s="223" t="s">
        <v>66</v>
      </c>
      <c r="F201" s="223"/>
      <c r="G201" s="223"/>
      <c r="H201" s="77" t="s">
        <v>39</v>
      </c>
      <c r="I201" s="247" t="e">
        <f>#REF!</f>
        <v>#REF!</v>
      </c>
      <c r="J201" s="247"/>
      <c r="K201" s="74" t="s">
        <v>38</v>
      </c>
      <c r="L201" s="95" t="e">
        <f>F194*C201/L187/8*1.5</f>
        <v>#REF!</v>
      </c>
      <c r="M201" s="81" t="s">
        <v>67</v>
      </c>
      <c r="N201" s="77" t="s">
        <v>39</v>
      </c>
      <c r="O201" s="80" t="e">
        <f>#REF!</f>
        <v>#REF!</v>
      </c>
      <c r="P201" s="79" t="s">
        <v>58</v>
      </c>
      <c r="Q201" s="223" t="s">
        <v>66</v>
      </c>
      <c r="R201" s="223"/>
      <c r="S201" s="223"/>
      <c r="T201" s="77" t="s">
        <v>39</v>
      </c>
      <c r="U201" s="247" t="e">
        <f>#REF!</f>
        <v>#REF!</v>
      </c>
      <c r="V201" s="247"/>
      <c r="W201" s="74" t="s">
        <v>38</v>
      </c>
      <c r="X201" s="95" t="e">
        <f>R194*O201/X187/8*1.5</f>
        <v>#REF!</v>
      </c>
    </row>
    <row r="202" spans="1:24" ht="18.75" customHeight="1">
      <c r="A202" s="222" t="s">
        <v>65</v>
      </c>
      <c r="B202" s="223"/>
      <c r="C202" s="80"/>
      <c r="D202" s="79" t="s">
        <v>52</v>
      </c>
      <c r="E202" s="223" t="s">
        <v>64</v>
      </c>
      <c r="F202" s="223"/>
      <c r="G202" s="223"/>
      <c r="H202" s="100" t="s">
        <v>39</v>
      </c>
      <c r="I202" s="247"/>
      <c r="J202" s="247"/>
      <c r="K202" s="74" t="s">
        <v>38</v>
      </c>
      <c r="L202" s="95"/>
      <c r="M202" s="222" t="s">
        <v>65</v>
      </c>
      <c r="N202" s="223"/>
      <c r="O202" s="80"/>
      <c r="P202" s="79" t="s">
        <v>52</v>
      </c>
      <c r="Q202" s="223" t="s">
        <v>64</v>
      </c>
      <c r="R202" s="223"/>
      <c r="S202" s="223"/>
      <c r="T202" s="100" t="s">
        <v>39</v>
      </c>
      <c r="U202" s="247"/>
      <c r="V202" s="247"/>
      <c r="W202" s="74" t="s">
        <v>38</v>
      </c>
      <c r="X202" s="95"/>
    </row>
    <row r="203" spans="1:24" ht="18.75" customHeight="1">
      <c r="A203" s="81" t="s">
        <v>63</v>
      </c>
      <c r="B203" s="77" t="s">
        <v>39</v>
      </c>
      <c r="C203" s="80"/>
      <c r="D203" s="79" t="s">
        <v>52</v>
      </c>
      <c r="E203" s="223" t="s">
        <v>62</v>
      </c>
      <c r="F203" s="223"/>
      <c r="G203" s="223"/>
      <c r="H203" s="77" t="s">
        <v>39</v>
      </c>
      <c r="I203" s="247"/>
      <c r="J203" s="247"/>
      <c r="K203" s="74" t="s">
        <v>38</v>
      </c>
      <c r="L203" s="95"/>
      <c r="M203" s="81" t="s">
        <v>63</v>
      </c>
      <c r="N203" s="77" t="s">
        <v>39</v>
      </c>
      <c r="O203" s="80"/>
      <c r="P203" s="79" t="s">
        <v>52</v>
      </c>
      <c r="Q203" s="223" t="s">
        <v>62</v>
      </c>
      <c r="R203" s="223"/>
      <c r="S203" s="223"/>
      <c r="T203" s="77" t="s">
        <v>39</v>
      </c>
      <c r="U203" s="247"/>
      <c r="V203" s="247"/>
      <c r="W203" s="74" t="s">
        <v>38</v>
      </c>
      <c r="X203" s="95"/>
    </row>
    <row r="204" spans="1:24" ht="18.75" customHeight="1">
      <c r="A204" s="99" t="s">
        <v>61</v>
      </c>
      <c r="B204" s="77"/>
      <c r="C204" s="80" t="e">
        <f>#REF!</f>
        <v>#REF!</v>
      </c>
      <c r="D204" s="79" t="s">
        <v>58</v>
      </c>
      <c r="E204" s="223" t="s">
        <v>60</v>
      </c>
      <c r="F204" s="223"/>
      <c r="G204" s="223"/>
      <c r="H204" s="77" t="s">
        <v>39</v>
      </c>
      <c r="I204" s="247" t="e">
        <f>$F$8*C204/8/$L$1</f>
        <v>#REF!</v>
      </c>
      <c r="J204" s="247"/>
      <c r="K204" s="74" t="s">
        <v>38</v>
      </c>
      <c r="L204" s="95"/>
      <c r="M204" s="99" t="s">
        <v>61</v>
      </c>
      <c r="N204" s="77"/>
      <c r="O204" s="80" t="e">
        <f>#REF!</f>
        <v>#REF!</v>
      </c>
      <c r="P204" s="79" t="s">
        <v>58</v>
      </c>
      <c r="Q204" s="223" t="s">
        <v>60</v>
      </c>
      <c r="R204" s="223"/>
      <c r="S204" s="223"/>
      <c r="T204" s="77" t="s">
        <v>39</v>
      </c>
      <c r="U204" s="247" t="e">
        <f>$F$8*O204/8/$L$1</f>
        <v>#REF!</v>
      </c>
      <c r="V204" s="247"/>
      <c r="W204" s="74" t="s">
        <v>38</v>
      </c>
      <c r="X204" s="95"/>
    </row>
    <row r="205" spans="1:24" ht="18.75" customHeight="1">
      <c r="A205" s="81" t="s">
        <v>59</v>
      </c>
      <c r="B205" s="77" t="s">
        <v>39</v>
      </c>
      <c r="C205" s="80"/>
      <c r="D205" s="79" t="s">
        <v>58</v>
      </c>
      <c r="E205" s="223" t="s">
        <v>57</v>
      </c>
      <c r="F205" s="223"/>
      <c r="G205" s="223"/>
      <c r="H205" s="77" t="s">
        <v>39</v>
      </c>
      <c r="I205" s="255"/>
      <c r="J205" s="255"/>
      <c r="K205" s="74" t="s">
        <v>38</v>
      </c>
      <c r="L205" s="95"/>
      <c r="M205" s="81" t="s">
        <v>59</v>
      </c>
      <c r="N205" s="77" t="s">
        <v>39</v>
      </c>
      <c r="O205" s="80"/>
      <c r="P205" s="79" t="s">
        <v>58</v>
      </c>
      <c r="Q205" s="223" t="s">
        <v>57</v>
      </c>
      <c r="R205" s="223"/>
      <c r="S205" s="223"/>
      <c r="T205" s="77" t="s">
        <v>39</v>
      </c>
      <c r="U205" s="255"/>
      <c r="V205" s="255"/>
      <c r="W205" s="74" t="s">
        <v>38</v>
      </c>
      <c r="X205" s="95"/>
    </row>
    <row r="206" spans="1:24" ht="18.75" customHeight="1">
      <c r="A206" s="81" t="s">
        <v>56</v>
      </c>
      <c r="B206" s="77" t="s">
        <v>39</v>
      </c>
      <c r="C206" s="80"/>
      <c r="D206" s="79" t="s">
        <v>55</v>
      </c>
      <c r="E206" s="98" t="s">
        <v>54</v>
      </c>
      <c r="F206" s="98"/>
      <c r="G206" s="98"/>
      <c r="H206" s="77" t="s">
        <v>39</v>
      </c>
      <c r="I206" s="247"/>
      <c r="J206" s="247"/>
      <c r="K206" s="74" t="s">
        <v>38</v>
      </c>
      <c r="L206" s="95" t="e">
        <f>+IF(L197-I197&lt;0,0,L197-I197)+IF(L201-I201&lt;0,0,L201-I201)</f>
        <v>#REF!</v>
      </c>
      <c r="M206" s="81" t="s">
        <v>56</v>
      </c>
      <c r="N206" s="77" t="s">
        <v>39</v>
      </c>
      <c r="O206" s="80"/>
      <c r="P206" s="79" t="s">
        <v>55</v>
      </c>
      <c r="Q206" s="98" t="s">
        <v>54</v>
      </c>
      <c r="R206" s="98"/>
      <c r="S206" s="98"/>
      <c r="T206" s="77" t="s">
        <v>39</v>
      </c>
      <c r="U206" s="247"/>
      <c r="V206" s="247"/>
      <c r="W206" s="74" t="s">
        <v>38</v>
      </c>
      <c r="X206" s="95" t="e">
        <f>+IF(X197-U197&lt;0,0,X197-U197)+IF(X201-U201&lt;0,0,X201-U201)</f>
        <v>#REF!</v>
      </c>
    </row>
    <row r="207" spans="1:24" ht="18.75" customHeight="1">
      <c r="A207" s="97" t="s">
        <v>53</v>
      </c>
      <c r="B207" s="96"/>
      <c r="C207" s="80"/>
      <c r="D207" s="79" t="s">
        <v>52</v>
      </c>
      <c r="E207" s="223" t="s">
        <v>51</v>
      </c>
      <c r="F207" s="223"/>
      <c r="G207" s="223"/>
      <c r="H207" s="77" t="s">
        <v>39</v>
      </c>
      <c r="I207" s="247"/>
      <c r="J207" s="247"/>
      <c r="K207" s="74" t="s">
        <v>38</v>
      </c>
      <c r="L207" s="95"/>
      <c r="M207" s="97" t="s">
        <v>53</v>
      </c>
      <c r="N207" s="96"/>
      <c r="O207" s="80"/>
      <c r="P207" s="79" t="s">
        <v>52</v>
      </c>
      <c r="Q207" s="223" t="s">
        <v>51</v>
      </c>
      <c r="R207" s="223"/>
      <c r="S207" s="223"/>
      <c r="T207" s="77" t="s">
        <v>39</v>
      </c>
      <c r="U207" s="247"/>
      <c r="V207" s="247"/>
      <c r="W207" s="74" t="s">
        <v>38</v>
      </c>
      <c r="X207" s="95"/>
    </row>
    <row r="208" spans="1:24" ht="18.75" customHeight="1">
      <c r="A208" s="248" t="s">
        <v>50</v>
      </c>
      <c r="B208" s="249"/>
      <c r="C208" s="80"/>
      <c r="D208" s="79"/>
      <c r="E208" s="78"/>
      <c r="F208" s="78"/>
      <c r="G208" s="78"/>
      <c r="H208" s="77" t="s">
        <v>39</v>
      </c>
      <c r="I208" s="247" t="e">
        <f>#REF!</f>
        <v>#REF!</v>
      </c>
      <c r="J208" s="247"/>
      <c r="K208" s="74" t="s">
        <v>38</v>
      </c>
      <c r="L208" s="95"/>
      <c r="M208" s="248" t="s">
        <v>50</v>
      </c>
      <c r="N208" s="249"/>
      <c r="O208" s="80"/>
      <c r="P208" s="79"/>
      <c r="Q208" s="78"/>
      <c r="R208" s="78"/>
      <c r="S208" s="78"/>
      <c r="T208" s="77" t="s">
        <v>39</v>
      </c>
      <c r="U208" s="247" t="e">
        <f>#REF!</f>
        <v>#REF!</v>
      </c>
      <c r="V208" s="247"/>
      <c r="W208" s="74" t="s">
        <v>38</v>
      </c>
      <c r="X208" s="95"/>
    </row>
    <row r="209" spans="1:24" ht="18.75" customHeight="1">
      <c r="A209" s="81" t="s">
        <v>49</v>
      </c>
      <c r="B209" s="77" t="s">
        <v>39</v>
      </c>
      <c r="C209" s="80"/>
      <c r="D209" s="79"/>
      <c r="E209" s="78" t="s">
        <v>48</v>
      </c>
      <c r="F209" s="78"/>
      <c r="G209" s="78"/>
      <c r="H209" s="77" t="s">
        <v>39</v>
      </c>
      <c r="I209" s="247" t="e">
        <f>L206</f>
        <v>#REF!</v>
      </c>
      <c r="J209" s="247"/>
      <c r="K209" s="74" t="s">
        <v>38</v>
      </c>
      <c r="L209" s="95"/>
      <c r="M209" s="81" t="s">
        <v>49</v>
      </c>
      <c r="N209" s="77" t="s">
        <v>39</v>
      </c>
      <c r="O209" s="80"/>
      <c r="P209" s="79"/>
      <c r="Q209" s="78" t="s">
        <v>48</v>
      </c>
      <c r="R209" s="78"/>
      <c r="S209" s="78"/>
      <c r="T209" s="77" t="s">
        <v>39</v>
      </c>
      <c r="U209" s="247" t="e">
        <f>X206</f>
        <v>#REF!</v>
      </c>
      <c r="V209" s="247"/>
      <c r="W209" s="74" t="s">
        <v>38</v>
      </c>
      <c r="X209" s="95"/>
    </row>
    <row r="210" spans="1:24" ht="18.75" customHeight="1">
      <c r="A210" s="250" t="s">
        <v>47</v>
      </c>
      <c r="B210" s="251"/>
      <c r="C210" s="251"/>
      <c r="D210" s="251"/>
      <c r="E210" s="251"/>
      <c r="F210" s="251"/>
      <c r="G210" s="77" t="s">
        <v>39</v>
      </c>
      <c r="H210" s="252" t="e">
        <f>I197+I198+I199+I200+I201+I204+I208+I209</f>
        <v>#REF!</v>
      </c>
      <c r="I210" s="252"/>
      <c r="J210" s="252"/>
      <c r="K210" s="74" t="s">
        <v>38</v>
      </c>
      <c r="M210" s="250" t="s">
        <v>47</v>
      </c>
      <c r="N210" s="251"/>
      <c r="O210" s="251"/>
      <c r="P210" s="251"/>
      <c r="Q210" s="251"/>
      <c r="R210" s="251"/>
      <c r="S210" s="77" t="s">
        <v>39</v>
      </c>
      <c r="T210" s="252" t="e">
        <f>U197+U198+U199+U200+U201+U204+U208+U209</f>
        <v>#REF!</v>
      </c>
      <c r="U210" s="252"/>
      <c r="V210" s="252"/>
      <c r="W210" s="74" t="s">
        <v>38</v>
      </c>
    </row>
    <row r="211" spans="1:24" ht="18.75" customHeight="1">
      <c r="A211" s="94"/>
      <c r="B211" s="93"/>
      <c r="C211" s="93"/>
      <c r="D211" s="93"/>
      <c r="E211" s="93"/>
      <c r="F211" s="93"/>
      <c r="G211" s="93"/>
      <c r="H211" s="93"/>
      <c r="I211" s="93"/>
      <c r="J211" s="93"/>
      <c r="K211" s="92"/>
      <c r="M211" s="94"/>
      <c r="N211" s="93"/>
      <c r="O211" s="93"/>
      <c r="P211" s="93"/>
      <c r="Q211" s="93"/>
      <c r="R211" s="93"/>
      <c r="S211" s="93"/>
      <c r="T211" s="93"/>
      <c r="U211" s="93"/>
      <c r="V211" s="93"/>
      <c r="W211" s="92"/>
    </row>
    <row r="212" spans="1:24" ht="18.75" customHeight="1">
      <c r="A212" s="253" t="s">
        <v>46</v>
      </c>
      <c r="B212" s="254"/>
      <c r="C212" s="254"/>
      <c r="D212" s="254"/>
      <c r="E212" s="254"/>
      <c r="F212" s="254"/>
      <c r="G212" s="77"/>
      <c r="H212" s="77"/>
      <c r="I212" s="77"/>
      <c r="J212" s="77"/>
      <c r="K212" s="74"/>
      <c r="M212" s="253" t="s">
        <v>46</v>
      </c>
      <c r="N212" s="254"/>
      <c r="O212" s="254"/>
      <c r="P212" s="254"/>
      <c r="Q212" s="254"/>
      <c r="R212" s="254"/>
      <c r="S212" s="77"/>
      <c r="T212" s="77"/>
      <c r="U212" s="77"/>
      <c r="V212" s="77"/>
      <c r="W212" s="74"/>
    </row>
    <row r="213" spans="1:24" ht="18.75" customHeight="1">
      <c r="A213" s="232" t="s">
        <v>45</v>
      </c>
      <c r="B213" s="233"/>
      <c r="C213" s="233"/>
      <c r="D213" s="233"/>
      <c r="E213" s="233"/>
      <c r="F213" s="233"/>
      <c r="G213" s="77" t="s">
        <v>39</v>
      </c>
      <c r="H213" s="242" t="e">
        <f>IF(($L$1-(C197+C198+C199+C200))&gt;12,0,F194*8%)</f>
        <v>#REF!</v>
      </c>
      <c r="I213" s="242"/>
      <c r="J213" s="242"/>
      <c r="K213" s="74" t="s">
        <v>38</v>
      </c>
      <c r="M213" s="232" t="s">
        <v>45</v>
      </c>
      <c r="N213" s="233"/>
      <c r="O213" s="233"/>
      <c r="P213" s="233"/>
      <c r="Q213" s="233"/>
      <c r="R213" s="233"/>
      <c r="S213" s="77" t="s">
        <v>39</v>
      </c>
      <c r="T213" s="242" t="e">
        <f>IF(($L$1-(O197+O198+O199+O200))&gt;12,0,R194*8%)</f>
        <v>#REF!</v>
      </c>
      <c r="U213" s="242"/>
      <c r="V213" s="242"/>
      <c r="W213" s="74" t="s">
        <v>38</v>
      </c>
    </row>
    <row r="214" spans="1:24" ht="18.75" customHeight="1">
      <c r="A214" s="232" t="s">
        <v>44</v>
      </c>
      <c r="B214" s="233"/>
      <c r="C214" s="233"/>
      <c r="D214" s="233"/>
      <c r="E214" s="233"/>
      <c r="F214" s="233"/>
      <c r="G214" s="77" t="s">
        <v>39</v>
      </c>
      <c r="H214" s="243" t="e">
        <f>IF(($L$1-(C197+C198+C199+C200))&gt;12,0,F194*1.5%)</f>
        <v>#REF!</v>
      </c>
      <c r="I214" s="243"/>
      <c r="J214" s="243"/>
      <c r="K214" s="74" t="s">
        <v>38</v>
      </c>
      <c r="M214" s="232" t="s">
        <v>44</v>
      </c>
      <c r="N214" s="233"/>
      <c r="O214" s="233"/>
      <c r="P214" s="233"/>
      <c r="Q214" s="233"/>
      <c r="R214" s="233"/>
      <c r="S214" s="77" t="s">
        <v>39</v>
      </c>
      <c r="T214" s="243" t="e">
        <f>IF(($L$1-(O197+O198+O199+O200))&gt;12,0,R194*1.5%)</f>
        <v>#REF!</v>
      </c>
      <c r="U214" s="243"/>
      <c r="V214" s="243"/>
      <c r="W214" s="74" t="s">
        <v>38</v>
      </c>
    </row>
    <row r="215" spans="1:24" ht="18.75" customHeight="1">
      <c r="A215" s="232" t="s">
        <v>43</v>
      </c>
      <c r="B215" s="233"/>
      <c r="C215" s="233"/>
      <c r="D215" s="233"/>
      <c r="E215" s="233"/>
      <c r="F215" s="233"/>
      <c r="G215" s="77" t="s">
        <v>39</v>
      </c>
      <c r="H215" s="243" t="e">
        <f>IF(($L$1-(C197+C198+C199+C200))&gt;12,0,F194*1%)</f>
        <v>#REF!</v>
      </c>
      <c r="I215" s="243"/>
      <c r="J215" s="243"/>
      <c r="K215" s="74" t="s">
        <v>38</v>
      </c>
      <c r="M215" s="232" t="s">
        <v>43</v>
      </c>
      <c r="N215" s="233"/>
      <c r="O215" s="233"/>
      <c r="P215" s="233"/>
      <c r="Q215" s="233"/>
      <c r="R215" s="233"/>
      <c r="S215" s="77" t="s">
        <v>39</v>
      </c>
      <c r="T215" s="243" t="e">
        <f>IF(($L$1-(O197+O198+O199+O200))&gt;12,0,R194*1%)</f>
        <v>#REF!</v>
      </c>
      <c r="U215" s="243"/>
      <c r="V215" s="243"/>
      <c r="W215" s="74" t="s">
        <v>38</v>
      </c>
    </row>
    <row r="216" spans="1:24" ht="18.75" customHeight="1">
      <c r="A216" s="232" t="s">
        <v>42</v>
      </c>
      <c r="B216" s="233"/>
      <c r="C216" s="233"/>
      <c r="D216" s="233"/>
      <c r="E216" s="233"/>
      <c r="F216" s="233"/>
      <c r="G216" s="77" t="s">
        <v>39</v>
      </c>
      <c r="H216" s="243">
        <v>0</v>
      </c>
      <c r="I216" s="243"/>
      <c r="J216" s="243"/>
      <c r="K216" s="74" t="s">
        <v>38</v>
      </c>
      <c r="M216" s="232" t="s">
        <v>42</v>
      </c>
      <c r="N216" s="233"/>
      <c r="O216" s="233"/>
      <c r="P216" s="233"/>
      <c r="Q216" s="233"/>
      <c r="R216" s="233"/>
      <c r="S216" s="77" t="s">
        <v>39</v>
      </c>
      <c r="T216" s="243">
        <v>0</v>
      </c>
      <c r="U216" s="243"/>
      <c r="V216" s="243"/>
      <c r="W216" s="74" t="s">
        <v>38</v>
      </c>
    </row>
    <row r="217" spans="1:24" ht="18.75" customHeight="1">
      <c r="A217" s="244" t="s">
        <v>41</v>
      </c>
      <c r="B217" s="245"/>
      <c r="C217" s="245"/>
      <c r="D217" s="245"/>
      <c r="E217" s="245"/>
      <c r="F217" s="245"/>
      <c r="G217" s="77" t="s">
        <v>39</v>
      </c>
      <c r="H217" s="246" t="e">
        <f>SUM(H213:J216)</f>
        <v>#REF!</v>
      </c>
      <c r="I217" s="246"/>
      <c r="J217" s="246"/>
      <c r="K217" s="74" t="s">
        <v>38</v>
      </c>
      <c r="M217" s="244" t="s">
        <v>41</v>
      </c>
      <c r="N217" s="245"/>
      <c r="O217" s="245"/>
      <c r="P217" s="245"/>
      <c r="Q217" s="245"/>
      <c r="R217" s="245"/>
      <c r="S217" s="77" t="s">
        <v>39</v>
      </c>
      <c r="T217" s="246" t="e">
        <f>SUM(T213:V216)</f>
        <v>#REF!</v>
      </c>
      <c r="U217" s="246"/>
      <c r="V217" s="246"/>
      <c r="W217" s="74" t="s">
        <v>38</v>
      </c>
    </row>
    <row r="218" spans="1:24" ht="18.75" customHeight="1">
      <c r="A218" s="232" t="s">
        <v>40</v>
      </c>
      <c r="B218" s="233"/>
      <c r="C218" s="233"/>
      <c r="D218" s="233"/>
      <c r="E218" s="233"/>
      <c r="F218" s="233"/>
      <c r="G218" s="77" t="s">
        <v>39</v>
      </c>
      <c r="H218" s="234" t="e">
        <f>ROUND(H210-H217,-2)</f>
        <v>#REF!</v>
      </c>
      <c r="I218" s="234"/>
      <c r="J218" s="234"/>
      <c r="K218" s="74" t="s">
        <v>38</v>
      </c>
      <c r="M218" s="232" t="s">
        <v>40</v>
      </c>
      <c r="N218" s="233"/>
      <c r="O218" s="233"/>
      <c r="P218" s="233"/>
      <c r="Q218" s="233"/>
      <c r="R218" s="233"/>
      <c r="S218" s="77" t="s">
        <v>39</v>
      </c>
      <c r="T218" s="234" t="e">
        <f>ROUND(T210-T217,-2)</f>
        <v>#REF!</v>
      </c>
      <c r="U218" s="234"/>
      <c r="V218" s="234"/>
      <c r="W218" s="74" t="s">
        <v>38</v>
      </c>
    </row>
    <row r="219" spans="1:24" ht="18.75" customHeight="1">
      <c r="A219" s="91"/>
      <c r="B219" s="90"/>
      <c r="C219" s="90"/>
      <c r="D219" s="90"/>
      <c r="E219" s="90"/>
      <c r="F219" s="90"/>
      <c r="G219" s="90"/>
      <c r="H219" s="90"/>
      <c r="I219" s="90"/>
      <c r="J219" s="90"/>
      <c r="K219" s="89"/>
      <c r="M219" s="91"/>
      <c r="N219" s="90"/>
      <c r="O219" s="90"/>
      <c r="P219" s="90"/>
      <c r="Q219" s="90"/>
      <c r="R219" s="90"/>
      <c r="S219" s="90"/>
      <c r="T219" s="90"/>
      <c r="U219" s="90"/>
      <c r="V219" s="90"/>
      <c r="W219" s="89"/>
    </row>
    <row r="220" spans="1:24" ht="18.75" customHeight="1">
      <c r="A220" s="88"/>
      <c r="B220" s="77"/>
      <c r="C220" s="77"/>
      <c r="D220" s="77"/>
      <c r="E220" s="77"/>
      <c r="F220" s="77"/>
      <c r="G220" s="77"/>
      <c r="H220" s="77"/>
      <c r="I220" s="235" t="s">
        <v>37</v>
      </c>
      <c r="J220" s="235"/>
      <c r="K220" s="236"/>
      <c r="M220" s="88"/>
      <c r="N220" s="77"/>
      <c r="O220" s="77"/>
      <c r="P220" s="77"/>
      <c r="Q220" s="77"/>
      <c r="R220" s="77"/>
      <c r="S220" s="77"/>
      <c r="T220" s="77"/>
      <c r="U220" s="235" t="s">
        <v>37</v>
      </c>
      <c r="V220" s="235"/>
      <c r="W220" s="236"/>
    </row>
    <row r="221" spans="1:24" ht="18.75" customHeight="1">
      <c r="A221" s="88"/>
      <c r="B221" s="235"/>
      <c r="C221" s="235"/>
      <c r="D221" s="235"/>
      <c r="E221" s="235"/>
      <c r="F221" s="77"/>
      <c r="G221" s="77"/>
      <c r="H221" s="77"/>
      <c r="I221" s="77"/>
      <c r="J221" s="77"/>
      <c r="K221" s="82"/>
      <c r="M221" s="88"/>
      <c r="N221" s="235"/>
      <c r="O221" s="235"/>
      <c r="P221" s="235"/>
      <c r="Q221" s="235"/>
      <c r="R221" s="77"/>
      <c r="S221" s="77"/>
      <c r="T221" s="77"/>
      <c r="U221" s="77"/>
      <c r="V221" s="77"/>
      <c r="W221" s="82"/>
    </row>
    <row r="222" spans="1:24" ht="18.75" customHeight="1" thickBot="1">
      <c r="A222" s="87"/>
      <c r="B222" s="86"/>
      <c r="C222" s="86"/>
      <c r="D222" s="86"/>
      <c r="E222" s="86"/>
      <c r="F222" s="86"/>
      <c r="G222" s="86"/>
      <c r="H222" s="86"/>
      <c r="I222" s="237" t="s">
        <v>36</v>
      </c>
      <c r="J222" s="237"/>
      <c r="K222" s="238"/>
      <c r="M222" s="87"/>
      <c r="N222" s="86"/>
      <c r="O222" s="86"/>
      <c r="P222" s="86"/>
      <c r="Q222" s="86"/>
      <c r="R222" s="86"/>
      <c r="S222" s="86"/>
      <c r="T222" s="86"/>
      <c r="U222" s="237" t="s">
        <v>36</v>
      </c>
      <c r="V222" s="237"/>
      <c r="W222" s="238"/>
    </row>
    <row r="224" spans="1:24" ht="18.75" customHeight="1" thickTop="1">
      <c r="A224" s="239" t="s">
        <v>87</v>
      </c>
      <c r="B224" s="240"/>
      <c r="C224" s="240"/>
      <c r="D224" s="240"/>
      <c r="E224" s="240"/>
      <c r="F224" s="240"/>
      <c r="G224" s="240"/>
      <c r="H224" s="240"/>
      <c r="I224" s="240"/>
      <c r="J224" s="240"/>
      <c r="K224" s="241"/>
      <c r="L224" s="72">
        <v>25</v>
      </c>
      <c r="M224" s="239" t="s">
        <v>87</v>
      </c>
      <c r="N224" s="240"/>
      <c r="O224" s="240"/>
      <c r="P224" s="240"/>
      <c r="Q224" s="240"/>
      <c r="R224" s="240"/>
      <c r="S224" s="240"/>
      <c r="T224" s="240"/>
      <c r="U224" s="240"/>
      <c r="V224" s="240"/>
      <c r="W224" s="241"/>
      <c r="X224" s="72">
        <v>25</v>
      </c>
    </row>
    <row r="225" spans="1:24" ht="18.75" customHeight="1">
      <c r="A225" s="85" t="s">
        <v>137</v>
      </c>
      <c r="B225" s="84"/>
      <c r="C225" s="84"/>
      <c r="D225" s="84"/>
      <c r="E225" s="84"/>
      <c r="F225" s="84"/>
      <c r="G225" s="84"/>
      <c r="H225" s="84"/>
      <c r="I225" s="84"/>
      <c r="J225" s="84"/>
      <c r="K225" s="83"/>
      <c r="M225" s="85" t="s">
        <v>136</v>
      </c>
      <c r="N225" s="84"/>
      <c r="O225" s="84"/>
      <c r="P225" s="84"/>
      <c r="Q225" s="84"/>
      <c r="R225" s="84"/>
      <c r="S225" s="84"/>
      <c r="T225" s="84"/>
      <c r="U225" s="84"/>
      <c r="V225" s="84"/>
      <c r="W225" s="83"/>
    </row>
    <row r="226" spans="1:24" ht="18.75" customHeight="1">
      <c r="A226" s="227" t="s">
        <v>84</v>
      </c>
      <c r="B226" s="228"/>
      <c r="C226" s="228"/>
      <c r="D226" s="228"/>
      <c r="E226" s="228"/>
      <c r="F226" s="228"/>
      <c r="G226" s="228"/>
      <c r="H226" s="228"/>
      <c r="I226" s="228"/>
      <c r="J226" s="228"/>
      <c r="K226" s="229"/>
      <c r="M226" s="227" t="s">
        <v>84</v>
      </c>
      <c r="N226" s="228"/>
      <c r="O226" s="228"/>
      <c r="P226" s="228"/>
      <c r="Q226" s="228"/>
      <c r="R226" s="228"/>
      <c r="S226" s="228"/>
      <c r="T226" s="228"/>
      <c r="U226" s="228"/>
      <c r="V226" s="228"/>
      <c r="W226" s="229"/>
    </row>
    <row r="227" spans="1:24" ht="18.75" customHeight="1">
      <c r="A227" s="222" t="s">
        <v>83</v>
      </c>
      <c r="B227" s="223"/>
      <c r="C227" s="223"/>
      <c r="D227" s="223"/>
      <c r="E227" s="77" t="s">
        <v>39</v>
      </c>
      <c r="F227" s="224">
        <f>'[3]Bang TH nop'!B24</f>
        <v>0</v>
      </c>
      <c r="G227" s="223"/>
      <c r="H227" s="223"/>
      <c r="I227" s="223"/>
      <c r="J227" s="223"/>
      <c r="K227" s="226"/>
      <c r="M227" s="222" t="s">
        <v>83</v>
      </c>
      <c r="N227" s="223"/>
      <c r="O227" s="223"/>
      <c r="P227" s="223"/>
      <c r="Q227" s="77" t="s">
        <v>39</v>
      </c>
      <c r="R227" s="224">
        <f>'[3]Bang TH nop'!B26</f>
        <v>0</v>
      </c>
      <c r="S227" s="223"/>
      <c r="T227" s="223"/>
      <c r="U227" s="223"/>
      <c r="V227" s="223"/>
      <c r="W227" s="226"/>
    </row>
    <row r="228" spans="1:24" ht="18.75" customHeight="1">
      <c r="A228" s="222" t="s">
        <v>82</v>
      </c>
      <c r="B228" s="223"/>
      <c r="C228" s="223"/>
      <c r="D228" s="223"/>
      <c r="E228" s="77" t="s">
        <v>39</v>
      </c>
      <c r="F228" s="224">
        <f>'[3]Bang TH nop'!C24</f>
        <v>0</v>
      </c>
      <c r="G228" s="224"/>
      <c r="H228" s="224"/>
      <c r="I228" s="224"/>
      <c r="J228" s="224"/>
      <c r="K228" s="225"/>
      <c r="M228" s="222" t="s">
        <v>82</v>
      </c>
      <c r="N228" s="223"/>
      <c r="O228" s="223"/>
      <c r="P228" s="223"/>
      <c r="Q228" s="77" t="s">
        <v>39</v>
      </c>
      <c r="R228" s="224">
        <f>'[3]Bang TH nop'!C26</f>
        <v>0</v>
      </c>
      <c r="S228" s="224"/>
      <c r="T228" s="224"/>
      <c r="U228" s="224"/>
      <c r="V228" s="224"/>
      <c r="W228" s="225"/>
    </row>
    <row r="229" spans="1:24" ht="18.75" customHeight="1">
      <c r="A229" s="222" t="s">
        <v>81</v>
      </c>
      <c r="B229" s="223"/>
      <c r="C229" s="223"/>
      <c r="D229" s="223"/>
      <c r="E229" s="77" t="s">
        <v>39</v>
      </c>
      <c r="F229" s="223" t="s">
        <v>80</v>
      </c>
      <c r="G229" s="223"/>
      <c r="H229" s="223"/>
      <c r="I229" s="223"/>
      <c r="J229" s="223"/>
      <c r="K229" s="226"/>
      <c r="M229" s="222" t="s">
        <v>81</v>
      </c>
      <c r="N229" s="223"/>
      <c r="O229" s="223"/>
      <c r="P229" s="223"/>
      <c r="Q229" s="77" t="s">
        <v>39</v>
      </c>
      <c r="R229" s="223" t="s">
        <v>80</v>
      </c>
      <c r="S229" s="223"/>
      <c r="T229" s="223"/>
      <c r="U229" s="223"/>
      <c r="V229" s="223"/>
      <c r="W229" s="226"/>
    </row>
    <row r="230" spans="1:24" ht="18.75" customHeight="1">
      <c r="A230" s="227" t="s">
        <v>79</v>
      </c>
      <c r="B230" s="228"/>
      <c r="C230" s="228"/>
      <c r="D230" s="228"/>
      <c r="E230" s="228"/>
      <c r="F230" s="228"/>
      <c r="G230" s="228"/>
      <c r="H230" s="228"/>
      <c r="I230" s="228"/>
      <c r="J230" s="228"/>
      <c r="K230" s="229"/>
      <c r="M230" s="227" t="s">
        <v>79</v>
      </c>
      <c r="N230" s="228"/>
      <c r="O230" s="228"/>
      <c r="P230" s="228"/>
      <c r="Q230" s="228"/>
      <c r="R230" s="228"/>
      <c r="S230" s="228"/>
      <c r="T230" s="228"/>
      <c r="U230" s="228"/>
      <c r="V230" s="228"/>
      <c r="W230" s="229"/>
    </row>
    <row r="231" spans="1:24" ht="18.75" customHeight="1">
      <c r="A231" s="222" t="s">
        <v>78</v>
      </c>
      <c r="B231" s="223"/>
      <c r="C231" s="223"/>
      <c r="D231" s="223"/>
      <c r="E231" s="77" t="s">
        <v>39</v>
      </c>
      <c r="F231" s="230">
        <v>2915400</v>
      </c>
      <c r="G231" s="230"/>
      <c r="H231" s="230"/>
      <c r="I231" s="230"/>
      <c r="J231" s="77" t="s">
        <v>38</v>
      </c>
      <c r="K231" s="82"/>
      <c r="M231" s="222" t="s">
        <v>78</v>
      </c>
      <c r="N231" s="223"/>
      <c r="O231" s="223"/>
      <c r="P231" s="223"/>
      <c r="Q231" s="77" t="s">
        <v>39</v>
      </c>
      <c r="R231" s="230">
        <v>2915400</v>
      </c>
      <c r="S231" s="230"/>
      <c r="T231" s="230"/>
      <c r="U231" s="230"/>
      <c r="V231" s="77" t="s">
        <v>38</v>
      </c>
      <c r="W231" s="82"/>
    </row>
    <row r="232" spans="1:24" ht="18.75" customHeight="1">
      <c r="A232" s="81" t="s">
        <v>77</v>
      </c>
      <c r="B232" s="77"/>
      <c r="C232" s="80"/>
      <c r="D232" s="79"/>
      <c r="E232" s="78"/>
      <c r="F232" s="78"/>
      <c r="G232" s="78"/>
      <c r="H232" s="77"/>
      <c r="I232" s="76" t="e">
        <f>#REF!</f>
        <v>#REF!</v>
      </c>
      <c r="J232" s="75"/>
      <c r="K232" s="74"/>
      <c r="M232" s="81" t="s">
        <v>77</v>
      </c>
      <c r="N232" s="77"/>
      <c r="O232" s="80"/>
      <c r="P232" s="79"/>
      <c r="Q232" s="78"/>
      <c r="R232" s="78"/>
      <c r="S232" s="78"/>
      <c r="T232" s="77"/>
      <c r="U232" s="76" t="e">
        <f>#REF!</f>
        <v>#REF!</v>
      </c>
      <c r="V232" s="75"/>
      <c r="W232" s="74"/>
    </row>
    <row r="233" spans="1:24" ht="18.75" customHeight="1">
      <c r="A233" s="81" t="s">
        <v>76</v>
      </c>
      <c r="B233" s="77"/>
      <c r="C233" s="80"/>
      <c r="D233" s="79"/>
      <c r="E233" s="78"/>
      <c r="F233" s="78"/>
      <c r="G233" s="78"/>
      <c r="H233" s="77"/>
      <c r="I233" s="76" t="e">
        <f>I234/C234/8</f>
        <v>#REF!</v>
      </c>
      <c r="J233" s="75"/>
      <c r="K233" s="74"/>
      <c r="M233" s="81" t="s">
        <v>76</v>
      </c>
      <c r="N233" s="77"/>
      <c r="O233" s="80"/>
      <c r="P233" s="79"/>
      <c r="Q233" s="78"/>
      <c r="R233" s="78"/>
      <c r="S233" s="78"/>
      <c r="T233" s="77"/>
      <c r="U233" s="76" t="e">
        <f>U234/O234/8</f>
        <v>#REF!</v>
      </c>
      <c r="V233" s="75"/>
      <c r="W233" s="74"/>
    </row>
    <row r="234" spans="1:24" ht="18.75" customHeight="1">
      <c r="A234" s="81" t="s">
        <v>75</v>
      </c>
      <c r="B234" s="77" t="s">
        <v>39</v>
      </c>
      <c r="C234" s="80" t="e">
        <f>#REF!</f>
        <v>#REF!</v>
      </c>
      <c r="D234" s="79" t="s">
        <v>52</v>
      </c>
      <c r="E234" s="249" t="s">
        <v>74</v>
      </c>
      <c r="F234" s="249"/>
      <c r="G234" s="249"/>
      <c r="H234" s="77" t="s">
        <v>39</v>
      </c>
      <c r="I234" s="255" t="e">
        <f>#REF!</f>
        <v>#REF!</v>
      </c>
      <c r="J234" s="255"/>
      <c r="K234" s="74" t="s">
        <v>38</v>
      </c>
      <c r="L234" s="95" t="e">
        <f>F231/L224*C234</f>
        <v>#REF!</v>
      </c>
      <c r="M234" s="81" t="s">
        <v>75</v>
      </c>
      <c r="N234" s="77" t="s">
        <v>39</v>
      </c>
      <c r="O234" s="80" t="e">
        <f>#REF!</f>
        <v>#REF!</v>
      </c>
      <c r="P234" s="79" t="s">
        <v>52</v>
      </c>
      <c r="Q234" s="249" t="s">
        <v>74</v>
      </c>
      <c r="R234" s="249"/>
      <c r="S234" s="249"/>
      <c r="T234" s="77" t="s">
        <v>39</v>
      </c>
      <c r="U234" s="255" t="e">
        <f>#REF!</f>
        <v>#REF!</v>
      </c>
      <c r="V234" s="255"/>
      <c r="W234" s="74" t="s">
        <v>38</v>
      </c>
      <c r="X234" s="95" t="e">
        <f>R231/X224*O234</f>
        <v>#REF!</v>
      </c>
    </row>
    <row r="235" spans="1:24" ht="18.75" customHeight="1">
      <c r="A235" s="81" t="s">
        <v>73</v>
      </c>
      <c r="B235" s="77" t="s">
        <v>39</v>
      </c>
      <c r="C235" s="80" t="e">
        <f>#REF!</f>
        <v>#REF!</v>
      </c>
      <c r="D235" s="79" t="s">
        <v>52</v>
      </c>
      <c r="E235" s="223" t="s">
        <v>72</v>
      </c>
      <c r="F235" s="223"/>
      <c r="G235" s="223"/>
      <c r="H235" s="77" t="s">
        <v>39</v>
      </c>
      <c r="I235" s="247" t="e">
        <f>$F$8/$L$1*C235</f>
        <v>#REF!</v>
      </c>
      <c r="J235" s="247"/>
      <c r="K235" s="74" t="s">
        <v>38</v>
      </c>
      <c r="L235" s="95"/>
      <c r="M235" s="81" t="s">
        <v>73</v>
      </c>
      <c r="N235" s="77" t="s">
        <v>39</v>
      </c>
      <c r="O235" s="80" t="e">
        <f>#REF!</f>
        <v>#REF!</v>
      </c>
      <c r="P235" s="79" t="s">
        <v>52</v>
      </c>
      <c r="Q235" s="223" t="s">
        <v>72</v>
      </c>
      <c r="R235" s="223"/>
      <c r="S235" s="223"/>
      <c r="T235" s="77" t="s">
        <v>39</v>
      </c>
      <c r="U235" s="247" t="e">
        <f>$F$8/$L$1*O235</f>
        <v>#REF!</v>
      </c>
      <c r="V235" s="247"/>
      <c r="W235" s="74" t="s">
        <v>38</v>
      </c>
      <c r="X235" s="95"/>
    </row>
    <row r="236" spans="1:24" ht="18.75" customHeight="1">
      <c r="A236" s="81" t="s">
        <v>71</v>
      </c>
      <c r="B236" s="77" t="s">
        <v>39</v>
      </c>
      <c r="C236" s="80" t="e">
        <f>#REF!</f>
        <v>#REF!</v>
      </c>
      <c r="D236" s="79" t="s">
        <v>52</v>
      </c>
      <c r="E236" s="256" t="s">
        <v>70</v>
      </c>
      <c r="F236" s="256"/>
      <c r="G236" s="256"/>
      <c r="H236" s="77" t="s">
        <v>39</v>
      </c>
      <c r="I236" s="247" t="e">
        <f>$F$8/$L$1*C236</f>
        <v>#REF!</v>
      </c>
      <c r="J236" s="247"/>
      <c r="K236" s="74" t="s">
        <v>38</v>
      </c>
      <c r="L236" s="95"/>
      <c r="M236" s="81" t="s">
        <v>71</v>
      </c>
      <c r="N236" s="77" t="s">
        <v>39</v>
      </c>
      <c r="O236" s="80" t="e">
        <f>#REF!</f>
        <v>#REF!</v>
      </c>
      <c r="P236" s="79" t="s">
        <v>52</v>
      </c>
      <c r="Q236" s="256" t="s">
        <v>70</v>
      </c>
      <c r="R236" s="256"/>
      <c r="S236" s="256"/>
      <c r="T236" s="77" t="s">
        <v>39</v>
      </c>
      <c r="U236" s="247" t="e">
        <f>$F$8/$L$1*O236</f>
        <v>#REF!</v>
      </c>
      <c r="V236" s="247"/>
      <c r="W236" s="74" t="s">
        <v>38</v>
      </c>
      <c r="X236" s="95"/>
    </row>
    <row r="237" spans="1:24" ht="18.75" customHeight="1">
      <c r="A237" s="81" t="s">
        <v>69</v>
      </c>
      <c r="B237" s="77" t="s">
        <v>39</v>
      </c>
      <c r="C237" s="80" t="e">
        <f>#REF!</f>
        <v>#REF!</v>
      </c>
      <c r="D237" s="79" t="s">
        <v>52</v>
      </c>
      <c r="E237" s="256" t="s">
        <v>68</v>
      </c>
      <c r="F237" s="256"/>
      <c r="G237" s="256"/>
      <c r="H237" s="77" t="s">
        <v>39</v>
      </c>
      <c r="I237" s="247" t="e">
        <f>$F$8/$L$1*C237</f>
        <v>#REF!</v>
      </c>
      <c r="J237" s="247"/>
      <c r="K237" s="74" t="s">
        <v>38</v>
      </c>
      <c r="L237" s="95"/>
      <c r="M237" s="81" t="s">
        <v>69</v>
      </c>
      <c r="N237" s="77" t="s">
        <v>39</v>
      </c>
      <c r="O237" s="80" t="e">
        <f>#REF!</f>
        <v>#REF!</v>
      </c>
      <c r="P237" s="79" t="s">
        <v>52</v>
      </c>
      <c r="Q237" s="256" t="s">
        <v>68</v>
      </c>
      <c r="R237" s="256"/>
      <c r="S237" s="256"/>
      <c r="T237" s="77" t="s">
        <v>39</v>
      </c>
      <c r="U237" s="247" t="e">
        <f>$F$8/$L$1*O237</f>
        <v>#REF!</v>
      </c>
      <c r="V237" s="247"/>
      <c r="W237" s="74" t="s">
        <v>38</v>
      </c>
      <c r="X237" s="95"/>
    </row>
    <row r="238" spans="1:24" ht="18.75" customHeight="1">
      <c r="A238" s="81" t="s">
        <v>67</v>
      </c>
      <c r="B238" s="77" t="s">
        <v>39</v>
      </c>
      <c r="C238" s="80" t="e">
        <f>#REF!</f>
        <v>#REF!</v>
      </c>
      <c r="D238" s="79" t="s">
        <v>58</v>
      </c>
      <c r="E238" s="223" t="s">
        <v>66</v>
      </c>
      <c r="F238" s="223"/>
      <c r="G238" s="223"/>
      <c r="H238" s="77" t="s">
        <v>39</v>
      </c>
      <c r="I238" s="247" t="e">
        <f>#REF!</f>
        <v>#REF!</v>
      </c>
      <c r="J238" s="247"/>
      <c r="K238" s="74" t="s">
        <v>38</v>
      </c>
      <c r="L238" s="95" t="e">
        <f>F231*C238/L224/8*1.5</f>
        <v>#REF!</v>
      </c>
      <c r="M238" s="81" t="s">
        <v>67</v>
      </c>
      <c r="N238" s="77" t="s">
        <v>39</v>
      </c>
      <c r="O238" s="80" t="e">
        <f>#REF!</f>
        <v>#REF!</v>
      </c>
      <c r="P238" s="79" t="s">
        <v>58</v>
      </c>
      <c r="Q238" s="223" t="s">
        <v>66</v>
      </c>
      <c r="R238" s="223"/>
      <c r="S238" s="223"/>
      <c r="T238" s="77" t="s">
        <v>39</v>
      </c>
      <c r="U238" s="247" t="e">
        <f>#REF!</f>
        <v>#REF!</v>
      </c>
      <c r="V238" s="247"/>
      <c r="W238" s="74" t="s">
        <v>38</v>
      </c>
      <c r="X238" s="95" t="e">
        <f>R231*O238/X224/8*1.5</f>
        <v>#REF!</v>
      </c>
    </row>
    <row r="239" spans="1:24" ht="18.75" customHeight="1">
      <c r="A239" s="222" t="s">
        <v>65</v>
      </c>
      <c r="B239" s="223"/>
      <c r="C239" s="80"/>
      <c r="D239" s="79" t="s">
        <v>52</v>
      </c>
      <c r="E239" s="223" t="s">
        <v>64</v>
      </c>
      <c r="F239" s="223"/>
      <c r="G239" s="223"/>
      <c r="H239" s="100" t="s">
        <v>39</v>
      </c>
      <c r="I239" s="247"/>
      <c r="J239" s="247"/>
      <c r="K239" s="74" t="s">
        <v>38</v>
      </c>
      <c r="L239" s="95"/>
      <c r="M239" s="222" t="s">
        <v>65</v>
      </c>
      <c r="N239" s="223"/>
      <c r="O239" s="80"/>
      <c r="P239" s="79" t="s">
        <v>52</v>
      </c>
      <c r="Q239" s="223" t="s">
        <v>64</v>
      </c>
      <c r="R239" s="223"/>
      <c r="S239" s="223"/>
      <c r="T239" s="100" t="s">
        <v>39</v>
      </c>
      <c r="U239" s="247"/>
      <c r="V239" s="247"/>
      <c r="W239" s="74" t="s">
        <v>38</v>
      </c>
      <c r="X239" s="95"/>
    </row>
    <row r="240" spans="1:24" ht="18.75" customHeight="1">
      <c r="A240" s="81" t="s">
        <v>63</v>
      </c>
      <c r="B240" s="77" t="s">
        <v>39</v>
      </c>
      <c r="C240" s="80"/>
      <c r="D240" s="79" t="s">
        <v>52</v>
      </c>
      <c r="E240" s="223" t="s">
        <v>62</v>
      </c>
      <c r="F240" s="223"/>
      <c r="G240" s="223"/>
      <c r="H240" s="77" t="s">
        <v>39</v>
      </c>
      <c r="I240" s="247"/>
      <c r="J240" s="247"/>
      <c r="K240" s="74" t="s">
        <v>38</v>
      </c>
      <c r="L240" s="95"/>
      <c r="M240" s="81" t="s">
        <v>63</v>
      </c>
      <c r="N240" s="77" t="s">
        <v>39</v>
      </c>
      <c r="O240" s="80"/>
      <c r="P240" s="79" t="s">
        <v>52</v>
      </c>
      <c r="Q240" s="223" t="s">
        <v>62</v>
      </c>
      <c r="R240" s="223"/>
      <c r="S240" s="223"/>
      <c r="T240" s="77" t="s">
        <v>39</v>
      </c>
      <c r="U240" s="247"/>
      <c r="V240" s="247"/>
      <c r="W240" s="74" t="s">
        <v>38</v>
      </c>
      <c r="X240" s="95"/>
    </row>
    <row r="241" spans="1:24" ht="18.75" customHeight="1">
      <c r="A241" s="99" t="s">
        <v>61</v>
      </c>
      <c r="B241" s="77"/>
      <c r="C241" s="80" t="e">
        <f>#REF!</f>
        <v>#REF!</v>
      </c>
      <c r="D241" s="79" t="s">
        <v>58</v>
      </c>
      <c r="E241" s="223" t="s">
        <v>60</v>
      </c>
      <c r="F241" s="223"/>
      <c r="G241" s="223"/>
      <c r="H241" s="77" t="s">
        <v>39</v>
      </c>
      <c r="I241" s="247" t="e">
        <f>$F$8*C241/8/$L$1</f>
        <v>#REF!</v>
      </c>
      <c r="J241" s="247"/>
      <c r="K241" s="74" t="s">
        <v>38</v>
      </c>
      <c r="L241" s="95"/>
      <c r="M241" s="99" t="s">
        <v>61</v>
      </c>
      <c r="N241" s="77"/>
      <c r="O241" s="80" t="e">
        <f>#REF!</f>
        <v>#REF!</v>
      </c>
      <c r="P241" s="79" t="s">
        <v>58</v>
      </c>
      <c r="Q241" s="223" t="s">
        <v>60</v>
      </c>
      <c r="R241" s="223"/>
      <c r="S241" s="223"/>
      <c r="T241" s="77" t="s">
        <v>39</v>
      </c>
      <c r="U241" s="247" t="e">
        <f>$F$8*O241/8/$L$1</f>
        <v>#REF!</v>
      </c>
      <c r="V241" s="247"/>
      <c r="W241" s="74" t="s">
        <v>38</v>
      </c>
      <c r="X241" s="95"/>
    </row>
    <row r="242" spans="1:24" ht="18.75" customHeight="1">
      <c r="A242" s="81" t="s">
        <v>59</v>
      </c>
      <c r="B242" s="77" t="s">
        <v>39</v>
      </c>
      <c r="C242" s="80"/>
      <c r="D242" s="79" t="s">
        <v>58</v>
      </c>
      <c r="E242" s="223" t="s">
        <v>57</v>
      </c>
      <c r="F242" s="223"/>
      <c r="G242" s="223"/>
      <c r="H242" s="77" t="s">
        <v>39</v>
      </c>
      <c r="I242" s="255"/>
      <c r="J242" s="255"/>
      <c r="K242" s="74" t="s">
        <v>38</v>
      </c>
      <c r="L242" s="95"/>
      <c r="M242" s="81" t="s">
        <v>59</v>
      </c>
      <c r="N242" s="77" t="s">
        <v>39</v>
      </c>
      <c r="O242" s="80"/>
      <c r="P242" s="79" t="s">
        <v>58</v>
      </c>
      <c r="Q242" s="223" t="s">
        <v>57</v>
      </c>
      <c r="R242" s="223"/>
      <c r="S242" s="223"/>
      <c r="T242" s="77" t="s">
        <v>39</v>
      </c>
      <c r="U242" s="255"/>
      <c r="V242" s="255"/>
      <c r="W242" s="74" t="s">
        <v>38</v>
      </c>
      <c r="X242" s="95"/>
    </row>
    <row r="243" spans="1:24" ht="18.75" customHeight="1">
      <c r="A243" s="81" t="s">
        <v>56</v>
      </c>
      <c r="B243" s="77" t="s">
        <v>39</v>
      </c>
      <c r="C243" s="80"/>
      <c r="D243" s="79" t="s">
        <v>55</v>
      </c>
      <c r="E243" s="98" t="s">
        <v>54</v>
      </c>
      <c r="F243" s="98"/>
      <c r="G243" s="98"/>
      <c r="H243" s="77" t="s">
        <v>39</v>
      </c>
      <c r="I243" s="247"/>
      <c r="J243" s="247"/>
      <c r="K243" s="74" t="s">
        <v>38</v>
      </c>
      <c r="L243" s="95" t="e">
        <f>+IF(L234-I234&lt;0,0,L234-I234)+IF(L238-I238&lt;0,0,L238-I238)</f>
        <v>#REF!</v>
      </c>
      <c r="M243" s="81" t="s">
        <v>56</v>
      </c>
      <c r="N243" s="77" t="s">
        <v>39</v>
      </c>
      <c r="O243" s="80"/>
      <c r="P243" s="79" t="s">
        <v>55</v>
      </c>
      <c r="Q243" s="98" t="s">
        <v>54</v>
      </c>
      <c r="R243" s="98"/>
      <c r="S243" s="98"/>
      <c r="T243" s="77" t="s">
        <v>39</v>
      </c>
      <c r="U243" s="247"/>
      <c r="V243" s="247"/>
      <c r="W243" s="74" t="s">
        <v>38</v>
      </c>
      <c r="X243" s="95" t="e">
        <f>+IF(X234-U234&lt;0,0,X234-U234)+IF(X238-U238&lt;0,0,X238-U238)</f>
        <v>#REF!</v>
      </c>
    </row>
    <row r="244" spans="1:24" ht="18.75" customHeight="1">
      <c r="A244" s="97" t="s">
        <v>53</v>
      </c>
      <c r="B244" s="96"/>
      <c r="C244" s="80"/>
      <c r="D244" s="79" t="s">
        <v>52</v>
      </c>
      <c r="E244" s="223" t="s">
        <v>51</v>
      </c>
      <c r="F244" s="223"/>
      <c r="G244" s="223"/>
      <c r="H244" s="77" t="s">
        <v>39</v>
      </c>
      <c r="I244" s="247"/>
      <c r="J244" s="247"/>
      <c r="K244" s="74" t="s">
        <v>38</v>
      </c>
      <c r="L244" s="95"/>
      <c r="M244" s="97" t="s">
        <v>53</v>
      </c>
      <c r="N244" s="96"/>
      <c r="O244" s="80"/>
      <c r="P244" s="79" t="s">
        <v>52</v>
      </c>
      <c r="Q244" s="223" t="s">
        <v>51</v>
      </c>
      <c r="R244" s="223"/>
      <c r="S244" s="223"/>
      <c r="T244" s="77" t="s">
        <v>39</v>
      </c>
      <c r="U244" s="247"/>
      <c r="V244" s="247"/>
      <c r="W244" s="74" t="s">
        <v>38</v>
      </c>
      <c r="X244" s="95"/>
    </row>
    <row r="245" spans="1:24" ht="18.75" customHeight="1">
      <c r="A245" s="248" t="s">
        <v>50</v>
      </c>
      <c r="B245" s="249"/>
      <c r="C245" s="80"/>
      <c r="D245" s="79"/>
      <c r="E245" s="78"/>
      <c r="F245" s="78"/>
      <c r="G245" s="78"/>
      <c r="H245" s="77" t="s">
        <v>39</v>
      </c>
      <c r="I245" s="247" t="e">
        <f>#REF!</f>
        <v>#REF!</v>
      </c>
      <c r="J245" s="247"/>
      <c r="K245" s="74" t="s">
        <v>38</v>
      </c>
      <c r="L245" s="95"/>
      <c r="M245" s="248" t="s">
        <v>50</v>
      </c>
      <c r="N245" s="249"/>
      <c r="O245" s="80"/>
      <c r="P245" s="79"/>
      <c r="Q245" s="78"/>
      <c r="R245" s="78"/>
      <c r="S245" s="78"/>
      <c r="T245" s="77" t="s">
        <v>39</v>
      </c>
      <c r="U245" s="247" t="e">
        <f>#REF!</f>
        <v>#REF!</v>
      </c>
      <c r="V245" s="247"/>
      <c r="W245" s="74" t="s">
        <v>38</v>
      </c>
      <c r="X245" s="95"/>
    </row>
    <row r="246" spans="1:24" ht="18.75" customHeight="1">
      <c r="A246" s="81" t="s">
        <v>49</v>
      </c>
      <c r="B246" s="77" t="s">
        <v>39</v>
      </c>
      <c r="C246" s="80"/>
      <c r="D246" s="79"/>
      <c r="E246" s="78" t="s">
        <v>48</v>
      </c>
      <c r="F246" s="78"/>
      <c r="G246" s="78"/>
      <c r="H246" s="77" t="s">
        <v>39</v>
      </c>
      <c r="I246" s="247" t="e">
        <f>L243</f>
        <v>#REF!</v>
      </c>
      <c r="J246" s="247"/>
      <c r="K246" s="74" t="s">
        <v>38</v>
      </c>
      <c r="L246" s="95"/>
      <c r="M246" s="81" t="s">
        <v>49</v>
      </c>
      <c r="N246" s="77" t="s">
        <v>39</v>
      </c>
      <c r="O246" s="80"/>
      <c r="P246" s="79"/>
      <c r="Q246" s="78" t="s">
        <v>48</v>
      </c>
      <c r="R246" s="78"/>
      <c r="S246" s="78"/>
      <c r="T246" s="77" t="s">
        <v>39</v>
      </c>
      <c r="U246" s="247" t="e">
        <f>X243</f>
        <v>#REF!</v>
      </c>
      <c r="V246" s="247"/>
      <c r="W246" s="74" t="s">
        <v>38</v>
      </c>
      <c r="X246" s="95"/>
    </row>
    <row r="247" spans="1:24" ht="18.75" customHeight="1">
      <c r="A247" s="250" t="s">
        <v>47</v>
      </c>
      <c r="B247" s="251"/>
      <c r="C247" s="251"/>
      <c r="D247" s="251"/>
      <c r="E247" s="251"/>
      <c r="F247" s="251"/>
      <c r="G247" s="77" t="s">
        <v>39</v>
      </c>
      <c r="H247" s="252" t="e">
        <f>I234+I235+I236+I237+I238+I241+I245+I246</f>
        <v>#REF!</v>
      </c>
      <c r="I247" s="252"/>
      <c r="J247" s="252"/>
      <c r="K247" s="74" t="s">
        <v>38</v>
      </c>
      <c r="M247" s="250" t="s">
        <v>47</v>
      </c>
      <c r="N247" s="251"/>
      <c r="O247" s="251"/>
      <c r="P247" s="251"/>
      <c r="Q247" s="251"/>
      <c r="R247" s="251"/>
      <c r="S247" s="77" t="s">
        <v>39</v>
      </c>
      <c r="T247" s="252" t="e">
        <f>U234+U235+U236+U237+U238+U241+U245+U246</f>
        <v>#REF!</v>
      </c>
      <c r="U247" s="252"/>
      <c r="V247" s="252"/>
      <c r="W247" s="74" t="s">
        <v>38</v>
      </c>
    </row>
    <row r="248" spans="1:24" ht="18.75" customHeight="1">
      <c r="A248" s="94"/>
      <c r="B248" s="93"/>
      <c r="C248" s="93"/>
      <c r="D248" s="93"/>
      <c r="E248" s="93"/>
      <c r="F248" s="93"/>
      <c r="G248" s="93"/>
      <c r="H248" s="93"/>
      <c r="I248" s="93"/>
      <c r="J248" s="93"/>
      <c r="K248" s="92"/>
      <c r="M248" s="94"/>
      <c r="N248" s="93"/>
      <c r="O248" s="93"/>
      <c r="P248" s="93"/>
      <c r="Q248" s="93"/>
      <c r="R248" s="93"/>
      <c r="S248" s="93"/>
      <c r="T248" s="93"/>
      <c r="U248" s="93"/>
      <c r="V248" s="93"/>
      <c r="W248" s="92"/>
    </row>
    <row r="249" spans="1:24" ht="18.75" customHeight="1">
      <c r="A249" s="253" t="s">
        <v>46</v>
      </c>
      <c r="B249" s="254"/>
      <c r="C249" s="254"/>
      <c r="D249" s="254"/>
      <c r="E249" s="254"/>
      <c r="F249" s="254"/>
      <c r="G249" s="77"/>
      <c r="H249" s="77"/>
      <c r="I249" s="77"/>
      <c r="J249" s="77"/>
      <c r="K249" s="74"/>
      <c r="M249" s="253" t="s">
        <v>46</v>
      </c>
      <c r="N249" s="254"/>
      <c r="O249" s="254"/>
      <c r="P249" s="254"/>
      <c r="Q249" s="254"/>
      <c r="R249" s="254"/>
      <c r="S249" s="77"/>
      <c r="T249" s="77"/>
      <c r="U249" s="77"/>
      <c r="V249" s="77"/>
      <c r="W249" s="74"/>
    </row>
    <row r="250" spans="1:24" ht="18.75" customHeight="1">
      <c r="A250" s="232" t="s">
        <v>45</v>
      </c>
      <c r="B250" s="233"/>
      <c r="C250" s="233"/>
      <c r="D250" s="233"/>
      <c r="E250" s="233"/>
      <c r="F250" s="233"/>
      <c r="G250" s="77" t="s">
        <v>39</v>
      </c>
      <c r="H250" s="242" t="e">
        <f>IF(($L$1-(C234+C235+C236+C237))&gt;12,0,F231*8%)</f>
        <v>#REF!</v>
      </c>
      <c r="I250" s="242"/>
      <c r="J250" s="242"/>
      <c r="K250" s="74" t="s">
        <v>38</v>
      </c>
      <c r="M250" s="232" t="s">
        <v>45</v>
      </c>
      <c r="N250" s="233"/>
      <c r="O250" s="233"/>
      <c r="P250" s="233"/>
      <c r="Q250" s="233"/>
      <c r="R250" s="233"/>
      <c r="S250" s="77" t="s">
        <v>39</v>
      </c>
      <c r="T250" s="242" t="e">
        <f>IF(($L$1-(O234+O235+O236+O237))&gt;12,0,R231*8%)</f>
        <v>#REF!</v>
      </c>
      <c r="U250" s="242"/>
      <c r="V250" s="242"/>
      <c r="W250" s="74" t="s">
        <v>38</v>
      </c>
    </row>
    <row r="251" spans="1:24" ht="18.75" customHeight="1">
      <c r="A251" s="232" t="s">
        <v>44</v>
      </c>
      <c r="B251" s="233"/>
      <c r="C251" s="233"/>
      <c r="D251" s="233"/>
      <c r="E251" s="233"/>
      <c r="F251" s="233"/>
      <c r="G251" s="77" t="s">
        <v>39</v>
      </c>
      <c r="H251" s="243" t="e">
        <f>IF(($L$1-(C234+C235+C236+C237))&gt;12,0,F231*1.5%)</f>
        <v>#REF!</v>
      </c>
      <c r="I251" s="243"/>
      <c r="J251" s="243"/>
      <c r="K251" s="74" t="s">
        <v>38</v>
      </c>
      <c r="M251" s="232" t="s">
        <v>44</v>
      </c>
      <c r="N251" s="233"/>
      <c r="O251" s="233"/>
      <c r="P251" s="233"/>
      <c r="Q251" s="233"/>
      <c r="R251" s="233"/>
      <c r="S251" s="77" t="s">
        <v>39</v>
      </c>
      <c r="T251" s="243" t="e">
        <f>IF(($L$1-(O234+O235+O236+O237))&gt;12,0,R231*1.5%)</f>
        <v>#REF!</v>
      </c>
      <c r="U251" s="243"/>
      <c r="V251" s="243"/>
      <c r="W251" s="74" t="s">
        <v>38</v>
      </c>
    </row>
    <row r="252" spans="1:24" ht="18.75" customHeight="1">
      <c r="A252" s="232" t="s">
        <v>43</v>
      </c>
      <c r="B252" s="233"/>
      <c r="C252" s="233"/>
      <c r="D252" s="233"/>
      <c r="E252" s="233"/>
      <c r="F252" s="233"/>
      <c r="G252" s="77" t="s">
        <v>39</v>
      </c>
      <c r="H252" s="243" t="e">
        <f>IF(($L$1-(C234+C235+C236+C237))&gt;12,0,F231*1%)</f>
        <v>#REF!</v>
      </c>
      <c r="I252" s="243"/>
      <c r="J252" s="243"/>
      <c r="K252" s="74" t="s">
        <v>38</v>
      </c>
      <c r="M252" s="232" t="s">
        <v>43</v>
      </c>
      <c r="N252" s="233"/>
      <c r="O252" s="233"/>
      <c r="P252" s="233"/>
      <c r="Q252" s="233"/>
      <c r="R252" s="233"/>
      <c r="S252" s="77" t="s">
        <v>39</v>
      </c>
      <c r="T252" s="243" t="e">
        <f>IF(($L$1-(O234+O235+O236+O237))&gt;12,0,R231*1%)</f>
        <v>#REF!</v>
      </c>
      <c r="U252" s="243"/>
      <c r="V252" s="243"/>
      <c r="W252" s="74" t="s">
        <v>38</v>
      </c>
    </row>
    <row r="253" spans="1:24" ht="18.75" customHeight="1">
      <c r="A253" s="232" t="s">
        <v>42</v>
      </c>
      <c r="B253" s="233"/>
      <c r="C253" s="233"/>
      <c r="D253" s="233"/>
      <c r="E253" s="233"/>
      <c r="F253" s="233"/>
      <c r="G253" s="77" t="s">
        <v>39</v>
      </c>
      <c r="H253" s="243">
        <v>0</v>
      </c>
      <c r="I253" s="243"/>
      <c r="J253" s="243"/>
      <c r="K253" s="74" t="s">
        <v>38</v>
      </c>
      <c r="M253" s="232" t="s">
        <v>42</v>
      </c>
      <c r="N253" s="233"/>
      <c r="O253" s="233"/>
      <c r="P253" s="233"/>
      <c r="Q253" s="233"/>
      <c r="R253" s="233"/>
      <c r="S253" s="77" t="s">
        <v>39</v>
      </c>
      <c r="T253" s="243">
        <v>0</v>
      </c>
      <c r="U253" s="243"/>
      <c r="V253" s="243"/>
      <c r="W253" s="74" t="s">
        <v>38</v>
      </c>
    </row>
    <row r="254" spans="1:24" ht="18.75" customHeight="1">
      <c r="A254" s="244" t="s">
        <v>41</v>
      </c>
      <c r="B254" s="245"/>
      <c r="C254" s="245"/>
      <c r="D254" s="245"/>
      <c r="E254" s="245"/>
      <c r="F254" s="245"/>
      <c r="G254" s="77" t="s">
        <v>39</v>
      </c>
      <c r="H254" s="246" t="e">
        <f>SUM(H250:J253)</f>
        <v>#REF!</v>
      </c>
      <c r="I254" s="246"/>
      <c r="J254" s="246"/>
      <c r="K254" s="74" t="s">
        <v>38</v>
      </c>
      <c r="M254" s="244" t="s">
        <v>41</v>
      </c>
      <c r="N254" s="245"/>
      <c r="O254" s="245"/>
      <c r="P254" s="245"/>
      <c r="Q254" s="245"/>
      <c r="R254" s="245"/>
      <c r="S254" s="77" t="s">
        <v>39</v>
      </c>
      <c r="T254" s="246" t="e">
        <f>SUM(T250:V253)</f>
        <v>#REF!</v>
      </c>
      <c r="U254" s="246"/>
      <c r="V254" s="246"/>
      <c r="W254" s="74" t="s">
        <v>38</v>
      </c>
    </row>
    <row r="255" spans="1:24" ht="18.75" customHeight="1">
      <c r="A255" s="232" t="s">
        <v>40</v>
      </c>
      <c r="B255" s="233"/>
      <c r="C255" s="233"/>
      <c r="D255" s="233"/>
      <c r="E255" s="233"/>
      <c r="F255" s="233"/>
      <c r="G255" s="77" t="s">
        <v>39</v>
      </c>
      <c r="H255" s="234" t="e">
        <f>ROUND(H247-H254,-2)</f>
        <v>#REF!</v>
      </c>
      <c r="I255" s="234"/>
      <c r="J255" s="234"/>
      <c r="K255" s="74" t="s">
        <v>38</v>
      </c>
      <c r="M255" s="232" t="s">
        <v>40</v>
      </c>
      <c r="N255" s="233"/>
      <c r="O255" s="233"/>
      <c r="P255" s="233"/>
      <c r="Q255" s="233"/>
      <c r="R255" s="233"/>
      <c r="S255" s="77" t="s">
        <v>39</v>
      </c>
      <c r="T255" s="234" t="e">
        <f>ROUND(T247-T254,-2)</f>
        <v>#REF!</v>
      </c>
      <c r="U255" s="234"/>
      <c r="V255" s="234"/>
      <c r="W255" s="74" t="s">
        <v>38</v>
      </c>
    </row>
    <row r="256" spans="1:24" ht="18.75" customHeight="1">
      <c r="A256" s="91"/>
      <c r="B256" s="90"/>
      <c r="C256" s="90"/>
      <c r="D256" s="90"/>
      <c r="E256" s="90"/>
      <c r="F256" s="90"/>
      <c r="G256" s="90"/>
      <c r="H256" s="90"/>
      <c r="I256" s="90"/>
      <c r="J256" s="90"/>
      <c r="K256" s="89"/>
      <c r="M256" s="91"/>
      <c r="N256" s="90"/>
      <c r="O256" s="90"/>
      <c r="P256" s="90"/>
      <c r="Q256" s="90"/>
      <c r="R256" s="90"/>
      <c r="S256" s="90"/>
      <c r="T256" s="90"/>
      <c r="U256" s="90"/>
      <c r="V256" s="90"/>
      <c r="W256" s="89"/>
    </row>
    <row r="257" spans="1:24" ht="18.75" customHeight="1">
      <c r="A257" s="88"/>
      <c r="B257" s="77"/>
      <c r="C257" s="77"/>
      <c r="D257" s="77"/>
      <c r="E257" s="77"/>
      <c r="F257" s="77"/>
      <c r="G257" s="77"/>
      <c r="H257" s="77"/>
      <c r="I257" s="235" t="s">
        <v>37</v>
      </c>
      <c r="J257" s="235"/>
      <c r="K257" s="236"/>
      <c r="M257" s="88"/>
      <c r="N257" s="77"/>
      <c r="O257" s="77"/>
      <c r="P257" s="77"/>
      <c r="Q257" s="77"/>
      <c r="R257" s="77"/>
      <c r="S257" s="77"/>
      <c r="T257" s="77"/>
      <c r="U257" s="235" t="s">
        <v>37</v>
      </c>
      <c r="V257" s="235"/>
      <c r="W257" s="236"/>
    </row>
    <row r="258" spans="1:24" ht="18.75" customHeight="1">
      <c r="A258" s="88"/>
      <c r="B258" s="235"/>
      <c r="C258" s="235"/>
      <c r="D258" s="235"/>
      <c r="E258" s="235"/>
      <c r="F258" s="77"/>
      <c r="G258" s="77"/>
      <c r="H258" s="77"/>
      <c r="I258" s="77"/>
      <c r="J258" s="77"/>
      <c r="K258" s="82"/>
      <c r="M258" s="88"/>
      <c r="N258" s="235"/>
      <c r="O258" s="235"/>
      <c r="P258" s="235"/>
      <c r="Q258" s="235"/>
      <c r="R258" s="77"/>
      <c r="S258" s="77"/>
      <c r="T258" s="77"/>
      <c r="U258" s="77"/>
      <c r="V258" s="77"/>
      <c r="W258" s="82"/>
    </row>
    <row r="259" spans="1:24" ht="18.75" customHeight="1" thickBot="1">
      <c r="A259" s="87"/>
      <c r="B259" s="86"/>
      <c r="C259" s="86"/>
      <c r="D259" s="86"/>
      <c r="E259" s="86"/>
      <c r="F259" s="86"/>
      <c r="G259" s="86"/>
      <c r="H259" s="86"/>
      <c r="I259" s="237" t="s">
        <v>36</v>
      </c>
      <c r="J259" s="237"/>
      <c r="K259" s="238"/>
      <c r="M259" s="87"/>
      <c r="N259" s="86"/>
      <c r="O259" s="86"/>
      <c r="P259" s="86"/>
      <c r="Q259" s="86"/>
      <c r="R259" s="86"/>
      <c r="S259" s="86"/>
      <c r="T259" s="86"/>
      <c r="U259" s="237" t="s">
        <v>36</v>
      </c>
      <c r="V259" s="237"/>
      <c r="W259" s="238"/>
    </row>
    <row r="261" spans="1:24" ht="18.75" customHeight="1" thickTop="1">
      <c r="A261" s="239" t="s">
        <v>87</v>
      </c>
      <c r="B261" s="240"/>
      <c r="C261" s="240"/>
      <c r="D261" s="240"/>
      <c r="E261" s="240"/>
      <c r="F261" s="240"/>
      <c r="G261" s="240"/>
      <c r="H261" s="240"/>
      <c r="I261" s="240"/>
      <c r="J261" s="240"/>
      <c r="K261" s="241"/>
      <c r="L261" s="72">
        <v>25</v>
      </c>
      <c r="M261" s="239" t="s">
        <v>87</v>
      </c>
      <c r="N261" s="240"/>
      <c r="O261" s="240"/>
      <c r="P261" s="240"/>
      <c r="Q261" s="240"/>
      <c r="R261" s="240"/>
      <c r="S261" s="240"/>
      <c r="T261" s="240"/>
      <c r="U261" s="240"/>
      <c r="V261" s="240"/>
      <c r="W261" s="241"/>
      <c r="X261" s="72">
        <v>25</v>
      </c>
    </row>
    <row r="262" spans="1:24" ht="18.75" customHeight="1">
      <c r="A262" s="85" t="s">
        <v>135</v>
      </c>
      <c r="B262" s="84"/>
      <c r="C262" s="84"/>
      <c r="D262" s="84"/>
      <c r="E262" s="84"/>
      <c r="F262" s="84"/>
      <c r="G262" s="84"/>
      <c r="H262" s="84"/>
      <c r="I262" s="84"/>
      <c r="J262" s="84"/>
      <c r="K262" s="83"/>
      <c r="M262" s="85" t="s">
        <v>134</v>
      </c>
      <c r="N262" s="84"/>
      <c r="O262" s="84"/>
      <c r="P262" s="84"/>
      <c r="Q262" s="84"/>
      <c r="R262" s="84"/>
      <c r="S262" s="84"/>
      <c r="T262" s="84"/>
      <c r="U262" s="84"/>
      <c r="V262" s="84"/>
      <c r="W262" s="83"/>
    </row>
    <row r="263" spans="1:24" ht="18.75" customHeight="1">
      <c r="A263" s="227" t="s">
        <v>84</v>
      </c>
      <c r="B263" s="228"/>
      <c r="C263" s="228"/>
      <c r="D263" s="228"/>
      <c r="E263" s="228"/>
      <c r="F263" s="228"/>
      <c r="G263" s="228"/>
      <c r="H263" s="228"/>
      <c r="I263" s="228"/>
      <c r="J263" s="228"/>
      <c r="K263" s="229"/>
      <c r="M263" s="227" t="s">
        <v>84</v>
      </c>
      <c r="N263" s="228"/>
      <c r="O263" s="228"/>
      <c r="P263" s="228"/>
      <c r="Q263" s="228"/>
      <c r="R263" s="228"/>
      <c r="S263" s="228"/>
      <c r="T263" s="228"/>
      <c r="U263" s="228"/>
      <c r="V263" s="228"/>
      <c r="W263" s="229"/>
    </row>
    <row r="264" spans="1:24" ht="18.75" customHeight="1">
      <c r="A264" s="222" t="s">
        <v>83</v>
      </c>
      <c r="B264" s="223"/>
      <c r="C264" s="223"/>
      <c r="D264" s="223"/>
      <c r="E264" s="77" t="s">
        <v>39</v>
      </c>
      <c r="F264" s="224">
        <f>'[3]Bang TH nop'!B28</f>
        <v>0</v>
      </c>
      <c r="G264" s="223"/>
      <c r="H264" s="223"/>
      <c r="I264" s="223"/>
      <c r="J264" s="223"/>
      <c r="K264" s="226"/>
      <c r="M264" s="222" t="s">
        <v>83</v>
      </c>
      <c r="N264" s="223"/>
      <c r="O264" s="223"/>
      <c r="P264" s="223"/>
      <c r="Q264" s="77" t="s">
        <v>39</v>
      </c>
      <c r="R264" s="224">
        <f>'[3]Bang TH nop'!B30</f>
        <v>0</v>
      </c>
      <c r="S264" s="223"/>
      <c r="T264" s="223"/>
      <c r="U264" s="223"/>
      <c r="V264" s="223"/>
      <c r="W264" s="226"/>
    </row>
    <row r="265" spans="1:24" ht="18.75" customHeight="1">
      <c r="A265" s="222" t="s">
        <v>82</v>
      </c>
      <c r="B265" s="223"/>
      <c r="C265" s="223"/>
      <c r="D265" s="223"/>
      <c r="E265" s="77" t="s">
        <v>39</v>
      </c>
      <c r="F265" s="224">
        <f>'[3]Bang TH nop'!C28</f>
        <v>0</v>
      </c>
      <c r="G265" s="224"/>
      <c r="H265" s="224"/>
      <c r="I265" s="224"/>
      <c r="J265" s="224"/>
      <c r="K265" s="225"/>
      <c r="M265" s="222" t="s">
        <v>82</v>
      </c>
      <c r="N265" s="223"/>
      <c r="O265" s="223"/>
      <c r="P265" s="223"/>
      <c r="Q265" s="77" t="s">
        <v>39</v>
      </c>
      <c r="R265" s="224">
        <f>'[3]Bang TH nop'!C30</f>
        <v>0</v>
      </c>
      <c r="S265" s="224"/>
      <c r="T265" s="224"/>
      <c r="U265" s="224"/>
      <c r="V265" s="224"/>
      <c r="W265" s="225"/>
    </row>
    <row r="266" spans="1:24" ht="18.75" customHeight="1">
      <c r="A266" s="222" t="s">
        <v>81</v>
      </c>
      <c r="B266" s="223"/>
      <c r="C266" s="223"/>
      <c r="D266" s="223"/>
      <c r="E266" s="77" t="s">
        <v>39</v>
      </c>
      <c r="F266" s="223" t="s">
        <v>80</v>
      </c>
      <c r="G266" s="223"/>
      <c r="H266" s="223"/>
      <c r="I266" s="223"/>
      <c r="J266" s="223"/>
      <c r="K266" s="226"/>
      <c r="M266" s="222" t="s">
        <v>81</v>
      </c>
      <c r="N266" s="223"/>
      <c r="O266" s="223"/>
      <c r="P266" s="223"/>
      <c r="Q266" s="77" t="s">
        <v>39</v>
      </c>
      <c r="R266" s="223" t="s">
        <v>80</v>
      </c>
      <c r="S266" s="223"/>
      <c r="T266" s="223"/>
      <c r="U266" s="223"/>
      <c r="V266" s="223"/>
      <c r="W266" s="226"/>
    </row>
    <row r="267" spans="1:24" ht="18.75" customHeight="1">
      <c r="A267" s="227" t="s">
        <v>79</v>
      </c>
      <c r="B267" s="228"/>
      <c r="C267" s="228"/>
      <c r="D267" s="228"/>
      <c r="E267" s="228"/>
      <c r="F267" s="228"/>
      <c r="G267" s="228"/>
      <c r="H267" s="228"/>
      <c r="I267" s="228"/>
      <c r="J267" s="228"/>
      <c r="K267" s="229"/>
      <c r="M267" s="227" t="s">
        <v>79</v>
      </c>
      <c r="N267" s="228"/>
      <c r="O267" s="228"/>
      <c r="P267" s="228"/>
      <c r="Q267" s="228"/>
      <c r="R267" s="228"/>
      <c r="S267" s="228"/>
      <c r="T267" s="228"/>
      <c r="U267" s="228"/>
      <c r="V267" s="228"/>
      <c r="W267" s="229"/>
    </row>
    <row r="268" spans="1:24" ht="18.75" customHeight="1">
      <c r="A268" s="222" t="s">
        <v>78</v>
      </c>
      <c r="B268" s="223"/>
      <c r="C268" s="223"/>
      <c r="D268" s="223"/>
      <c r="E268" s="77" t="s">
        <v>39</v>
      </c>
      <c r="F268" s="230">
        <v>2915400</v>
      </c>
      <c r="G268" s="230"/>
      <c r="H268" s="230"/>
      <c r="I268" s="230"/>
      <c r="J268" s="77" t="s">
        <v>38</v>
      </c>
      <c r="K268" s="82"/>
      <c r="M268" s="222" t="s">
        <v>78</v>
      </c>
      <c r="N268" s="223"/>
      <c r="O268" s="223"/>
      <c r="P268" s="223"/>
      <c r="Q268" s="77" t="s">
        <v>39</v>
      </c>
      <c r="R268" s="230">
        <v>2915400</v>
      </c>
      <c r="S268" s="230"/>
      <c r="T268" s="230"/>
      <c r="U268" s="230"/>
      <c r="V268" s="77" t="s">
        <v>38</v>
      </c>
      <c r="W268" s="82"/>
    </row>
    <row r="269" spans="1:24" ht="18.75" customHeight="1">
      <c r="A269" s="81" t="s">
        <v>77</v>
      </c>
      <c r="B269" s="77"/>
      <c r="C269" s="80"/>
      <c r="D269" s="79"/>
      <c r="E269" s="78"/>
      <c r="F269" s="78"/>
      <c r="G269" s="78"/>
      <c r="H269" s="77"/>
      <c r="I269" s="76" t="e">
        <f>#REF!</f>
        <v>#REF!</v>
      </c>
      <c r="J269" s="75"/>
      <c r="K269" s="74"/>
      <c r="M269" s="81" t="s">
        <v>77</v>
      </c>
      <c r="N269" s="77"/>
      <c r="O269" s="80"/>
      <c r="P269" s="79"/>
      <c r="Q269" s="78"/>
      <c r="R269" s="78"/>
      <c r="S269" s="78"/>
      <c r="T269" s="77"/>
      <c r="U269" s="76" t="e">
        <f>#REF!</f>
        <v>#REF!</v>
      </c>
      <c r="V269" s="75"/>
      <c r="W269" s="74"/>
    </row>
    <row r="270" spans="1:24" ht="18.75" customHeight="1">
      <c r="A270" s="81" t="s">
        <v>76</v>
      </c>
      <c r="B270" s="77"/>
      <c r="C270" s="80"/>
      <c r="D270" s="79"/>
      <c r="E270" s="78"/>
      <c r="F270" s="78"/>
      <c r="G270" s="78"/>
      <c r="H270" s="77"/>
      <c r="I270" s="76" t="e">
        <f>I271/C271/8</f>
        <v>#REF!</v>
      </c>
      <c r="J270" s="75"/>
      <c r="K270" s="74"/>
      <c r="M270" s="81" t="s">
        <v>76</v>
      </c>
      <c r="N270" s="77"/>
      <c r="O270" s="80"/>
      <c r="P270" s="79"/>
      <c r="Q270" s="78"/>
      <c r="R270" s="78"/>
      <c r="S270" s="78"/>
      <c r="T270" s="77"/>
      <c r="U270" s="76" t="e">
        <f>U271/O271/8</f>
        <v>#REF!</v>
      </c>
      <c r="V270" s="75"/>
      <c r="W270" s="74"/>
    </row>
    <row r="271" spans="1:24" ht="18.75" customHeight="1">
      <c r="A271" s="81" t="s">
        <v>75</v>
      </c>
      <c r="B271" s="77" t="s">
        <v>39</v>
      </c>
      <c r="C271" s="80" t="e">
        <f>#REF!</f>
        <v>#REF!</v>
      </c>
      <c r="D271" s="79" t="s">
        <v>52</v>
      </c>
      <c r="E271" s="249" t="s">
        <v>74</v>
      </c>
      <c r="F271" s="249"/>
      <c r="G271" s="249"/>
      <c r="H271" s="77" t="s">
        <v>39</v>
      </c>
      <c r="I271" s="255" t="e">
        <f>#REF!</f>
        <v>#REF!</v>
      </c>
      <c r="J271" s="255"/>
      <c r="K271" s="74" t="s">
        <v>38</v>
      </c>
      <c r="L271" s="95" t="e">
        <f>F268/L261*C271</f>
        <v>#REF!</v>
      </c>
      <c r="M271" s="81" t="s">
        <v>75</v>
      </c>
      <c r="N271" s="77" t="s">
        <v>39</v>
      </c>
      <c r="O271" s="80" t="e">
        <f>#REF!</f>
        <v>#REF!</v>
      </c>
      <c r="P271" s="79" t="s">
        <v>52</v>
      </c>
      <c r="Q271" s="249" t="s">
        <v>74</v>
      </c>
      <c r="R271" s="249"/>
      <c r="S271" s="249"/>
      <c r="T271" s="77" t="s">
        <v>39</v>
      </c>
      <c r="U271" s="255" t="e">
        <f>#REF!</f>
        <v>#REF!</v>
      </c>
      <c r="V271" s="255"/>
      <c r="W271" s="74" t="s">
        <v>38</v>
      </c>
      <c r="X271" s="95" t="e">
        <f>R268/X261*O271</f>
        <v>#REF!</v>
      </c>
    </row>
    <row r="272" spans="1:24" ht="18.75" customHeight="1">
      <c r="A272" s="81" t="s">
        <v>73</v>
      </c>
      <c r="B272" s="77" t="s">
        <v>39</v>
      </c>
      <c r="C272" s="80" t="e">
        <f>#REF!</f>
        <v>#REF!</v>
      </c>
      <c r="D272" s="79" t="s">
        <v>52</v>
      </c>
      <c r="E272" s="223" t="s">
        <v>72</v>
      </c>
      <c r="F272" s="223"/>
      <c r="G272" s="223"/>
      <c r="H272" s="77" t="s">
        <v>39</v>
      </c>
      <c r="I272" s="247" t="e">
        <f>$F$8/$L$1*C272</f>
        <v>#REF!</v>
      </c>
      <c r="J272" s="247"/>
      <c r="K272" s="74" t="s">
        <v>38</v>
      </c>
      <c r="L272" s="95"/>
      <c r="M272" s="81" t="s">
        <v>73</v>
      </c>
      <c r="N272" s="77" t="s">
        <v>39</v>
      </c>
      <c r="O272" s="80" t="e">
        <f>#REF!</f>
        <v>#REF!</v>
      </c>
      <c r="P272" s="79" t="s">
        <v>52</v>
      </c>
      <c r="Q272" s="223" t="s">
        <v>72</v>
      </c>
      <c r="R272" s="223"/>
      <c r="S272" s="223"/>
      <c r="T272" s="77" t="s">
        <v>39</v>
      </c>
      <c r="U272" s="247" t="e">
        <f>$F$8/$L$1*O272</f>
        <v>#REF!</v>
      </c>
      <c r="V272" s="247"/>
      <c r="W272" s="74" t="s">
        <v>38</v>
      </c>
      <c r="X272" s="95"/>
    </row>
    <row r="273" spans="1:24" ht="18.75" customHeight="1">
      <c r="A273" s="81" t="s">
        <v>71</v>
      </c>
      <c r="B273" s="77" t="s">
        <v>39</v>
      </c>
      <c r="C273" s="80" t="e">
        <f>#REF!</f>
        <v>#REF!</v>
      </c>
      <c r="D273" s="79" t="s">
        <v>52</v>
      </c>
      <c r="E273" s="256" t="s">
        <v>70</v>
      </c>
      <c r="F273" s="256"/>
      <c r="G273" s="256"/>
      <c r="H273" s="77" t="s">
        <v>39</v>
      </c>
      <c r="I273" s="247" t="e">
        <f>$F$8/$L$1*C273</f>
        <v>#REF!</v>
      </c>
      <c r="J273" s="247"/>
      <c r="K273" s="74" t="s">
        <v>38</v>
      </c>
      <c r="L273" s="95"/>
      <c r="M273" s="81" t="s">
        <v>71</v>
      </c>
      <c r="N273" s="77" t="s">
        <v>39</v>
      </c>
      <c r="O273" s="80" t="e">
        <f>#REF!</f>
        <v>#REF!</v>
      </c>
      <c r="P273" s="79" t="s">
        <v>52</v>
      </c>
      <c r="Q273" s="256" t="s">
        <v>70</v>
      </c>
      <c r="R273" s="256"/>
      <c r="S273" s="256"/>
      <c r="T273" s="77" t="s">
        <v>39</v>
      </c>
      <c r="U273" s="247" t="e">
        <f>$F$8/$L$1*O273</f>
        <v>#REF!</v>
      </c>
      <c r="V273" s="247"/>
      <c r="W273" s="74" t="s">
        <v>38</v>
      </c>
      <c r="X273" s="95"/>
    </row>
    <row r="274" spans="1:24" ht="18.75" customHeight="1">
      <c r="A274" s="81" t="s">
        <v>69</v>
      </c>
      <c r="B274" s="77" t="s">
        <v>39</v>
      </c>
      <c r="C274" s="80" t="e">
        <f>#REF!</f>
        <v>#REF!</v>
      </c>
      <c r="D274" s="79" t="s">
        <v>52</v>
      </c>
      <c r="E274" s="256" t="s">
        <v>68</v>
      </c>
      <c r="F274" s="256"/>
      <c r="G274" s="256"/>
      <c r="H274" s="77" t="s">
        <v>39</v>
      </c>
      <c r="I274" s="247" t="e">
        <f>$F$8/$L$1*C274</f>
        <v>#REF!</v>
      </c>
      <c r="J274" s="247"/>
      <c r="K274" s="74" t="s">
        <v>38</v>
      </c>
      <c r="L274" s="95"/>
      <c r="M274" s="81" t="s">
        <v>69</v>
      </c>
      <c r="N274" s="77" t="s">
        <v>39</v>
      </c>
      <c r="O274" s="80" t="e">
        <f>#REF!</f>
        <v>#REF!</v>
      </c>
      <c r="P274" s="79" t="s">
        <v>52</v>
      </c>
      <c r="Q274" s="256" t="s">
        <v>68</v>
      </c>
      <c r="R274" s="256"/>
      <c r="S274" s="256"/>
      <c r="T274" s="77" t="s">
        <v>39</v>
      </c>
      <c r="U274" s="247" t="e">
        <f>$F$8/$L$1*O274</f>
        <v>#REF!</v>
      </c>
      <c r="V274" s="247"/>
      <c r="W274" s="74" t="s">
        <v>38</v>
      </c>
      <c r="X274" s="95"/>
    </row>
    <row r="275" spans="1:24" ht="18.75" customHeight="1">
      <c r="A275" s="81" t="s">
        <v>67</v>
      </c>
      <c r="B275" s="77" t="s">
        <v>39</v>
      </c>
      <c r="C275" s="80" t="e">
        <f>#REF!</f>
        <v>#REF!</v>
      </c>
      <c r="D275" s="79" t="s">
        <v>58</v>
      </c>
      <c r="E275" s="223" t="s">
        <v>66</v>
      </c>
      <c r="F275" s="223"/>
      <c r="G275" s="223"/>
      <c r="H275" s="77" t="s">
        <v>39</v>
      </c>
      <c r="I275" s="247" t="e">
        <f>#REF!</f>
        <v>#REF!</v>
      </c>
      <c r="J275" s="247"/>
      <c r="K275" s="74" t="s">
        <v>38</v>
      </c>
      <c r="L275" s="95" t="e">
        <f>F268*C275/L261/8*1.5</f>
        <v>#REF!</v>
      </c>
      <c r="M275" s="81" t="s">
        <v>67</v>
      </c>
      <c r="N275" s="77" t="s">
        <v>39</v>
      </c>
      <c r="O275" s="80" t="e">
        <f>#REF!</f>
        <v>#REF!</v>
      </c>
      <c r="P275" s="79" t="s">
        <v>58</v>
      </c>
      <c r="Q275" s="223" t="s">
        <v>66</v>
      </c>
      <c r="R275" s="223"/>
      <c r="S275" s="223"/>
      <c r="T275" s="77" t="s">
        <v>39</v>
      </c>
      <c r="U275" s="247" t="e">
        <f>#REF!</f>
        <v>#REF!</v>
      </c>
      <c r="V275" s="247"/>
      <c r="W275" s="74" t="s">
        <v>38</v>
      </c>
      <c r="X275" s="95" t="e">
        <f>R268*O275/X261/8*1.5</f>
        <v>#REF!</v>
      </c>
    </row>
    <row r="276" spans="1:24" ht="18.75" customHeight="1">
      <c r="A276" s="222" t="s">
        <v>65</v>
      </c>
      <c r="B276" s="223"/>
      <c r="C276" s="80"/>
      <c r="D276" s="79" t="s">
        <v>52</v>
      </c>
      <c r="E276" s="223" t="s">
        <v>64</v>
      </c>
      <c r="F276" s="223"/>
      <c r="G276" s="223"/>
      <c r="H276" s="100" t="s">
        <v>39</v>
      </c>
      <c r="I276" s="247"/>
      <c r="J276" s="247"/>
      <c r="K276" s="74" t="s">
        <v>38</v>
      </c>
      <c r="L276" s="95"/>
      <c r="M276" s="222" t="s">
        <v>65</v>
      </c>
      <c r="N276" s="223"/>
      <c r="O276" s="80"/>
      <c r="P276" s="79" t="s">
        <v>52</v>
      </c>
      <c r="Q276" s="223" t="s">
        <v>64</v>
      </c>
      <c r="R276" s="223"/>
      <c r="S276" s="223"/>
      <c r="T276" s="100" t="s">
        <v>39</v>
      </c>
      <c r="U276" s="247"/>
      <c r="V276" s="247"/>
      <c r="W276" s="74" t="s">
        <v>38</v>
      </c>
      <c r="X276" s="95"/>
    </row>
    <row r="277" spans="1:24" ht="18.75" customHeight="1">
      <c r="A277" s="81" t="s">
        <v>63</v>
      </c>
      <c r="B277" s="77" t="s">
        <v>39</v>
      </c>
      <c r="C277" s="80"/>
      <c r="D277" s="79" t="s">
        <v>52</v>
      </c>
      <c r="E277" s="223" t="s">
        <v>62</v>
      </c>
      <c r="F277" s="223"/>
      <c r="G277" s="223"/>
      <c r="H277" s="77" t="s">
        <v>39</v>
      </c>
      <c r="I277" s="247"/>
      <c r="J277" s="247"/>
      <c r="K277" s="74" t="s">
        <v>38</v>
      </c>
      <c r="L277" s="95"/>
      <c r="M277" s="81" t="s">
        <v>63</v>
      </c>
      <c r="N277" s="77" t="s">
        <v>39</v>
      </c>
      <c r="O277" s="80"/>
      <c r="P277" s="79" t="s">
        <v>52</v>
      </c>
      <c r="Q277" s="223" t="s">
        <v>62</v>
      </c>
      <c r="R277" s="223"/>
      <c r="S277" s="223"/>
      <c r="T277" s="77" t="s">
        <v>39</v>
      </c>
      <c r="U277" s="247"/>
      <c r="V277" s="247"/>
      <c r="W277" s="74" t="s">
        <v>38</v>
      </c>
      <c r="X277" s="95"/>
    </row>
    <row r="278" spans="1:24" ht="18.75" customHeight="1">
      <c r="A278" s="99" t="s">
        <v>61</v>
      </c>
      <c r="B278" s="77"/>
      <c r="C278" s="80" t="e">
        <f>#REF!</f>
        <v>#REF!</v>
      </c>
      <c r="D278" s="79" t="s">
        <v>58</v>
      </c>
      <c r="E278" s="223" t="s">
        <v>60</v>
      </c>
      <c r="F278" s="223"/>
      <c r="G278" s="223"/>
      <c r="H278" s="77" t="s">
        <v>39</v>
      </c>
      <c r="I278" s="247" t="e">
        <f>$F$8*C278/8/$L$1</f>
        <v>#REF!</v>
      </c>
      <c r="J278" s="247"/>
      <c r="K278" s="74" t="s">
        <v>38</v>
      </c>
      <c r="L278" s="95"/>
      <c r="M278" s="99" t="s">
        <v>61</v>
      </c>
      <c r="N278" s="77"/>
      <c r="O278" s="80" t="e">
        <f>#REF!</f>
        <v>#REF!</v>
      </c>
      <c r="P278" s="79" t="s">
        <v>58</v>
      </c>
      <c r="Q278" s="223" t="s">
        <v>60</v>
      </c>
      <c r="R278" s="223"/>
      <c r="S278" s="223"/>
      <c r="T278" s="77" t="s">
        <v>39</v>
      </c>
      <c r="U278" s="247" t="e">
        <f>$F$8*O278/8/$L$1</f>
        <v>#REF!</v>
      </c>
      <c r="V278" s="247"/>
      <c r="W278" s="74" t="s">
        <v>38</v>
      </c>
      <c r="X278" s="95"/>
    </row>
    <row r="279" spans="1:24" ht="18.75" customHeight="1">
      <c r="A279" s="81" t="s">
        <v>59</v>
      </c>
      <c r="B279" s="77" t="s">
        <v>39</v>
      </c>
      <c r="C279" s="80"/>
      <c r="D279" s="79" t="s">
        <v>58</v>
      </c>
      <c r="E279" s="223" t="s">
        <v>57</v>
      </c>
      <c r="F279" s="223"/>
      <c r="G279" s="223"/>
      <c r="H279" s="77" t="s">
        <v>39</v>
      </c>
      <c r="I279" s="255"/>
      <c r="J279" s="255"/>
      <c r="K279" s="74" t="s">
        <v>38</v>
      </c>
      <c r="L279" s="95"/>
      <c r="M279" s="81" t="s">
        <v>59</v>
      </c>
      <c r="N279" s="77" t="s">
        <v>39</v>
      </c>
      <c r="O279" s="80"/>
      <c r="P279" s="79" t="s">
        <v>58</v>
      </c>
      <c r="Q279" s="223" t="s">
        <v>57</v>
      </c>
      <c r="R279" s="223"/>
      <c r="S279" s="223"/>
      <c r="T279" s="77" t="s">
        <v>39</v>
      </c>
      <c r="U279" s="255"/>
      <c r="V279" s="255"/>
      <c r="W279" s="74" t="s">
        <v>38</v>
      </c>
      <c r="X279" s="95"/>
    </row>
    <row r="280" spans="1:24" ht="18.75" customHeight="1">
      <c r="A280" s="81" t="s">
        <v>56</v>
      </c>
      <c r="B280" s="77" t="s">
        <v>39</v>
      </c>
      <c r="C280" s="80"/>
      <c r="D280" s="79" t="s">
        <v>55</v>
      </c>
      <c r="E280" s="98" t="s">
        <v>54</v>
      </c>
      <c r="F280" s="98"/>
      <c r="G280" s="98"/>
      <c r="H280" s="77" t="s">
        <v>39</v>
      </c>
      <c r="I280" s="247"/>
      <c r="J280" s="247"/>
      <c r="K280" s="74" t="s">
        <v>38</v>
      </c>
      <c r="L280" s="95" t="e">
        <f>+IF(L271-I271&lt;0,0,L271-I271)+IF(L275-I275&lt;0,0,L275-I275)</f>
        <v>#REF!</v>
      </c>
      <c r="M280" s="81" t="s">
        <v>56</v>
      </c>
      <c r="N280" s="77" t="s">
        <v>39</v>
      </c>
      <c r="O280" s="80"/>
      <c r="P280" s="79" t="s">
        <v>55</v>
      </c>
      <c r="Q280" s="98" t="s">
        <v>54</v>
      </c>
      <c r="R280" s="98"/>
      <c r="S280" s="98"/>
      <c r="T280" s="77" t="s">
        <v>39</v>
      </c>
      <c r="U280" s="247"/>
      <c r="V280" s="247"/>
      <c r="W280" s="74" t="s">
        <v>38</v>
      </c>
      <c r="X280" s="95" t="e">
        <f>+IF(X271-U271&lt;0,0,X271-U271)+IF(X275-U275&lt;0,0,X275-U275)</f>
        <v>#REF!</v>
      </c>
    </row>
    <row r="281" spans="1:24" ht="18.75" customHeight="1">
      <c r="A281" s="97" t="s">
        <v>53</v>
      </c>
      <c r="B281" s="96"/>
      <c r="C281" s="80"/>
      <c r="D281" s="79" t="s">
        <v>52</v>
      </c>
      <c r="E281" s="223" t="s">
        <v>51</v>
      </c>
      <c r="F281" s="223"/>
      <c r="G281" s="223"/>
      <c r="H281" s="77" t="s">
        <v>39</v>
      </c>
      <c r="I281" s="247"/>
      <c r="J281" s="247"/>
      <c r="K281" s="74" t="s">
        <v>38</v>
      </c>
      <c r="L281" s="95"/>
      <c r="M281" s="97" t="s">
        <v>53</v>
      </c>
      <c r="N281" s="96"/>
      <c r="O281" s="80"/>
      <c r="P281" s="79" t="s">
        <v>52</v>
      </c>
      <c r="Q281" s="223" t="s">
        <v>51</v>
      </c>
      <c r="R281" s="223"/>
      <c r="S281" s="223"/>
      <c r="T281" s="77" t="s">
        <v>39</v>
      </c>
      <c r="U281" s="247"/>
      <c r="V281" s="247"/>
      <c r="W281" s="74" t="s">
        <v>38</v>
      </c>
      <c r="X281" s="95"/>
    </row>
    <row r="282" spans="1:24" ht="18.75" customHeight="1">
      <c r="A282" s="248" t="s">
        <v>50</v>
      </c>
      <c r="B282" s="249"/>
      <c r="C282" s="80"/>
      <c r="D282" s="79"/>
      <c r="E282" s="78"/>
      <c r="F282" s="78"/>
      <c r="G282" s="78"/>
      <c r="H282" s="77" t="s">
        <v>39</v>
      </c>
      <c r="I282" s="247" t="e">
        <f>#REF!</f>
        <v>#REF!</v>
      </c>
      <c r="J282" s="247"/>
      <c r="K282" s="74" t="s">
        <v>38</v>
      </c>
      <c r="L282" s="95"/>
      <c r="M282" s="248" t="s">
        <v>50</v>
      </c>
      <c r="N282" s="249"/>
      <c r="O282" s="80"/>
      <c r="P282" s="79"/>
      <c r="Q282" s="78"/>
      <c r="R282" s="78"/>
      <c r="S282" s="78"/>
      <c r="T282" s="77" t="s">
        <v>39</v>
      </c>
      <c r="U282" s="247" t="e">
        <f>#REF!</f>
        <v>#REF!</v>
      </c>
      <c r="V282" s="247"/>
      <c r="W282" s="74" t="s">
        <v>38</v>
      </c>
      <c r="X282" s="95"/>
    </row>
    <row r="283" spans="1:24" ht="18.75" customHeight="1">
      <c r="A283" s="81" t="s">
        <v>49</v>
      </c>
      <c r="B283" s="77" t="s">
        <v>39</v>
      </c>
      <c r="C283" s="80"/>
      <c r="D283" s="79"/>
      <c r="E283" s="78" t="s">
        <v>48</v>
      </c>
      <c r="F283" s="78"/>
      <c r="G283" s="78"/>
      <c r="H283" s="77" t="s">
        <v>39</v>
      </c>
      <c r="I283" s="247" t="e">
        <f>L280</f>
        <v>#REF!</v>
      </c>
      <c r="J283" s="247"/>
      <c r="K283" s="74" t="s">
        <v>38</v>
      </c>
      <c r="L283" s="95"/>
      <c r="M283" s="81" t="s">
        <v>49</v>
      </c>
      <c r="N283" s="77" t="s">
        <v>39</v>
      </c>
      <c r="O283" s="80"/>
      <c r="P283" s="79"/>
      <c r="Q283" s="78" t="s">
        <v>48</v>
      </c>
      <c r="R283" s="78"/>
      <c r="S283" s="78"/>
      <c r="T283" s="77" t="s">
        <v>39</v>
      </c>
      <c r="U283" s="247" t="e">
        <f>X280</f>
        <v>#REF!</v>
      </c>
      <c r="V283" s="247"/>
      <c r="W283" s="74" t="s">
        <v>38</v>
      </c>
      <c r="X283" s="95"/>
    </row>
    <row r="284" spans="1:24" ht="18.75" customHeight="1">
      <c r="A284" s="250" t="s">
        <v>47</v>
      </c>
      <c r="B284" s="251"/>
      <c r="C284" s="251"/>
      <c r="D284" s="251"/>
      <c r="E284" s="251"/>
      <c r="F284" s="251"/>
      <c r="G284" s="77" t="s">
        <v>39</v>
      </c>
      <c r="H284" s="252" t="e">
        <f>I271+I272+I273+I274+I275+I278+I282+I283</f>
        <v>#REF!</v>
      </c>
      <c r="I284" s="252"/>
      <c r="J284" s="252"/>
      <c r="K284" s="74" t="s">
        <v>38</v>
      </c>
      <c r="M284" s="250" t="s">
        <v>47</v>
      </c>
      <c r="N284" s="251"/>
      <c r="O284" s="251"/>
      <c r="P284" s="251"/>
      <c r="Q284" s="251"/>
      <c r="R284" s="251"/>
      <c r="S284" s="77" t="s">
        <v>39</v>
      </c>
      <c r="T284" s="252" t="e">
        <f>U271+U272+U273+U274+U275+U278+U282+U283</f>
        <v>#REF!</v>
      </c>
      <c r="U284" s="252"/>
      <c r="V284" s="252"/>
      <c r="W284" s="74" t="s">
        <v>38</v>
      </c>
    </row>
    <row r="285" spans="1:24" ht="18.75" customHeight="1">
      <c r="A285" s="94"/>
      <c r="B285" s="93"/>
      <c r="C285" s="93"/>
      <c r="D285" s="93"/>
      <c r="E285" s="93"/>
      <c r="F285" s="93"/>
      <c r="G285" s="93"/>
      <c r="H285" s="93"/>
      <c r="I285" s="93"/>
      <c r="J285" s="93"/>
      <c r="K285" s="92"/>
      <c r="M285" s="94"/>
      <c r="N285" s="93"/>
      <c r="O285" s="93"/>
      <c r="P285" s="93"/>
      <c r="Q285" s="93"/>
      <c r="R285" s="93"/>
      <c r="S285" s="93"/>
      <c r="T285" s="93"/>
      <c r="U285" s="93"/>
      <c r="V285" s="93"/>
      <c r="W285" s="92"/>
    </row>
    <row r="286" spans="1:24" ht="18.75" customHeight="1">
      <c r="A286" s="253" t="s">
        <v>46</v>
      </c>
      <c r="B286" s="254"/>
      <c r="C286" s="254"/>
      <c r="D286" s="254"/>
      <c r="E286" s="254"/>
      <c r="F286" s="254"/>
      <c r="G286" s="77"/>
      <c r="H286" s="77"/>
      <c r="I286" s="77"/>
      <c r="J286" s="77"/>
      <c r="K286" s="74"/>
      <c r="M286" s="253" t="s">
        <v>46</v>
      </c>
      <c r="N286" s="254"/>
      <c r="O286" s="254"/>
      <c r="P286" s="254"/>
      <c r="Q286" s="254"/>
      <c r="R286" s="254"/>
      <c r="S286" s="77"/>
      <c r="T286" s="77"/>
      <c r="U286" s="77"/>
      <c r="V286" s="77"/>
      <c r="W286" s="74"/>
    </row>
    <row r="287" spans="1:24" ht="18.75" customHeight="1">
      <c r="A287" s="232" t="s">
        <v>45</v>
      </c>
      <c r="B287" s="233"/>
      <c r="C287" s="233"/>
      <c r="D287" s="233"/>
      <c r="E287" s="233"/>
      <c r="F287" s="233"/>
      <c r="G287" s="77" t="s">
        <v>39</v>
      </c>
      <c r="H287" s="242" t="e">
        <f>IF(($L$1-(C271+C272+C273+C274))&gt;12,0,F268*8%)</f>
        <v>#REF!</v>
      </c>
      <c r="I287" s="242"/>
      <c r="J287" s="242"/>
      <c r="K287" s="74" t="s">
        <v>38</v>
      </c>
      <c r="M287" s="232" t="s">
        <v>45</v>
      </c>
      <c r="N287" s="233"/>
      <c r="O287" s="233"/>
      <c r="P287" s="233"/>
      <c r="Q287" s="233"/>
      <c r="R287" s="233"/>
      <c r="S287" s="77" t="s">
        <v>39</v>
      </c>
      <c r="T287" s="242" t="e">
        <f>IF(($L$1-(O271+O272+O273+O274))&gt;12,0,R268*8%)</f>
        <v>#REF!</v>
      </c>
      <c r="U287" s="242"/>
      <c r="V287" s="242"/>
      <c r="W287" s="74" t="s">
        <v>38</v>
      </c>
    </row>
    <row r="288" spans="1:24" ht="18.75" customHeight="1">
      <c r="A288" s="232" t="s">
        <v>44</v>
      </c>
      <c r="B288" s="233"/>
      <c r="C288" s="233"/>
      <c r="D288" s="233"/>
      <c r="E288" s="233"/>
      <c r="F288" s="233"/>
      <c r="G288" s="77" t="s">
        <v>39</v>
      </c>
      <c r="H288" s="243" t="e">
        <f>IF(($L$1-(C271+C272+C273+C274))&gt;12,0,F268*1.5%)</f>
        <v>#REF!</v>
      </c>
      <c r="I288" s="243"/>
      <c r="J288" s="243"/>
      <c r="K288" s="74" t="s">
        <v>38</v>
      </c>
      <c r="M288" s="232" t="s">
        <v>44</v>
      </c>
      <c r="N288" s="233"/>
      <c r="O288" s="233"/>
      <c r="P288" s="233"/>
      <c r="Q288" s="233"/>
      <c r="R288" s="233"/>
      <c r="S288" s="77" t="s">
        <v>39</v>
      </c>
      <c r="T288" s="243" t="e">
        <f>IF(($L$1-(O271+O272+O273+O274))&gt;12,0,R268*1.5%)</f>
        <v>#REF!</v>
      </c>
      <c r="U288" s="243"/>
      <c r="V288" s="243"/>
      <c r="W288" s="74" t="s">
        <v>38</v>
      </c>
    </row>
    <row r="289" spans="1:24" ht="18.75" customHeight="1">
      <c r="A289" s="232" t="s">
        <v>43</v>
      </c>
      <c r="B289" s="233"/>
      <c r="C289" s="233"/>
      <c r="D289" s="233"/>
      <c r="E289" s="233"/>
      <c r="F289" s="233"/>
      <c r="G289" s="77" t="s">
        <v>39</v>
      </c>
      <c r="H289" s="243" t="e">
        <f>IF(($L$1-(C271+C272+C273+C274))&gt;12,0,F268*1%)</f>
        <v>#REF!</v>
      </c>
      <c r="I289" s="243"/>
      <c r="J289" s="243"/>
      <c r="K289" s="74" t="s">
        <v>38</v>
      </c>
      <c r="M289" s="232" t="s">
        <v>43</v>
      </c>
      <c r="N289" s="233"/>
      <c r="O289" s="233"/>
      <c r="P289" s="233"/>
      <c r="Q289" s="233"/>
      <c r="R289" s="233"/>
      <c r="S289" s="77" t="s">
        <v>39</v>
      </c>
      <c r="T289" s="243" t="e">
        <f>IF(($L$1-(O271+O272+O273+O274))&gt;12,0,R268*1%)</f>
        <v>#REF!</v>
      </c>
      <c r="U289" s="243"/>
      <c r="V289" s="243"/>
      <c r="W289" s="74" t="s">
        <v>38</v>
      </c>
    </row>
    <row r="290" spans="1:24" ht="18.75" customHeight="1">
      <c r="A290" s="232" t="s">
        <v>42</v>
      </c>
      <c r="B290" s="233"/>
      <c r="C290" s="233"/>
      <c r="D290" s="233"/>
      <c r="E290" s="233"/>
      <c r="F290" s="233"/>
      <c r="G290" s="77" t="s">
        <v>39</v>
      </c>
      <c r="H290" s="243">
        <v>0</v>
      </c>
      <c r="I290" s="243"/>
      <c r="J290" s="243"/>
      <c r="K290" s="74" t="s">
        <v>38</v>
      </c>
      <c r="M290" s="232" t="s">
        <v>42</v>
      </c>
      <c r="N290" s="233"/>
      <c r="O290" s="233"/>
      <c r="P290" s="233"/>
      <c r="Q290" s="233"/>
      <c r="R290" s="233"/>
      <c r="S290" s="77" t="s">
        <v>39</v>
      </c>
      <c r="T290" s="243">
        <v>0</v>
      </c>
      <c r="U290" s="243"/>
      <c r="V290" s="243"/>
      <c r="W290" s="74" t="s">
        <v>38</v>
      </c>
    </row>
    <row r="291" spans="1:24" ht="18.75" customHeight="1">
      <c r="A291" s="244" t="s">
        <v>41</v>
      </c>
      <c r="B291" s="245"/>
      <c r="C291" s="245"/>
      <c r="D291" s="245"/>
      <c r="E291" s="245"/>
      <c r="F291" s="245"/>
      <c r="G291" s="77" t="s">
        <v>39</v>
      </c>
      <c r="H291" s="246" t="e">
        <f>SUM(H287:J290)</f>
        <v>#REF!</v>
      </c>
      <c r="I291" s="246"/>
      <c r="J291" s="246"/>
      <c r="K291" s="74" t="s">
        <v>38</v>
      </c>
      <c r="M291" s="244" t="s">
        <v>41</v>
      </c>
      <c r="N291" s="245"/>
      <c r="O291" s="245"/>
      <c r="P291" s="245"/>
      <c r="Q291" s="245"/>
      <c r="R291" s="245"/>
      <c r="S291" s="77" t="s">
        <v>39</v>
      </c>
      <c r="T291" s="246" t="e">
        <f>SUM(T287:V290)</f>
        <v>#REF!</v>
      </c>
      <c r="U291" s="246"/>
      <c r="V291" s="246"/>
      <c r="W291" s="74" t="s">
        <v>38</v>
      </c>
    </row>
    <row r="292" spans="1:24" ht="18.75" customHeight="1">
      <c r="A292" s="232" t="s">
        <v>40</v>
      </c>
      <c r="B292" s="233"/>
      <c r="C292" s="233"/>
      <c r="D292" s="233"/>
      <c r="E292" s="233"/>
      <c r="F292" s="233"/>
      <c r="G292" s="77" t="s">
        <v>39</v>
      </c>
      <c r="H292" s="234" t="e">
        <f>ROUND(H284-H291,-2)</f>
        <v>#REF!</v>
      </c>
      <c r="I292" s="234"/>
      <c r="J292" s="234"/>
      <c r="K292" s="74" t="s">
        <v>38</v>
      </c>
      <c r="M292" s="232" t="s">
        <v>40</v>
      </c>
      <c r="N292" s="233"/>
      <c r="O292" s="233"/>
      <c r="P292" s="233"/>
      <c r="Q292" s="233"/>
      <c r="R292" s="233"/>
      <c r="S292" s="77" t="s">
        <v>39</v>
      </c>
      <c r="T292" s="234" t="e">
        <f>ROUND(T284-T291,-2)</f>
        <v>#REF!</v>
      </c>
      <c r="U292" s="234"/>
      <c r="V292" s="234"/>
      <c r="W292" s="74" t="s">
        <v>38</v>
      </c>
    </row>
    <row r="293" spans="1:24" ht="18.75" customHeight="1">
      <c r="A293" s="91"/>
      <c r="B293" s="90"/>
      <c r="C293" s="90"/>
      <c r="D293" s="90"/>
      <c r="E293" s="90"/>
      <c r="F293" s="90"/>
      <c r="G293" s="90"/>
      <c r="H293" s="90"/>
      <c r="I293" s="90"/>
      <c r="J293" s="90"/>
      <c r="K293" s="89"/>
      <c r="M293" s="91"/>
      <c r="N293" s="90"/>
      <c r="O293" s="90"/>
      <c r="P293" s="90"/>
      <c r="Q293" s="90"/>
      <c r="R293" s="90"/>
      <c r="S293" s="90"/>
      <c r="T293" s="90"/>
      <c r="U293" s="90"/>
      <c r="V293" s="90"/>
      <c r="W293" s="89"/>
    </row>
    <row r="294" spans="1:24" ht="18.75" customHeight="1">
      <c r="A294" s="88"/>
      <c r="B294" s="77"/>
      <c r="C294" s="77"/>
      <c r="D294" s="77"/>
      <c r="E294" s="77"/>
      <c r="F294" s="77"/>
      <c r="G294" s="77"/>
      <c r="H294" s="77"/>
      <c r="I294" s="235" t="s">
        <v>37</v>
      </c>
      <c r="J294" s="235"/>
      <c r="K294" s="236"/>
      <c r="M294" s="88"/>
      <c r="N294" s="77"/>
      <c r="O294" s="77"/>
      <c r="P294" s="77"/>
      <c r="Q294" s="77"/>
      <c r="R294" s="77"/>
      <c r="S294" s="77"/>
      <c r="T294" s="77"/>
      <c r="U294" s="235" t="s">
        <v>37</v>
      </c>
      <c r="V294" s="235"/>
      <c r="W294" s="236"/>
    </row>
    <row r="295" spans="1:24" ht="18.75" customHeight="1">
      <c r="A295" s="88"/>
      <c r="B295" s="235"/>
      <c r="C295" s="235"/>
      <c r="D295" s="235"/>
      <c r="E295" s="235"/>
      <c r="F295" s="77"/>
      <c r="G295" s="77"/>
      <c r="H295" s="77"/>
      <c r="I295" s="77"/>
      <c r="J295" s="77"/>
      <c r="K295" s="82"/>
      <c r="M295" s="88"/>
      <c r="N295" s="235"/>
      <c r="O295" s="235"/>
      <c r="P295" s="235"/>
      <c r="Q295" s="235"/>
      <c r="R295" s="77"/>
      <c r="S295" s="77"/>
      <c r="T295" s="77"/>
      <c r="U295" s="77"/>
      <c r="V295" s="77"/>
      <c r="W295" s="82"/>
    </row>
    <row r="296" spans="1:24" ht="18.75" customHeight="1" thickBot="1">
      <c r="A296" s="87"/>
      <c r="B296" s="86"/>
      <c r="C296" s="86"/>
      <c r="D296" s="86"/>
      <c r="E296" s="86"/>
      <c r="F296" s="86"/>
      <c r="G296" s="86"/>
      <c r="H296" s="86"/>
      <c r="I296" s="237" t="s">
        <v>36</v>
      </c>
      <c r="J296" s="237"/>
      <c r="K296" s="238"/>
      <c r="M296" s="87"/>
      <c r="N296" s="86"/>
      <c r="O296" s="86"/>
      <c r="P296" s="86"/>
      <c r="Q296" s="86"/>
      <c r="R296" s="86"/>
      <c r="S296" s="86"/>
      <c r="T296" s="86"/>
      <c r="U296" s="237" t="s">
        <v>36</v>
      </c>
      <c r="V296" s="237"/>
      <c r="W296" s="238"/>
    </row>
    <row r="298" spans="1:24" ht="18.75" customHeight="1" thickTop="1">
      <c r="A298" s="239" t="s">
        <v>87</v>
      </c>
      <c r="B298" s="240"/>
      <c r="C298" s="240"/>
      <c r="D298" s="240"/>
      <c r="E298" s="240"/>
      <c r="F298" s="240"/>
      <c r="G298" s="240"/>
      <c r="H298" s="240"/>
      <c r="I298" s="240"/>
      <c r="J298" s="240"/>
      <c r="K298" s="241"/>
      <c r="L298" s="72">
        <v>25</v>
      </c>
      <c r="M298" s="239" t="s">
        <v>87</v>
      </c>
      <c r="N298" s="240"/>
      <c r="O298" s="240"/>
      <c r="P298" s="240"/>
      <c r="Q298" s="240"/>
      <c r="R298" s="240"/>
      <c r="S298" s="240"/>
      <c r="T298" s="240"/>
      <c r="U298" s="240"/>
      <c r="V298" s="240"/>
      <c r="W298" s="241"/>
      <c r="X298" s="72">
        <v>25</v>
      </c>
    </row>
    <row r="299" spans="1:24" ht="18.75" customHeight="1">
      <c r="A299" s="85" t="s">
        <v>133</v>
      </c>
      <c r="B299" s="84"/>
      <c r="C299" s="84"/>
      <c r="D299" s="84"/>
      <c r="E299" s="84"/>
      <c r="F299" s="84"/>
      <c r="G299" s="84"/>
      <c r="H299" s="84"/>
      <c r="I299" s="84"/>
      <c r="J299" s="84"/>
      <c r="K299" s="83"/>
      <c r="M299" s="85" t="s">
        <v>132</v>
      </c>
      <c r="N299" s="84"/>
      <c r="O299" s="84"/>
      <c r="P299" s="84"/>
      <c r="Q299" s="84"/>
      <c r="R299" s="84"/>
      <c r="S299" s="84"/>
      <c r="T299" s="84"/>
      <c r="U299" s="84"/>
      <c r="V299" s="84"/>
      <c r="W299" s="83"/>
    </row>
    <row r="300" spans="1:24" ht="18.75" customHeight="1">
      <c r="A300" s="227" t="s">
        <v>84</v>
      </c>
      <c r="B300" s="228"/>
      <c r="C300" s="228"/>
      <c r="D300" s="228"/>
      <c r="E300" s="228"/>
      <c r="F300" s="228"/>
      <c r="G300" s="228"/>
      <c r="H300" s="228"/>
      <c r="I300" s="228"/>
      <c r="J300" s="228"/>
      <c r="K300" s="229"/>
      <c r="M300" s="227" t="s">
        <v>84</v>
      </c>
      <c r="N300" s="228"/>
      <c r="O300" s="228"/>
      <c r="P300" s="228"/>
      <c r="Q300" s="228"/>
      <c r="R300" s="228"/>
      <c r="S300" s="228"/>
      <c r="T300" s="228"/>
      <c r="U300" s="228"/>
      <c r="V300" s="228"/>
      <c r="W300" s="229"/>
    </row>
    <row r="301" spans="1:24" ht="18.75" customHeight="1">
      <c r="A301" s="222" t="s">
        <v>83</v>
      </c>
      <c r="B301" s="223"/>
      <c r="C301" s="223"/>
      <c r="D301" s="223"/>
      <c r="E301" s="77" t="s">
        <v>39</v>
      </c>
      <c r="F301" s="224">
        <f>'[3]Bang TH nop'!B32</f>
        <v>0</v>
      </c>
      <c r="G301" s="223"/>
      <c r="H301" s="223"/>
      <c r="I301" s="223"/>
      <c r="J301" s="223"/>
      <c r="K301" s="226"/>
      <c r="M301" s="222" t="s">
        <v>83</v>
      </c>
      <c r="N301" s="223"/>
      <c r="O301" s="223"/>
      <c r="P301" s="223"/>
      <c r="Q301" s="77" t="s">
        <v>39</v>
      </c>
      <c r="R301" s="224">
        <f>'[3]Bang TH nop'!B34</f>
        <v>0</v>
      </c>
      <c r="S301" s="223"/>
      <c r="T301" s="223"/>
      <c r="U301" s="223"/>
      <c r="V301" s="223"/>
      <c r="W301" s="226"/>
    </row>
    <row r="302" spans="1:24" ht="18.75" customHeight="1">
      <c r="A302" s="222" t="s">
        <v>82</v>
      </c>
      <c r="B302" s="223"/>
      <c r="C302" s="223"/>
      <c r="D302" s="223"/>
      <c r="E302" s="77" t="s">
        <v>39</v>
      </c>
      <c r="F302" s="224">
        <f>'[3]Bang TH nop'!C32</f>
        <v>0</v>
      </c>
      <c r="G302" s="224"/>
      <c r="H302" s="224"/>
      <c r="I302" s="224"/>
      <c r="J302" s="224"/>
      <c r="K302" s="225"/>
      <c r="M302" s="222" t="s">
        <v>82</v>
      </c>
      <c r="N302" s="223"/>
      <c r="O302" s="223"/>
      <c r="P302" s="223"/>
      <c r="Q302" s="77" t="s">
        <v>39</v>
      </c>
      <c r="R302" s="224">
        <f>'[3]Bang TH nop'!C34</f>
        <v>0</v>
      </c>
      <c r="S302" s="224"/>
      <c r="T302" s="224"/>
      <c r="U302" s="224"/>
      <c r="V302" s="224"/>
      <c r="W302" s="225"/>
    </row>
    <row r="303" spans="1:24" ht="18.75" customHeight="1">
      <c r="A303" s="222" t="s">
        <v>81</v>
      </c>
      <c r="B303" s="223"/>
      <c r="C303" s="223"/>
      <c r="D303" s="223"/>
      <c r="E303" s="77" t="s">
        <v>39</v>
      </c>
      <c r="F303" s="223" t="s">
        <v>80</v>
      </c>
      <c r="G303" s="223"/>
      <c r="H303" s="223"/>
      <c r="I303" s="223"/>
      <c r="J303" s="223"/>
      <c r="K303" s="226"/>
      <c r="M303" s="222" t="s">
        <v>81</v>
      </c>
      <c r="N303" s="223"/>
      <c r="O303" s="223"/>
      <c r="P303" s="223"/>
      <c r="Q303" s="77" t="s">
        <v>39</v>
      </c>
      <c r="R303" s="223" t="s">
        <v>80</v>
      </c>
      <c r="S303" s="223"/>
      <c r="T303" s="223"/>
      <c r="U303" s="223"/>
      <c r="V303" s="223"/>
      <c r="W303" s="226"/>
    </row>
    <row r="304" spans="1:24" ht="18.75" customHeight="1">
      <c r="A304" s="227" t="s">
        <v>79</v>
      </c>
      <c r="B304" s="228"/>
      <c r="C304" s="228"/>
      <c r="D304" s="228"/>
      <c r="E304" s="228"/>
      <c r="F304" s="228"/>
      <c r="G304" s="228"/>
      <c r="H304" s="228"/>
      <c r="I304" s="228"/>
      <c r="J304" s="228"/>
      <c r="K304" s="229"/>
      <c r="M304" s="227" t="s">
        <v>79</v>
      </c>
      <c r="N304" s="228"/>
      <c r="O304" s="228"/>
      <c r="P304" s="228"/>
      <c r="Q304" s="228"/>
      <c r="R304" s="228"/>
      <c r="S304" s="228"/>
      <c r="T304" s="228"/>
      <c r="U304" s="228"/>
      <c r="V304" s="228"/>
      <c r="W304" s="229"/>
    </row>
    <row r="305" spans="1:24" ht="18.75" customHeight="1">
      <c r="A305" s="222" t="s">
        <v>78</v>
      </c>
      <c r="B305" s="223"/>
      <c r="C305" s="223"/>
      <c r="D305" s="223"/>
      <c r="E305" s="77" t="s">
        <v>39</v>
      </c>
      <c r="F305" s="230">
        <v>2915400</v>
      </c>
      <c r="G305" s="230"/>
      <c r="H305" s="230"/>
      <c r="I305" s="230"/>
      <c r="J305" s="77" t="s">
        <v>38</v>
      </c>
      <c r="K305" s="82"/>
      <c r="M305" s="222" t="s">
        <v>78</v>
      </c>
      <c r="N305" s="223"/>
      <c r="O305" s="223"/>
      <c r="P305" s="223"/>
      <c r="Q305" s="77" t="s">
        <v>39</v>
      </c>
      <c r="R305" s="230">
        <v>2915400</v>
      </c>
      <c r="S305" s="230"/>
      <c r="T305" s="230"/>
      <c r="U305" s="230"/>
      <c r="V305" s="77" t="s">
        <v>38</v>
      </c>
      <c r="W305" s="82"/>
    </row>
    <row r="306" spans="1:24" ht="18.75" customHeight="1">
      <c r="A306" s="81" t="s">
        <v>77</v>
      </c>
      <c r="B306" s="77"/>
      <c r="C306" s="80"/>
      <c r="D306" s="79"/>
      <c r="E306" s="78"/>
      <c r="F306" s="78"/>
      <c r="G306" s="78"/>
      <c r="H306" s="77"/>
      <c r="I306" s="76" t="e">
        <f>#REF!</f>
        <v>#REF!</v>
      </c>
      <c r="J306" s="75"/>
      <c r="K306" s="74"/>
      <c r="M306" s="81" t="s">
        <v>77</v>
      </c>
      <c r="N306" s="77"/>
      <c r="O306" s="80"/>
      <c r="P306" s="79"/>
      <c r="Q306" s="78"/>
      <c r="R306" s="78"/>
      <c r="S306" s="78"/>
      <c r="T306" s="77"/>
      <c r="U306" s="76" t="e">
        <f>#REF!</f>
        <v>#REF!</v>
      </c>
      <c r="V306" s="75"/>
      <c r="W306" s="74"/>
    </row>
    <row r="307" spans="1:24" ht="18.75" customHeight="1">
      <c r="A307" s="81" t="s">
        <v>76</v>
      </c>
      <c r="B307" s="77"/>
      <c r="C307" s="80"/>
      <c r="D307" s="79"/>
      <c r="E307" s="78"/>
      <c r="F307" s="78"/>
      <c r="G307" s="78"/>
      <c r="H307" s="77"/>
      <c r="I307" s="76" t="e">
        <f>I308/C308/8</f>
        <v>#REF!</v>
      </c>
      <c r="J307" s="75"/>
      <c r="K307" s="74"/>
      <c r="M307" s="81" t="s">
        <v>76</v>
      </c>
      <c r="N307" s="77"/>
      <c r="O307" s="80"/>
      <c r="P307" s="79"/>
      <c r="Q307" s="78"/>
      <c r="R307" s="78"/>
      <c r="S307" s="78"/>
      <c r="T307" s="77"/>
      <c r="U307" s="76" t="e">
        <f>U308/O308/8</f>
        <v>#REF!</v>
      </c>
      <c r="V307" s="75"/>
      <c r="W307" s="74"/>
    </row>
    <row r="308" spans="1:24" ht="18.75" customHeight="1">
      <c r="A308" s="81" t="s">
        <v>75</v>
      </c>
      <c r="B308" s="77" t="s">
        <v>39</v>
      </c>
      <c r="C308" s="80" t="e">
        <f>#REF!</f>
        <v>#REF!</v>
      </c>
      <c r="D308" s="79" t="s">
        <v>52</v>
      </c>
      <c r="E308" s="249" t="s">
        <v>74</v>
      </c>
      <c r="F308" s="249"/>
      <c r="G308" s="249"/>
      <c r="H308" s="77" t="s">
        <v>39</v>
      </c>
      <c r="I308" s="255" t="e">
        <f>#REF!</f>
        <v>#REF!</v>
      </c>
      <c r="J308" s="255"/>
      <c r="K308" s="74" t="s">
        <v>38</v>
      </c>
      <c r="L308" s="95" t="e">
        <f>F305/L298*C308</f>
        <v>#REF!</v>
      </c>
      <c r="M308" s="81" t="s">
        <v>75</v>
      </c>
      <c r="N308" s="77" t="s">
        <v>39</v>
      </c>
      <c r="O308" s="80" t="e">
        <f>#REF!</f>
        <v>#REF!</v>
      </c>
      <c r="P308" s="79" t="s">
        <v>52</v>
      </c>
      <c r="Q308" s="249" t="s">
        <v>74</v>
      </c>
      <c r="R308" s="249"/>
      <c r="S308" s="249"/>
      <c r="T308" s="77" t="s">
        <v>39</v>
      </c>
      <c r="U308" s="255" t="e">
        <f>#REF!</f>
        <v>#REF!</v>
      </c>
      <c r="V308" s="255"/>
      <c r="W308" s="74" t="s">
        <v>38</v>
      </c>
      <c r="X308" s="95" t="e">
        <f>R305/X298*O308</f>
        <v>#REF!</v>
      </c>
    </row>
    <row r="309" spans="1:24" ht="18.75" customHeight="1">
      <c r="A309" s="81" t="s">
        <v>73</v>
      </c>
      <c r="B309" s="77" t="s">
        <v>39</v>
      </c>
      <c r="C309" s="80" t="e">
        <f>#REF!</f>
        <v>#REF!</v>
      </c>
      <c r="D309" s="79" t="s">
        <v>52</v>
      </c>
      <c r="E309" s="223" t="s">
        <v>72</v>
      </c>
      <c r="F309" s="223"/>
      <c r="G309" s="223"/>
      <c r="H309" s="77" t="s">
        <v>39</v>
      </c>
      <c r="I309" s="247" t="e">
        <f>$F$8/$L$1*C309</f>
        <v>#REF!</v>
      </c>
      <c r="J309" s="247"/>
      <c r="K309" s="74" t="s">
        <v>38</v>
      </c>
      <c r="L309" s="95"/>
      <c r="M309" s="81" t="s">
        <v>73</v>
      </c>
      <c r="N309" s="77" t="s">
        <v>39</v>
      </c>
      <c r="O309" s="80" t="e">
        <f>#REF!</f>
        <v>#REF!</v>
      </c>
      <c r="P309" s="79" t="s">
        <v>52</v>
      </c>
      <c r="Q309" s="223" t="s">
        <v>72</v>
      </c>
      <c r="R309" s="223"/>
      <c r="S309" s="223"/>
      <c r="T309" s="77" t="s">
        <v>39</v>
      </c>
      <c r="U309" s="247" t="e">
        <f>$F$8/$L$1*O309</f>
        <v>#REF!</v>
      </c>
      <c r="V309" s="247"/>
      <c r="W309" s="74" t="s">
        <v>38</v>
      </c>
      <c r="X309" s="95"/>
    </row>
    <row r="310" spans="1:24" ht="18.75" customHeight="1">
      <c r="A310" s="81" t="s">
        <v>71</v>
      </c>
      <c r="B310" s="77" t="s">
        <v>39</v>
      </c>
      <c r="C310" s="80" t="e">
        <f>#REF!</f>
        <v>#REF!</v>
      </c>
      <c r="D310" s="79" t="s">
        <v>52</v>
      </c>
      <c r="E310" s="256" t="s">
        <v>70</v>
      </c>
      <c r="F310" s="256"/>
      <c r="G310" s="256"/>
      <c r="H310" s="77" t="s">
        <v>39</v>
      </c>
      <c r="I310" s="247" t="e">
        <f>$F$8/$L$1*C310</f>
        <v>#REF!</v>
      </c>
      <c r="J310" s="247"/>
      <c r="K310" s="74" t="s">
        <v>38</v>
      </c>
      <c r="L310" s="95"/>
      <c r="M310" s="81" t="s">
        <v>71</v>
      </c>
      <c r="N310" s="77" t="s">
        <v>39</v>
      </c>
      <c r="O310" s="80" t="e">
        <f>#REF!</f>
        <v>#REF!</v>
      </c>
      <c r="P310" s="79" t="s">
        <v>52</v>
      </c>
      <c r="Q310" s="256" t="s">
        <v>70</v>
      </c>
      <c r="R310" s="256"/>
      <c r="S310" s="256"/>
      <c r="T310" s="77" t="s">
        <v>39</v>
      </c>
      <c r="U310" s="247" t="e">
        <f>$F$8/$L$1*O310</f>
        <v>#REF!</v>
      </c>
      <c r="V310" s="247"/>
      <c r="W310" s="74" t="s">
        <v>38</v>
      </c>
      <c r="X310" s="95"/>
    </row>
    <row r="311" spans="1:24" ht="18.75" customHeight="1">
      <c r="A311" s="81" t="s">
        <v>69</v>
      </c>
      <c r="B311" s="77" t="s">
        <v>39</v>
      </c>
      <c r="C311" s="80" t="e">
        <f>#REF!</f>
        <v>#REF!</v>
      </c>
      <c r="D311" s="79" t="s">
        <v>52</v>
      </c>
      <c r="E311" s="256" t="s">
        <v>68</v>
      </c>
      <c r="F311" s="256"/>
      <c r="G311" s="256"/>
      <c r="H311" s="77" t="s">
        <v>39</v>
      </c>
      <c r="I311" s="247" t="e">
        <f>$F$8/$L$1*C311</f>
        <v>#REF!</v>
      </c>
      <c r="J311" s="247"/>
      <c r="K311" s="74" t="s">
        <v>38</v>
      </c>
      <c r="L311" s="95"/>
      <c r="M311" s="81" t="s">
        <v>69</v>
      </c>
      <c r="N311" s="77" t="s">
        <v>39</v>
      </c>
      <c r="O311" s="80" t="e">
        <f>#REF!</f>
        <v>#REF!</v>
      </c>
      <c r="P311" s="79" t="s">
        <v>52</v>
      </c>
      <c r="Q311" s="256" t="s">
        <v>68</v>
      </c>
      <c r="R311" s="256"/>
      <c r="S311" s="256"/>
      <c r="T311" s="77" t="s">
        <v>39</v>
      </c>
      <c r="U311" s="247" t="e">
        <f>$F$8/$L$1*O311</f>
        <v>#REF!</v>
      </c>
      <c r="V311" s="247"/>
      <c r="W311" s="74" t="s">
        <v>38</v>
      </c>
      <c r="X311" s="95"/>
    </row>
    <row r="312" spans="1:24" ht="18.75" customHeight="1">
      <c r="A312" s="81" t="s">
        <v>67</v>
      </c>
      <c r="B312" s="77" t="s">
        <v>39</v>
      </c>
      <c r="C312" s="80" t="e">
        <f>#REF!</f>
        <v>#REF!</v>
      </c>
      <c r="D312" s="79" t="s">
        <v>58</v>
      </c>
      <c r="E312" s="223" t="s">
        <v>66</v>
      </c>
      <c r="F312" s="223"/>
      <c r="G312" s="223"/>
      <c r="H312" s="77" t="s">
        <v>39</v>
      </c>
      <c r="I312" s="247" t="e">
        <f>#REF!</f>
        <v>#REF!</v>
      </c>
      <c r="J312" s="247"/>
      <c r="K312" s="74" t="s">
        <v>38</v>
      </c>
      <c r="L312" s="95" t="e">
        <f>F305*C312/L298/8*1.5</f>
        <v>#REF!</v>
      </c>
      <c r="M312" s="81" t="s">
        <v>67</v>
      </c>
      <c r="N312" s="77" t="s">
        <v>39</v>
      </c>
      <c r="O312" s="80" t="e">
        <f>#REF!</f>
        <v>#REF!</v>
      </c>
      <c r="P312" s="79" t="s">
        <v>58</v>
      </c>
      <c r="Q312" s="223" t="s">
        <v>66</v>
      </c>
      <c r="R312" s="223"/>
      <c r="S312" s="223"/>
      <c r="T312" s="77" t="s">
        <v>39</v>
      </c>
      <c r="U312" s="247" t="e">
        <f>#REF!</f>
        <v>#REF!</v>
      </c>
      <c r="V312" s="247"/>
      <c r="W312" s="74" t="s">
        <v>38</v>
      </c>
      <c r="X312" s="95" t="e">
        <f>R305*O312/X298/8*1.5</f>
        <v>#REF!</v>
      </c>
    </row>
    <row r="313" spans="1:24" ht="18.75" customHeight="1">
      <c r="A313" s="222" t="s">
        <v>65</v>
      </c>
      <c r="B313" s="223"/>
      <c r="C313" s="80"/>
      <c r="D313" s="79" t="s">
        <v>52</v>
      </c>
      <c r="E313" s="223" t="s">
        <v>64</v>
      </c>
      <c r="F313" s="223"/>
      <c r="G313" s="223"/>
      <c r="H313" s="100" t="s">
        <v>39</v>
      </c>
      <c r="I313" s="247"/>
      <c r="J313" s="247"/>
      <c r="K313" s="74" t="s">
        <v>38</v>
      </c>
      <c r="L313" s="95"/>
      <c r="M313" s="222" t="s">
        <v>65</v>
      </c>
      <c r="N313" s="223"/>
      <c r="O313" s="80"/>
      <c r="P313" s="79" t="s">
        <v>52</v>
      </c>
      <c r="Q313" s="223" t="s">
        <v>64</v>
      </c>
      <c r="R313" s="223"/>
      <c r="S313" s="223"/>
      <c r="T313" s="100" t="s">
        <v>39</v>
      </c>
      <c r="U313" s="247"/>
      <c r="V313" s="247"/>
      <c r="W313" s="74" t="s">
        <v>38</v>
      </c>
      <c r="X313" s="95"/>
    </row>
    <row r="314" spans="1:24" ht="18.75" customHeight="1">
      <c r="A314" s="81" t="s">
        <v>63</v>
      </c>
      <c r="B314" s="77" t="s">
        <v>39</v>
      </c>
      <c r="C314" s="80"/>
      <c r="D314" s="79" t="s">
        <v>52</v>
      </c>
      <c r="E314" s="223" t="s">
        <v>62</v>
      </c>
      <c r="F314" s="223"/>
      <c r="G314" s="223"/>
      <c r="H314" s="77" t="s">
        <v>39</v>
      </c>
      <c r="I314" s="247"/>
      <c r="J314" s="247"/>
      <c r="K314" s="74" t="s">
        <v>38</v>
      </c>
      <c r="L314" s="95"/>
      <c r="M314" s="81" t="s">
        <v>63</v>
      </c>
      <c r="N314" s="77" t="s">
        <v>39</v>
      </c>
      <c r="O314" s="80"/>
      <c r="P314" s="79" t="s">
        <v>52</v>
      </c>
      <c r="Q314" s="223" t="s">
        <v>62</v>
      </c>
      <c r="R314" s="223"/>
      <c r="S314" s="223"/>
      <c r="T314" s="77" t="s">
        <v>39</v>
      </c>
      <c r="U314" s="247"/>
      <c r="V314" s="247"/>
      <c r="W314" s="74" t="s">
        <v>38</v>
      </c>
      <c r="X314" s="95"/>
    </row>
    <row r="315" spans="1:24" ht="18.75" customHeight="1">
      <c r="A315" s="99" t="s">
        <v>61</v>
      </c>
      <c r="B315" s="77"/>
      <c r="C315" s="80" t="e">
        <f>#REF!</f>
        <v>#REF!</v>
      </c>
      <c r="D315" s="79" t="s">
        <v>58</v>
      </c>
      <c r="E315" s="223" t="s">
        <v>60</v>
      </c>
      <c r="F315" s="223"/>
      <c r="G315" s="223"/>
      <c r="H315" s="77" t="s">
        <v>39</v>
      </c>
      <c r="I315" s="247" t="e">
        <f>$F$8*C315/8/$L$1</f>
        <v>#REF!</v>
      </c>
      <c r="J315" s="247"/>
      <c r="K315" s="74" t="s">
        <v>38</v>
      </c>
      <c r="L315" s="95"/>
      <c r="M315" s="99" t="s">
        <v>61</v>
      </c>
      <c r="N315" s="77"/>
      <c r="O315" s="80" t="e">
        <f>#REF!</f>
        <v>#REF!</v>
      </c>
      <c r="P315" s="79" t="s">
        <v>58</v>
      </c>
      <c r="Q315" s="223" t="s">
        <v>60</v>
      </c>
      <c r="R315" s="223"/>
      <c r="S315" s="223"/>
      <c r="T315" s="77" t="s">
        <v>39</v>
      </c>
      <c r="U315" s="247" t="e">
        <f>$F$8*O315/8/$L$1</f>
        <v>#REF!</v>
      </c>
      <c r="V315" s="247"/>
      <c r="W315" s="74" t="s">
        <v>38</v>
      </c>
      <c r="X315" s="95"/>
    </row>
    <row r="316" spans="1:24" ht="18.75" customHeight="1">
      <c r="A316" s="81" t="s">
        <v>59</v>
      </c>
      <c r="B316" s="77" t="s">
        <v>39</v>
      </c>
      <c r="C316" s="80"/>
      <c r="D316" s="79" t="s">
        <v>58</v>
      </c>
      <c r="E316" s="223" t="s">
        <v>57</v>
      </c>
      <c r="F316" s="223"/>
      <c r="G316" s="223"/>
      <c r="H316" s="77" t="s">
        <v>39</v>
      </c>
      <c r="I316" s="255"/>
      <c r="J316" s="255"/>
      <c r="K316" s="74" t="s">
        <v>38</v>
      </c>
      <c r="L316" s="95"/>
      <c r="M316" s="81" t="s">
        <v>59</v>
      </c>
      <c r="N316" s="77" t="s">
        <v>39</v>
      </c>
      <c r="O316" s="80"/>
      <c r="P316" s="79" t="s">
        <v>58</v>
      </c>
      <c r="Q316" s="223" t="s">
        <v>57</v>
      </c>
      <c r="R316" s="223"/>
      <c r="S316" s="223"/>
      <c r="T316" s="77" t="s">
        <v>39</v>
      </c>
      <c r="U316" s="255"/>
      <c r="V316" s="255"/>
      <c r="W316" s="74" t="s">
        <v>38</v>
      </c>
      <c r="X316" s="95"/>
    </row>
    <row r="317" spans="1:24" ht="18.75" customHeight="1">
      <c r="A317" s="81" t="s">
        <v>56</v>
      </c>
      <c r="B317" s="77" t="s">
        <v>39</v>
      </c>
      <c r="C317" s="80"/>
      <c r="D317" s="79" t="s">
        <v>55</v>
      </c>
      <c r="E317" s="98" t="s">
        <v>54</v>
      </c>
      <c r="F317" s="98"/>
      <c r="G317" s="98"/>
      <c r="H317" s="77" t="s">
        <v>39</v>
      </c>
      <c r="I317" s="247"/>
      <c r="J317" s="247"/>
      <c r="K317" s="74" t="s">
        <v>38</v>
      </c>
      <c r="L317" s="95" t="e">
        <f>+IF(L308-I308&lt;0,0,L308-I308)+IF(L312-I312&lt;0,0,L312-I312)</f>
        <v>#REF!</v>
      </c>
      <c r="M317" s="81" t="s">
        <v>56</v>
      </c>
      <c r="N317" s="77" t="s">
        <v>39</v>
      </c>
      <c r="O317" s="80"/>
      <c r="P317" s="79" t="s">
        <v>55</v>
      </c>
      <c r="Q317" s="98" t="s">
        <v>54</v>
      </c>
      <c r="R317" s="98"/>
      <c r="S317" s="98"/>
      <c r="T317" s="77" t="s">
        <v>39</v>
      </c>
      <c r="U317" s="247"/>
      <c r="V317" s="247"/>
      <c r="W317" s="74" t="s">
        <v>38</v>
      </c>
      <c r="X317" s="95" t="e">
        <f>+IF(X308-U308&lt;0,0,X308-U308)+IF(X312-U312&lt;0,0,X312-U312)</f>
        <v>#REF!</v>
      </c>
    </row>
    <row r="318" spans="1:24" ht="18.75" customHeight="1">
      <c r="A318" s="97" t="s">
        <v>53</v>
      </c>
      <c r="B318" s="96"/>
      <c r="C318" s="80"/>
      <c r="D318" s="79" t="s">
        <v>52</v>
      </c>
      <c r="E318" s="223" t="s">
        <v>51</v>
      </c>
      <c r="F318" s="223"/>
      <c r="G318" s="223"/>
      <c r="H318" s="77" t="s">
        <v>39</v>
      </c>
      <c r="I318" s="247"/>
      <c r="J318" s="247"/>
      <c r="K318" s="74" t="s">
        <v>38</v>
      </c>
      <c r="L318" s="95"/>
      <c r="M318" s="97" t="s">
        <v>53</v>
      </c>
      <c r="N318" s="96"/>
      <c r="O318" s="80"/>
      <c r="P318" s="79" t="s">
        <v>52</v>
      </c>
      <c r="Q318" s="223" t="s">
        <v>51</v>
      </c>
      <c r="R318" s="223"/>
      <c r="S318" s="223"/>
      <c r="T318" s="77" t="s">
        <v>39</v>
      </c>
      <c r="U318" s="247"/>
      <c r="V318" s="247"/>
      <c r="W318" s="74" t="s">
        <v>38</v>
      </c>
      <c r="X318" s="95"/>
    </row>
    <row r="319" spans="1:24" ht="18.75" customHeight="1">
      <c r="A319" s="248" t="s">
        <v>50</v>
      </c>
      <c r="B319" s="249"/>
      <c r="C319" s="80"/>
      <c r="D319" s="79"/>
      <c r="E319" s="78"/>
      <c r="F319" s="78"/>
      <c r="G319" s="78"/>
      <c r="H319" s="77" t="s">
        <v>39</v>
      </c>
      <c r="I319" s="247" t="e">
        <f>#REF!</f>
        <v>#REF!</v>
      </c>
      <c r="J319" s="247"/>
      <c r="K319" s="74" t="s">
        <v>38</v>
      </c>
      <c r="L319" s="95"/>
      <c r="M319" s="248" t="s">
        <v>50</v>
      </c>
      <c r="N319" s="249"/>
      <c r="O319" s="80"/>
      <c r="P319" s="79"/>
      <c r="Q319" s="78"/>
      <c r="R319" s="78"/>
      <c r="S319" s="78"/>
      <c r="T319" s="77" t="s">
        <v>39</v>
      </c>
      <c r="U319" s="247" t="e">
        <f>#REF!</f>
        <v>#REF!</v>
      </c>
      <c r="V319" s="247"/>
      <c r="W319" s="74" t="s">
        <v>38</v>
      </c>
      <c r="X319" s="95"/>
    </row>
    <row r="320" spans="1:24" ht="18.75" customHeight="1">
      <c r="A320" s="81" t="s">
        <v>49</v>
      </c>
      <c r="B320" s="77" t="s">
        <v>39</v>
      </c>
      <c r="C320" s="80"/>
      <c r="D320" s="79"/>
      <c r="E320" s="78" t="s">
        <v>48</v>
      </c>
      <c r="F320" s="78"/>
      <c r="G320" s="78"/>
      <c r="H320" s="77" t="s">
        <v>39</v>
      </c>
      <c r="I320" s="247" t="e">
        <f>L317</f>
        <v>#REF!</v>
      </c>
      <c r="J320" s="247"/>
      <c r="K320" s="74" t="s">
        <v>38</v>
      </c>
      <c r="L320" s="95"/>
      <c r="M320" s="81" t="s">
        <v>49</v>
      </c>
      <c r="N320" s="77" t="s">
        <v>39</v>
      </c>
      <c r="O320" s="80"/>
      <c r="P320" s="79"/>
      <c r="Q320" s="78" t="s">
        <v>48</v>
      </c>
      <c r="R320" s="78"/>
      <c r="S320" s="78"/>
      <c r="T320" s="77" t="s">
        <v>39</v>
      </c>
      <c r="U320" s="247" t="e">
        <f>X317</f>
        <v>#REF!</v>
      </c>
      <c r="V320" s="247"/>
      <c r="W320" s="74" t="s">
        <v>38</v>
      </c>
      <c r="X320" s="95"/>
    </row>
    <row r="321" spans="1:24" ht="18.75" customHeight="1">
      <c r="A321" s="250" t="s">
        <v>47</v>
      </c>
      <c r="B321" s="251"/>
      <c r="C321" s="251"/>
      <c r="D321" s="251"/>
      <c r="E321" s="251"/>
      <c r="F321" s="251"/>
      <c r="G321" s="77" t="s">
        <v>39</v>
      </c>
      <c r="H321" s="252" t="e">
        <f>I308+I309+I310+I311+I312+I315+I319+I320</f>
        <v>#REF!</v>
      </c>
      <c r="I321" s="252"/>
      <c r="J321" s="252"/>
      <c r="K321" s="74" t="s">
        <v>38</v>
      </c>
      <c r="M321" s="250" t="s">
        <v>47</v>
      </c>
      <c r="N321" s="251"/>
      <c r="O321" s="251"/>
      <c r="P321" s="251"/>
      <c r="Q321" s="251"/>
      <c r="R321" s="251"/>
      <c r="S321" s="77" t="s">
        <v>39</v>
      </c>
      <c r="T321" s="252" t="e">
        <f>U308+U309+U310+U311+U312+U315+U319+U320</f>
        <v>#REF!</v>
      </c>
      <c r="U321" s="252"/>
      <c r="V321" s="252"/>
      <c r="W321" s="74" t="s">
        <v>38</v>
      </c>
    </row>
    <row r="322" spans="1:24" ht="18.75" customHeight="1">
      <c r="A322" s="94"/>
      <c r="B322" s="93"/>
      <c r="C322" s="93"/>
      <c r="D322" s="93"/>
      <c r="E322" s="93"/>
      <c r="F322" s="93"/>
      <c r="G322" s="93"/>
      <c r="H322" s="93"/>
      <c r="I322" s="93"/>
      <c r="J322" s="93"/>
      <c r="K322" s="92"/>
      <c r="M322" s="94"/>
      <c r="N322" s="93"/>
      <c r="O322" s="93"/>
      <c r="P322" s="93"/>
      <c r="Q322" s="93"/>
      <c r="R322" s="93"/>
      <c r="S322" s="93"/>
      <c r="T322" s="93"/>
      <c r="U322" s="93"/>
      <c r="V322" s="93"/>
      <c r="W322" s="92"/>
    </row>
    <row r="323" spans="1:24" ht="18.75" customHeight="1">
      <c r="A323" s="253" t="s">
        <v>46</v>
      </c>
      <c r="B323" s="254"/>
      <c r="C323" s="254"/>
      <c r="D323" s="254"/>
      <c r="E323" s="254"/>
      <c r="F323" s="254"/>
      <c r="G323" s="77"/>
      <c r="H323" s="77"/>
      <c r="I323" s="77"/>
      <c r="J323" s="77"/>
      <c r="K323" s="74"/>
      <c r="M323" s="253" t="s">
        <v>46</v>
      </c>
      <c r="N323" s="254"/>
      <c r="O323" s="254"/>
      <c r="P323" s="254"/>
      <c r="Q323" s="254"/>
      <c r="R323" s="254"/>
      <c r="S323" s="77"/>
      <c r="T323" s="77"/>
      <c r="U323" s="77"/>
      <c r="V323" s="77"/>
      <c r="W323" s="74"/>
    </row>
    <row r="324" spans="1:24" ht="18.75" customHeight="1">
      <c r="A324" s="232" t="s">
        <v>45</v>
      </c>
      <c r="B324" s="233"/>
      <c r="C324" s="233"/>
      <c r="D324" s="233"/>
      <c r="E324" s="233"/>
      <c r="F324" s="233"/>
      <c r="G324" s="77" t="s">
        <v>39</v>
      </c>
      <c r="H324" s="242" t="e">
        <f>IF(($L$1-(C308+C309+C310+C311))&gt;12,0,F305*8%)</f>
        <v>#REF!</v>
      </c>
      <c r="I324" s="242"/>
      <c r="J324" s="242"/>
      <c r="K324" s="74" t="s">
        <v>38</v>
      </c>
      <c r="M324" s="232" t="s">
        <v>45</v>
      </c>
      <c r="N324" s="233"/>
      <c r="O324" s="233"/>
      <c r="P324" s="233"/>
      <c r="Q324" s="233"/>
      <c r="R324" s="233"/>
      <c r="S324" s="77" t="s">
        <v>39</v>
      </c>
      <c r="T324" s="242" t="e">
        <f>IF(($L$1-(O308+O309+O310+O311))&gt;12,0,R305*8%)</f>
        <v>#REF!</v>
      </c>
      <c r="U324" s="242"/>
      <c r="V324" s="242"/>
      <c r="W324" s="74" t="s">
        <v>38</v>
      </c>
    </row>
    <row r="325" spans="1:24" ht="18.75" customHeight="1">
      <c r="A325" s="232" t="s">
        <v>44</v>
      </c>
      <c r="B325" s="233"/>
      <c r="C325" s="233"/>
      <c r="D325" s="233"/>
      <c r="E325" s="233"/>
      <c r="F325" s="233"/>
      <c r="G325" s="77" t="s">
        <v>39</v>
      </c>
      <c r="H325" s="243" t="e">
        <f>IF(($L$1-(C308+C309+C310+C311))&gt;12,0,F305*1.5%)</f>
        <v>#REF!</v>
      </c>
      <c r="I325" s="243"/>
      <c r="J325" s="243"/>
      <c r="K325" s="74" t="s">
        <v>38</v>
      </c>
      <c r="M325" s="232" t="s">
        <v>44</v>
      </c>
      <c r="N325" s="233"/>
      <c r="O325" s="233"/>
      <c r="P325" s="233"/>
      <c r="Q325" s="233"/>
      <c r="R325" s="233"/>
      <c r="S325" s="77" t="s">
        <v>39</v>
      </c>
      <c r="T325" s="243" t="e">
        <f>IF(($L$1-(O308+O309+O310+O311))&gt;12,0,R305*1.5%)</f>
        <v>#REF!</v>
      </c>
      <c r="U325" s="243"/>
      <c r="V325" s="243"/>
      <c r="W325" s="74" t="s">
        <v>38</v>
      </c>
    </row>
    <row r="326" spans="1:24" ht="18.75" customHeight="1">
      <c r="A326" s="232" t="s">
        <v>43</v>
      </c>
      <c r="B326" s="233"/>
      <c r="C326" s="233"/>
      <c r="D326" s="233"/>
      <c r="E326" s="233"/>
      <c r="F326" s="233"/>
      <c r="G326" s="77" t="s">
        <v>39</v>
      </c>
      <c r="H326" s="243" t="e">
        <f>IF(($L$1-(C308+C309+C310+C311))&gt;12,0,F305*1%)</f>
        <v>#REF!</v>
      </c>
      <c r="I326" s="243"/>
      <c r="J326" s="243"/>
      <c r="K326" s="74" t="s">
        <v>38</v>
      </c>
      <c r="M326" s="232" t="s">
        <v>43</v>
      </c>
      <c r="N326" s="233"/>
      <c r="O326" s="233"/>
      <c r="P326" s="233"/>
      <c r="Q326" s="233"/>
      <c r="R326" s="233"/>
      <c r="S326" s="77" t="s">
        <v>39</v>
      </c>
      <c r="T326" s="243" t="e">
        <f>IF(($L$1-(O308+O309+O310+O311))&gt;12,0,R305*1%)</f>
        <v>#REF!</v>
      </c>
      <c r="U326" s="243"/>
      <c r="V326" s="243"/>
      <c r="W326" s="74" t="s">
        <v>38</v>
      </c>
    </row>
    <row r="327" spans="1:24" ht="18.75" customHeight="1">
      <c r="A327" s="232" t="s">
        <v>42</v>
      </c>
      <c r="B327" s="233"/>
      <c r="C327" s="233"/>
      <c r="D327" s="233"/>
      <c r="E327" s="233"/>
      <c r="F327" s="233"/>
      <c r="G327" s="77" t="s">
        <v>39</v>
      </c>
      <c r="H327" s="243">
        <v>0</v>
      </c>
      <c r="I327" s="243"/>
      <c r="J327" s="243"/>
      <c r="K327" s="74" t="s">
        <v>38</v>
      </c>
      <c r="M327" s="232" t="s">
        <v>42</v>
      </c>
      <c r="N327" s="233"/>
      <c r="O327" s="233"/>
      <c r="P327" s="233"/>
      <c r="Q327" s="233"/>
      <c r="R327" s="233"/>
      <c r="S327" s="77" t="s">
        <v>39</v>
      </c>
      <c r="T327" s="243">
        <v>0</v>
      </c>
      <c r="U327" s="243"/>
      <c r="V327" s="243"/>
      <c r="W327" s="74" t="s">
        <v>38</v>
      </c>
    </row>
    <row r="328" spans="1:24" ht="18.75" customHeight="1">
      <c r="A328" s="244" t="s">
        <v>41</v>
      </c>
      <c r="B328" s="245"/>
      <c r="C328" s="245"/>
      <c r="D328" s="245"/>
      <c r="E328" s="245"/>
      <c r="F328" s="245"/>
      <c r="G328" s="77" t="s">
        <v>39</v>
      </c>
      <c r="H328" s="246" t="e">
        <f>SUM(H324:J327)</f>
        <v>#REF!</v>
      </c>
      <c r="I328" s="246"/>
      <c r="J328" s="246"/>
      <c r="K328" s="74" t="s">
        <v>38</v>
      </c>
      <c r="M328" s="244" t="s">
        <v>41</v>
      </c>
      <c r="N328" s="245"/>
      <c r="O328" s="245"/>
      <c r="P328" s="245"/>
      <c r="Q328" s="245"/>
      <c r="R328" s="245"/>
      <c r="S328" s="77" t="s">
        <v>39</v>
      </c>
      <c r="T328" s="246" t="e">
        <f>SUM(T324:V327)</f>
        <v>#REF!</v>
      </c>
      <c r="U328" s="246"/>
      <c r="V328" s="246"/>
      <c r="W328" s="74" t="s">
        <v>38</v>
      </c>
    </row>
    <row r="329" spans="1:24" ht="18.75" customHeight="1">
      <c r="A329" s="232" t="s">
        <v>40</v>
      </c>
      <c r="B329" s="233"/>
      <c r="C329" s="233"/>
      <c r="D329" s="233"/>
      <c r="E329" s="233"/>
      <c r="F329" s="233"/>
      <c r="G329" s="77" t="s">
        <v>39</v>
      </c>
      <c r="H329" s="234" t="e">
        <f>ROUND(H321-H328,-2)</f>
        <v>#REF!</v>
      </c>
      <c r="I329" s="234"/>
      <c r="J329" s="234"/>
      <c r="K329" s="74" t="s">
        <v>38</v>
      </c>
      <c r="M329" s="232" t="s">
        <v>40</v>
      </c>
      <c r="N329" s="233"/>
      <c r="O329" s="233"/>
      <c r="P329" s="233"/>
      <c r="Q329" s="233"/>
      <c r="R329" s="233"/>
      <c r="S329" s="77" t="s">
        <v>39</v>
      </c>
      <c r="T329" s="234" t="e">
        <f>ROUND(T321-T328,-2)</f>
        <v>#REF!</v>
      </c>
      <c r="U329" s="234"/>
      <c r="V329" s="234"/>
      <c r="W329" s="74" t="s">
        <v>38</v>
      </c>
    </row>
    <row r="330" spans="1:24" ht="18.75" customHeight="1">
      <c r="A330" s="91"/>
      <c r="B330" s="90"/>
      <c r="C330" s="90"/>
      <c r="D330" s="90"/>
      <c r="E330" s="90"/>
      <c r="F330" s="90"/>
      <c r="G330" s="90"/>
      <c r="H330" s="90"/>
      <c r="I330" s="90"/>
      <c r="J330" s="90"/>
      <c r="K330" s="89"/>
      <c r="M330" s="91"/>
      <c r="N330" s="90"/>
      <c r="O330" s="90"/>
      <c r="P330" s="90"/>
      <c r="Q330" s="90"/>
      <c r="R330" s="90"/>
      <c r="S330" s="90"/>
      <c r="T330" s="90"/>
      <c r="U330" s="90"/>
      <c r="V330" s="90"/>
      <c r="W330" s="89"/>
    </row>
    <row r="331" spans="1:24" ht="18.75" customHeight="1">
      <c r="A331" s="88"/>
      <c r="B331" s="77"/>
      <c r="C331" s="77"/>
      <c r="D331" s="77"/>
      <c r="E331" s="77"/>
      <c r="F331" s="77"/>
      <c r="G331" s="77"/>
      <c r="H331" s="77"/>
      <c r="I331" s="235" t="s">
        <v>37</v>
      </c>
      <c r="J331" s="235"/>
      <c r="K331" s="236"/>
      <c r="M331" s="88"/>
      <c r="N331" s="77"/>
      <c r="O331" s="77"/>
      <c r="P331" s="77"/>
      <c r="Q331" s="77"/>
      <c r="R331" s="77"/>
      <c r="S331" s="77"/>
      <c r="T331" s="77"/>
      <c r="U331" s="235" t="s">
        <v>37</v>
      </c>
      <c r="V331" s="235"/>
      <c r="W331" s="236"/>
    </row>
    <row r="332" spans="1:24" ht="18.75" customHeight="1">
      <c r="A332" s="88"/>
      <c r="B332" s="235"/>
      <c r="C332" s="235"/>
      <c r="D332" s="235"/>
      <c r="E332" s="235"/>
      <c r="F332" s="77"/>
      <c r="G332" s="77"/>
      <c r="H332" s="77"/>
      <c r="I332" s="77"/>
      <c r="J332" s="77"/>
      <c r="K332" s="82"/>
      <c r="M332" s="88"/>
      <c r="N332" s="235"/>
      <c r="O332" s="235"/>
      <c r="P332" s="235"/>
      <c r="Q332" s="235"/>
      <c r="R332" s="77"/>
      <c r="S332" s="77"/>
      <c r="T332" s="77"/>
      <c r="U332" s="77"/>
      <c r="V332" s="77"/>
      <c r="W332" s="82"/>
    </row>
    <row r="333" spans="1:24" ht="18.75" customHeight="1" thickBot="1">
      <c r="A333" s="87"/>
      <c r="B333" s="86"/>
      <c r="C333" s="86"/>
      <c r="D333" s="86"/>
      <c r="E333" s="86"/>
      <c r="F333" s="86"/>
      <c r="G333" s="86"/>
      <c r="H333" s="86"/>
      <c r="I333" s="237" t="s">
        <v>36</v>
      </c>
      <c r="J333" s="237"/>
      <c r="K333" s="238"/>
      <c r="M333" s="87"/>
      <c r="N333" s="86"/>
      <c r="O333" s="86"/>
      <c r="P333" s="86"/>
      <c r="Q333" s="86"/>
      <c r="R333" s="86"/>
      <c r="S333" s="86"/>
      <c r="T333" s="86"/>
      <c r="U333" s="237" t="s">
        <v>36</v>
      </c>
      <c r="V333" s="237"/>
      <c r="W333" s="238"/>
    </row>
    <row r="335" spans="1:24" ht="18.75" customHeight="1" thickTop="1">
      <c r="A335" s="239" t="s">
        <v>87</v>
      </c>
      <c r="B335" s="240"/>
      <c r="C335" s="240"/>
      <c r="D335" s="240"/>
      <c r="E335" s="240"/>
      <c r="F335" s="240"/>
      <c r="G335" s="240"/>
      <c r="H335" s="240"/>
      <c r="I335" s="240"/>
      <c r="J335" s="240"/>
      <c r="K335" s="241"/>
      <c r="L335" s="72">
        <v>25</v>
      </c>
      <c r="M335" s="239" t="s">
        <v>87</v>
      </c>
      <c r="N335" s="240"/>
      <c r="O335" s="240"/>
      <c r="P335" s="240"/>
      <c r="Q335" s="240"/>
      <c r="R335" s="240"/>
      <c r="S335" s="240"/>
      <c r="T335" s="240"/>
      <c r="U335" s="240"/>
      <c r="V335" s="240"/>
      <c r="W335" s="241"/>
      <c r="X335" s="72">
        <v>25</v>
      </c>
    </row>
    <row r="336" spans="1:24" ht="18.75" customHeight="1">
      <c r="A336" s="85" t="s">
        <v>131</v>
      </c>
      <c r="B336" s="84"/>
      <c r="C336" s="84"/>
      <c r="D336" s="84"/>
      <c r="E336" s="84"/>
      <c r="F336" s="84"/>
      <c r="G336" s="84"/>
      <c r="H336" s="84"/>
      <c r="I336" s="84"/>
      <c r="J336" s="84"/>
      <c r="K336" s="83"/>
      <c r="M336" s="85" t="s">
        <v>130</v>
      </c>
      <c r="N336" s="84"/>
      <c r="O336" s="84"/>
      <c r="P336" s="84"/>
      <c r="Q336" s="84"/>
      <c r="R336" s="84"/>
      <c r="S336" s="84"/>
      <c r="T336" s="84"/>
      <c r="U336" s="84"/>
      <c r="V336" s="84"/>
      <c r="W336" s="83"/>
    </row>
    <row r="337" spans="1:24" ht="18.75" customHeight="1">
      <c r="A337" s="227" t="s">
        <v>84</v>
      </c>
      <c r="B337" s="228"/>
      <c r="C337" s="228"/>
      <c r="D337" s="228"/>
      <c r="E337" s="228"/>
      <c r="F337" s="228"/>
      <c r="G337" s="228"/>
      <c r="H337" s="228"/>
      <c r="I337" s="228"/>
      <c r="J337" s="228"/>
      <c r="K337" s="229"/>
      <c r="M337" s="227" t="s">
        <v>84</v>
      </c>
      <c r="N337" s="228"/>
      <c r="O337" s="228"/>
      <c r="P337" s="228"/>
      <c r="Q337" s="228"/>
      <c r="R337" s="228"/>
      <c r="S337" s="228"/>
      <c r="T337" s="228"/>
      <c r="U337" s="228"/>
      <c r="V337" s="228"/>
      <c r="W337" s="229"/>
    </row>
    <row r="338" spans="1:24" ht="18.75" customHeight="1">
      <c r="A338" s="222" t="s">
        <v>83</v>
      </c>
      <c r="B338" s="223"/>
      <c r="C338" s="223"/>
      <c r="D338" s="223"/>
      <c r="E338" s="77" t="s">
        <v>39</v>
      </c>
      <c r="F338" s="224">
        <f>'[3]Bang TH nop'!B36</f>
        <v>0</v>
      </c>
      <c r="G338" s="223"/>
      <c r="H338" s="223"/>
      <c r="I338" s="223"/>
      <c r="J338" s="223"/>
      <c r="K338" s="226"/>
      <c r="M338" s="222" t="s">
        <v>83</v>
      </c>
      <c r="N338" s="223"/>
      <c r="O338" s="223"/>
      <c r="P338" s="223"/>
      <c r="Q338" s="77" t="s">
        <v>39</v>
      </c>
      <c r="R338" s="224">
        <f>'[3]Bang TH nop'!B38</f>
        <v>0</v>
      </c>
      <c r="S338" s="223"/>
      <c r="T338" s="223"/>
      <c r="U338" s="223"/>
      <c r="V338" s="223"/>
      <c r="W338" s="226"/>
    </row>
    <row r="339" spans="1:24" ht="18.75" customHeight="1">
      <c r="A339" s="222" t="s">
        <v>82</v>
      </c>
      <c r="B339" s="223"/>
      <c r="C339" s="223"/>
      <c r="D339" s="223"/>
      <c r="E339" s="77" t="s">
        <v>39</v>
      </c>
      <c r="F339" s="224">
        <f>'[3]Bang TH nop'!C36</f>
        <v>0</v>
      </c>
      <c r="G339" s="224"/>
      <c r="H339" s="224"/>
      <c r="I339" s="224"/>
      <c r="J339" s="224"/>
      <c r="K339" s="225"/>
      <c r="M339" s="222" t="s">
        <v>82</v>
      </c>
      <c r="N339" s="223"/>
      <c r="O339" s="223"/>
      <c r="P339" s="223"/>
      <c r="Q339" s="77" t="s">
        <v>39</v>
      </c>
      <c r="R339" s="224">
        <f>'[3]Bang TH nop'!C38</f>
        <v>0</v>
      </c>
      <c r="S339" s="224"/>
      <c r="T339" s="224"/>
      <c r="U339" s="224"/>
      <c r="V339" s="224"/>
      <c r="W339" s="225"/>
    </row>
    <row r="340" spans="1:24" ht="18.75" customHeight="1">
      <c r="A340" s="222" t="s">
        <v>81</v>
      </c>
      <c r="B340" s="223"/>
      <c r="C340" s="223"/>
      <c r="D340" s="223"/>
      <c r="E340" s="77" t="s">
        <v>39</v>
      </c>
      <c r="F340" s="223" t="s">
        <v>80</v>
      </c>
      <c r="G340" s="223"/>
      <c r="H340" s="223"/>
      <c r="I340" s="223"/>
      <c r="J340" s="223"/>
      <c r="K340" s="226"/>
      <c r="M340" s="222" t="s">
        <v>81</v>
      </c>
      <c r="N340" s="223"/>
      <c r="O340" s="223"/>
      <c r="P340" s="223"/>
      <c r="Q340" s="77" t="s">
        <v>39</v>
      </c>
      <c r="R340" s="223" t="s">
        <v>80</v>
      </c>
      <c r="S340" s="223"/>
      <c r="T340" s="223"/>
      <c r="U340" s="223"/>
      <c r="V340" s="223"/>
      <c r="W340" s="226"/>
    </row>
    <row r="341" spans="1:24" ht="18.75" customHeight="1">
      <c r="A341" s="227" t="s">
        <v>79</v>
      </c>
      <c r="B341" s="228"/>
      <c r="C341" s="228"/>
      <c r="D341" s="228"/>
      <c r="E341" s="228"/>
      <c r="F341" s="228"/>
      <c r="G341" s="228"/>
      <c r="H341" s="228"/>
      <c r="I341" s="228"/>
      <c r="J341" s="228"/>
      <c r="K341" s="229"/>
      <c r="M341" s="227" t="s">
        <v>79</v>
      </c>
      <c r="N341" s="228"/>
      <c r="O341" s="228"/>
      <c r="P341" s="228"/>
      <c r="Q341" s="228"/>
      <c r="R341" s="228"/>
      <c r="S341" s="228"/>
      <c r="T341" s="228"/>
      <c r="U341" s="228"/>
      <c r="V341" s="228"/>
      <c r="W341" s="229"/>
    </row>
    <row r="342" spans="1:24" ht="18.75" customHeight="1">
      <c r="A342" s="222" t="s">
        <v>78</v>
      </c>
      <c r="B342" s="223"/>
      <c r="C342" s="223"/>
      <c r="D342" s="223"/>
      <c r="E342" s="77" t="s">
        <v>39</v>
      </c>
      <c r="F342" s="230">
        <v>2915400</v>
      </c>
      <c r="G342" s="230"/>
      <c r="H342" s="230"/>
      <c r="I342" s="230"/>
      <c r="J342" s="77" t="s">
        <v>38</v>
      </c>
      <c r="K342" s="82"/>
      <c r="M342" s="222" t="s">
        <v>78</v>
      </c>
      <c r="N342" s="223"/>
      <c r="O342" s="223"/>
      <c r="P342" s="223"/>
      <c r="Q342" s="77" t="s">
        <v>39</v>
      </c>
      <c r="R342" s="230">
        <v>2915400</v>
      </c>
      <c r="S342" s="230"/>
      <c r="T342" s="230"/>
      <c r="U342" s="230"/>
      <c r="V342" s="77" t="s">
        <v>38</v>
      </c>
      <c r="W342" s="82"/>
    </row>
    <row r="343" spans="1:24" ht="18.75" customHeight="1">
      <c r="A343" s="81" t="s">
        <v>77</v>
      </c>
      <c r="B343" s="77"/>
      <c r="C343" s="80"/>
      <c r="D343" s="79"/>
      <c r="E343" s="78"/>
      <c r="F343" s="78"/>
      <c r="G343" s="78"/>
      <c r="H343" s="77"/>
      <c r="I343" s="76" t="e">
        <f>#REF!</f>
        <v>#REF!</v>
      </c>
      <c r="J343" s="75"/>
      <c r="K343" s="74"/>
      <c r="M343" s="81" t="s">
        <v>77</v>
      </c>
      <c r="N343" s="77"/>
      <c r="O343" s="80"/>
      <c r="P343" s="79"/>
      <c r="Q343" s="78"/>
      <c r="R343" s="78"/>
      <c r="S343" s="78"/>
      <c r="T343" s="77"/>
      <c r="U343" s="76" t="e">
        <f>#REF!</f>
        <v>#REF!</v>
      </c>
      <c r="V343" s="75"/>
      <c r="W343" s="74"/>
    </row>
    <row r="344" spans="1:24" ht="18.75" customHeight="1">
      <c r="A344" s="81" t="s">
        <v>76</v>
      </c>
      <c r="B344" s="77"/>
      <c r="C344" s="80"/>
      <c r="D344" s="79"/>
      <c r="E344" s="78"/>
      <c r="F344" s="78"/>
      <c r="G344" s="78"/>
      <c r="H344" s="77"/>
      <c r="I344" s="76" t="e">
        <f>I345/C345/8</f>
        <v>#REF!</v>
      </c>
      <c r="J344" s="75"/>
      <c r="K344" s="74"/>
      <c r="M344" s="81" t="s">
        <v>76</v>
      </c>
      <c r="N344" s="77"/>
      <c r="O344" s="80"/>
      <c r="P344" s="79"/>
      <c r="Q344" s="78"/>
      <c r="R344" s="78"/>
      <c r="S344" s="78"/>
      <c r="T344" s="77"/>
      <c r="U344" s="76" t="e">
        <f>U345/O345/8</f>
        <v>#REF!</v>
      </c>
      <c r="V344" s="75"/>
      <c r="W344" s="74"/>
    </row>
    <row r="345" spans="1:24" ht="18.75" customHeight="1">
      <c r="A345" s="81" t="s">
        <v>75</v>
      </c>
      <c r="B345" s="77" t="s">
        <v>39</v>
      </c>
      <c r="C345" s="80" t="e">
        <f>#REF!</f>
        <v>#REF!</v>
      </c>
      <c r="D345" s="79" t="s">
        <v>52</v>
      </c>
      <c r="E345" s="249" t="s">
        <v>74</v>
      </c>
      <c r="F345" s="249"/>
      <c r="G345" s="249"/>
      <c r="H345" s="77" t="s">
        <v>39</v>
      </c>
      <c r="I345" s="255" t="e">
        <f>#REF!</f>
        <v>#REF!</v>
      </c>
      <c r="J345" s="255"/>
      <c r="K345" s="74" t="s">
        <v>38</v>
      </c>
      <c r="L345" s="95" t="e">
        <f>F342/L335*C345</f>
        <v>#REF!</v>
      </c>
      <c r="M345" s="81" t="s">
        <v>75</v>
      </c>
      <c r="N345" s="77" t="s">
        <v>39</v>
      </c>
      <c r="O345" s="80" t="e">
        <f>#REF!</f>
        <v>#REF!</v>
      </c>
      <c r="P345" s="79" t="s">
        <v>52</v>
      </c>
      <c r="Q345" s="249" t="s">
        <v>74</v>
      </c>
      <c r="R345" s="249"/>
      <c r="S345" s="249"/>
      <c r="T345" s="77" t="s">
        <v>39</v>
      </c>
      <c r="U345" s="255" t="e">
        <f>#REF!</f>
        <v>#REF!</v>
      </c>
      <c r="V345" s="255"/>
      <c r="W345" s="74" t="s">
        <v>38</v>
      </c>
      <c r="X345" s="95" t="e">
        <f>R342/X335*O345</f>
        <v>#REF!</v>
      </c>
    </row>
    <row r="346" spans="1:24" ht="18.75" customHeight="1">
      <c r="A346" s="81" t="s">
        <v>73</v>
      </c>
      <c r="B346" s="77" t="s">
        <v>39</v>
      </c>
      <c r="C346" s="80" t="e">
        <f>#REF!</f>
        <v>#REF!</v>
      </c>
      <c r="D346" s="79" t="s">
        <v>52</v>
      </c>
      <c r="E346" s="223" t="s">
        <v>72</v>
      </c>
      <c r="F346" s="223"/>
      <c r="G346" s="223"/>
      <c r="H346" s="77" t="s">
        <v>39</v>
      </c>
      <c r="I346" s="247" t="e">
        <f>$F$8/$L$1*C346</f>
        <v>#REF!</v>
      </c>
      <c r="J346" s="247"/>
      <c r="K346" s="74" t="s">
        <v>38</v>
      </c>
      <c r="L346" s="95"/>
      <c r="M346" s="81" t="s">
        <v>73</v>
      </c>
      <c r="N346" s="77" t="s">
        <v>39</v>
      </c>
      <c r="O346" s="80" t="e">
        <f>#REF!</f>
        <v>#REF!</v>
      </c>
      <c r="P346" s="79" t="s">
        <v>52</v>
      </c>
      <c r="Q346" s="223" t="s">
        <v>72</v>
      </c>
      <c r="R346" s="223"/>
      <c r="S346" s="223"/>
      <c r="T346" s="77" t="s">
        <v>39</v>
      </c>
      <c r="U346" s="247" t="e">
        <f>$F$8/$L$1*O346</f>
        <v>#REF!</v>
      </c>
      <c r="V346" s="247"/>
      <c r="W346" s="74" t="s">
        <v>38</v>
      </c>
      <c r="X346" s="95"/>
    </row>
    <row r="347" spans="1:24" ht="18.75" customHeight="1">
      <c r="A347" s="81" t="s">
        <v>71</v>
      </c>
      <c r="B347" s="77" t="s">
        <v>39</v>
      </c>
      <c r="C347" s="80" t="e">
        <f>#REF!</f>
        <v>#REF!</v>
      </c>
      <c r="D347" s="79" t="s">
        <v>52</v>
      </c>
      <c r="E347" s="256" t="s">
        <v>70</v>
      </c>
      <c r="F347" s="256"/>
      <c r="G347" s="256"/>
      <c r="H347" s="77" t="s">
        <v>39</v>
      </c>
      <c r="I347" s="247" t="e">
        <f>$F$8/$L$1*C347</f>
        <v>#REF!</v>
      </c>
      <c r="J347" s="247"/>
      <c r="K347" s="74" t="s">
        <v>38</v>
      </c>
      <c r="L347" s="95"/>
      <c r="M347" s="81" t="s">
        <v>71</v>
      </c>
      <c r="N347" s="77" t="s">
        <v>39</v>
      </c>
      <c r="O347" s="80" t="e">
        <f>#REF!</f>
        <v>#REF!</v>
      </c>
      <c r="P347" s="79" t="s">
        <v>52</v>
      </c>
      <c r="Q347" s="256" t="s">
        <v>70</v>
      </c>
      <c r="R347" s="256"/>
      <c r="S347" s="256"/>
      <c r="T347" s="77" t="s">
        <v>39</v>
      </c>
      <c r="U347" s="247" t="e">
        <f>$F$8/$L$1*O347</f>
        <v>#REF!</v>
      </c>
      <c r="V347" s="247"/>
      <c r="W347" s="74" t="s">
        <v>38</v>
      </c>
      <c r="X347" s="95"/>
    </row>
    <row r="348" spans="1:24" ht="18.75" customHeight="1">
      <c r="A348" s="81" t="s">
        <v>69</v>
      </c>
      <c r="B348" s="77" t="s">
        <v>39</v>
      </c>
      <c r="C348" s="80" t="e">
        <f>#REF!</f>
        <v>#REF!</v>
      </c>
      <c r="D348" s="79" t="s">
        <v>52</v>
      </c>
      <c r="E348" s="256" t="s">
        <v>68</v>
      </c>
      <c r="F348" s="256"/>
      <c r="G348" s="256"/>
      <c r="H348" s="77" t="s">
        <v>39</v>
      </c>
      <c r="I348" s="247" t="e">
        <f>$F$8/$L$1*C348</f>
        <v>#REF!</v>
      </c>
      <c r="J348" s="247"/>
      <c r="K348" s="74" t="s">
        <v>38</v>
      </c>
      <c r="L348" s="95"/>
      <c r="M348" s="81" t="s">
        <v>69</v>
      </c>
      <c r="N348" s="77" t="s">
        <v>39</v>
      </c>
      <c r="O348" s="80" t="e">
        <f>#REF!</f>
        <v>#REF!</v>
      </c>
      <c r="P348" s="79" t="s">
        <v>52</v>
      </c>
      <c r="Q348" s="256" t="s">
        <v>68</v>
      </c>
      <c r="R348" s="256"/>
      <c r="S348" s="256"/>
      <c r="T348" s="77" t="s">
        <v>39</v>
      </c>
      <c r="U348" s="247" t="e">
        <f>$F$8/$L$1*O348</f>
        <v>#REF!</v>
      </c>
      <c r="V348" s="247"/>
      <c r="W348" s="74" t="s">
        <v>38</v>
      </c>
      <c r="X348" s="95"/>
    </row>
    <row r="349" spans="1:24" ht="18.75" customHeight="1">
      <c r="A349" s="81" t="s">
        <v>67</v>
      </c>
      <c r="B349" s="77" t="s">
        <v>39</v>
      </c>
      <c r="C349" s="80" t="e">
        <f>#REF!</f>
        <v>#REF!</v>
      </c>
      <c r="D349" s="79" t="s">
        <v>58</v>
      </c>
      <c r="E349" s="223" t="s">
        <v>66</v>
      </c>
      <c r="F349" s="223"/>
      <c r="G349" s="223"/>
      <c r="H349" s="77" t="s">
        <v>39</v>
      </c>
      <c r="I349" s="247" t="e">
        <f>#REF!</f>
        <v>#REF!</v>
      </c>
      <c r="J349" s="247"/>
      <c r="K349" s="74" t="s">
        <v>38</v>
      </c>
      <c r="L349" s="95" t="e">
        <f>F342*C349/L335/8*1.5</f>
        <v>#REF!</v>
      </c>
      <c r="M349" s="81" t="s">
        <v>67</v>
      </c>
      <c r="N349" s="77" t="s">
        <v>39</v>
      </c>
      <c r="O349" s="80" t="e">
        <f>#REF!</f>
        <v>#REF!</v>
      </c>
      <c r="P349" s="79" t="s">
        <v>58</v>
      </c>
      <c r="Q349" s="223" t="s">
        <v>66</v>
      </c>
      <c r="R349" s="223"/>
      <c r="S349" s="223"/>
      <c r="T349" s="77" t="s">
        <v>39</v>
      </c>
      <c r="U349" s="247" t="e">
        <f>#REF!</f>
        <v>#REF!</v>
      </c>
      <c r="V349" s="247"/>
      <c r="W349" s="74" t="s">
        <v>38</v>
      </c>
      <c r="X349" s="95" t="e">
        <f>R342*O349/X335/8*1.5</f>
        <v>#REF!</v>
      </c>
    </row>
    <row r="350" spans="1:24" ht="18.75" customHeight="1">
      <c r="A350" s="222" t="s">
        <v>65</v>
      </c>
      <c r="B350" s="223"/>
      <c r="C350" s="80"/>
      <c r="D350" s="79" t="s">
        <v>52</v>
      </c>
      <c r="E350" s="223" t="s">
        <v>64</v>
      </c>
      <c r="F350" s="223"/>
      <c r="G350" s="223"/>
      <c r="H350" s="100" t="s">
        <v>39</v>
      </c>
      <c r="I350" s="247"/>
      <c r="J350" s="247"/>
      <c r="K350" s="74" t="s">
        <v>38</v>
      </c>
      <c r="L350" s="95"/>
      <c r="M350" s="222" t="s">
        <v>65</v>
      </c>
      <c r="N350" s="223"/>
      <c r="O350" s="80"/>
      <c r="P350" s="79" t="s">
        <v>52</v>
      </c>
      <c r="Q350" s="223" t="s">
        <v>64</v>
      </c>
      <c r="R350" s="223"/>
      <c r="S350" s="223"/>
      <c r="T350" s="100" t="s">
        <v>39</v>
      </c>
      <c r="U350" s="247"/>
      <c r="V350" s="247"/>
      <c r="W350" s="74" t="s">
        <v>38</v>
      </c>
      <c r="X350" s="95"/>
    </row>
    <row r="351" spans="1:24" ht="18.75" customHeight="1">
      <c r="A351" s="81" t="s">
        <v>63</v>
      </c>
      <c r="B351" s="77" t="s">
        <v>39</v>
      </c>
      <c r="C351" s="80"/>
      <c r="D351" s="79" t="s">
        <v>52</v>
      </c>
      <c r="E351" s="223" t="s">
        <v>62</v>
      </c>
      <c r="F351" s="223"/>
      <c r="G351" s="223"/>
      <c r="H351" s="77" t="s">
        <v>39</v>
      </c>
      <c r="I351" s="247"/>
      <c r="J351" s="247"/>
      <c r="K351" s="74" t="s">
        <v>38</v>
      </c>
      <c r="L351" s="95"/>
      <c r="M351" s="81" t="s">
        <v>63</v>
      </c>
      <c r="N351" s="77" t="s">
        <v>39</v>
      </c>
      <c r="O351" s="80"/>
      <c r="P351" s="79" t="s">
        <v>52</v>
      </c>
      <c r="Q351" s="223" t="s">
        <v>62</v>
      </c>
      <c r="R351" s="223"/>
      <c r="S351" s="223"/>
      <c r="T351" s="77" t="s">
        <v>39</v>
      </c>
      <c r="U351" s="247"/>
      <c r="V351" s="247"/>
      <c r="W351" s="74" t="s">
        <v>38</v>
      </c>
      <c r="X351" s="95"/>
    </row>
    <row r="352" spans="1:24" ht="18.75" customHeight="1">
      <c r="A352" s="99" t="s">
        <v>61</v>
      </c>
      <c r="B352" s="77"/>
      <c r="C352" s="80" t="e">
        <f>#REF!</f>
        <v>#REF!</v>
      </c>
      <c r="D352" s="79" t="s">
        <v>58</v>
      </c>
      <c r="E352" s="223" t="s">
        <v>60</v>
      </c>
      <c r="F352" s="223"/>
      <c r="G352" s="223"/>
      <c r="H352" s="77" t="s">
        <v>39</v>
      </c>
      <c r="I352" s="247" t="e">
        <f>$F$8*C352/8/$L$1</f>
        <v>#REF!</v>
      </c>
      <c r="J352" s="247"/>
      <c r="K352" s="74" t="s">
        <v>38</v>
      </c>
      <c r="L352" s="95"/>
      <c r="M352" s="99" t="s">
        <v>61</v>
      </c>
      <c r="N352" s="77"/>
      <c r="O352" s="80" t="e">
        <f>#REF!</f>
        <v>#REF!</v>
      </c>
      <c r="P352" s="79" t="s">
        <v>58</v>
      </c>
      <c r="Q352" s="223" t="s">
        <v>60</v>
      </c>
      <c r="R352" s="223"/>
      <c r="S352" s="223"/>
      <c r="T352" s="77" t="s">
        <v>39</v>
      </c>
      <c r="U352" s="247" t="e">
        <f>$F$8*O352/8/$L$1</f>
        <v>#REF!</v>
      </c>
      <c r="V352" s="247"/>
      <c r="W352" s="74" t="s">
        <v>38</v>
      </c>
      <c r="X352" s="95"/>
    </row>
    <row r="353" spans="1:24" ht="18.75" customHeight="1">
      <c r="A353" s="81" t="s">
        <v>59</v>
      </c>
      <c r="B353" s="77" t="s">
        <v>39</v>
      </c>
      <c r="C353" s="80"/>
      <c r="D353" s="79" t="s">
        <v>58</v>
      </c>
      <c r="E353" s="223" t="s">
        <v>57</v>
      </c>
      <c r="F353" s="223"/>
      <c r="G353" s="223"/>
      <c r="H353" s="77" t="s">
        <v>39</v>
      </c>
      <c r="I353" s="255"/>
      <c r="J353" s="255"/>
      <c r="K353" s="74" t="s">
        <v>38</v>
      </c>
      <c r="L353" s="95"/>
      <c r="M353" s="81" t="s">
        <v>59</v>
      </c>
      <c r="N353" s="77" t="s">
        <v>39</v>
      </c>
      <c r="O353" s="80"/>
      <c r="P353" s="79" t="s">
        <v>58</v>
      </c>
      <c r="Q353" s="223" t="s">
        <v>57</v>
      </c>
      <c r="R353" s="223"/>
      <c r="S353" s="223"/>
      <c r="T353" s="77" t="s">
        <v>39</v>
      </c>
      <c r="U353" s="255"/>
      <c r="V353" s="255"/>
      <c r="W353" s="74" t="s">
        <v>38</v>
      </c>
      <c r="X353" s="95"/>
    </row>
    <row r="354" spans="1:24" ht="18.75" customHeight="1">
      <c r="A354" s="81" t="s">
        <v>56</v>
      </c>
      <c r="B354" s="77" t="s">
        <v>39</v>
      </c>
      <c r="C354" s="80"/>
      <c r="D354" s="79" t="s">
        <v>55</v>
      </c>
      <c r="E354" s="98" t="s">
        <v>54</v>
      </c>
      <c r="F354" s="98"/>
      <c r="G354" s="98"/>
      <c r="H354" s="77" t="s">
        <v>39</v>
      </c>
      <c r="I354" s="247"/>
      <c r="J354" s="247"/>
      <c r="K354" s="74" t="s">
        <v>38</v>
      </c>
      <c r="L354" s="95" t="e">
        <f>+IF(L345-I345&lt;0,0,L345-I345)+IF(L349-I349&lt;0,0,L349-I349)</f>
        <v>#REF!</v>
      </c>
      <c r="M354" s="81" t="s">
        <v>56</v>
      </c>
      <c r="N354" s="77" t="s">
        <v>39</v>
      </c>
      <c r="O354" s="80"/>
      <c r="P354" s="79" t="s">
        <v>55</v>
      </c>
      <c r="Q354" s="98" t="s">
        <v>54</v>
      </c>
      <c r="R354" s="98"/>
      <c r="S354" s="98"/>
      <c r="T354" s="77" t="s">
        <v>39</v>
      </c>
      <c r="U354" s="247"/>
      <c r="V354" s="247"/>
      <c r="W354" s="74" t="s">
        <v>38</v>
      </c>
      <c r="X354" s="95" t="e">
        <f>+IF(X345-U345&lt;0,0,X345-U345)+IF(X349-U349&lt;0,0,X349-U349)</f>
        <v>#REF!</v>
      </c>
    </row>
    <row r="355" spans="1:24" ht="18.75" customHeight="1">
      <c r="A355" s="97" t="s">
        <v>53</v>
      </c>
      <c r="B355" s="96"/>
      <c r="C355" s="80"/>
      <c r="D355" s="79" t="s">
        <v>52</v>
      </c>
      <c r="E355" s="223" t="s">
        <v>51</v>
      </c>
      <c r="F355" s="223"/>
      <c r="G355" s="223"/>
      <c r="H355" s="77" t="s">
        <v>39</v>
      </c>
      <c r="I355" s="247"/>
      <c r="J355" s="247"/>
      <c r="K355" s="74" t="s">
        <v>38</v>
      </c>
      <c r="L355" s="95"/>
      <c r="M355" s="97" t="s">
        <v>53</v>
      </c>
      <c r="N355" s="96"/>
      <c r="O355" s="80"/>
      <c r="P355" s="79" t="s">
        <v>52</v>
      </c>
      <c r="Q355" s="223" t="s">
        <v>51</v>
      </c>
      <c r="R355" s="223"/>
      <c r="S355" s="223"/>
      <c r="T355" s="77" t="s">
        <v>39</v>
      </c>
      <c r="U355" s="247"/>
      <c r="V355" s="247"/>
      <c r="W355" s="74" t="s">
        <v>38</v>
      </c>
      <c r="X355" s="95"/>
    </row>
    <row r="356" spans="1:24" ht="18.75" customHeight="1">
      <c r="A356" s="248" t="s">
        <v>50</v>
      </c>
      <c r="B356" s="249"/>
      <c r="C356" s="80"/>
      <c r="D356" s="79"/>
      <c r="E356" s="78"/>
      <c r="F356" s="78"/>
      <c r="G356" s="78"/>
      <c r="H356" s="77" t="s">
        <v>39</v>
      </c>
      <c r="I356" s="247" t="e">
        <f>#REF!</f>
        <v>#REF!</v>
      </c>
      <c r="J356" s="247"/>
      <c r="K356" s="74" t="s">
        <v>38</v>
      </c>
      <c r="L356" s="95"/>
      <c r="M356" s="248" t="s">
        <v>50</v>
      </c>
      <c r="N356" s="249"/>
      <c r="O356" s="80"/>
      <c r="P356" s="79"/>
      <c r="Q356" s="78"/>
      <c r="R356" s="78"/>
      <c r="S356" s="78"/>
      <c r="T356" s="77" t="s">
        <v>39</v>
      </c>
      <c r="U356" s="247" t="e">
        <f>#REF!</f>
        <v>#REF!</v>
      </c>
      <c r="V356" s="247"/>
      <c r="W356" s="74" t="s">
        <v>38</v>
      </c>
      <c r="X356" s="95"/>
    </row>
    <row r="357" spans="1:24" ht="18.75" customHeight="1">
      <c r="A357" s="81" t="s">
        <v>49</v>
      </c>
      <c r="B357" s="77" t="s">
        <v>39</v>
      </c>
      <c r="C357" s="80"/>
      <c r="D357" s="79"/>
      <c r="E357" s="78" t="s">
        <v>48</v>
      </c>
      <c r="F357" s="78"/>
      <c r="G357" s="78"/>
      <c r="H357" s="77" t="s">
        <v>39</v>
      </c>
      <c r="I357" s="247" t="e">
        <f>L354</f>
        <v>#REF!</v>
      </c>
      <c r="J357" s="247"/>
      <c r="K357" s="74" t="s">
        <v>38</v>
      </c>
      <c r="L357" s="95"/>
      <c r="M357" s="81" t="s">
        <v>49</v>
      </c>
      <c r="N357" s="77" t="s">
        <v>39</v>
      </c>
      <c r="O357" s="80"/>
      <c r="P357" s="79"/>
      <c r="Q357" s="78" t="s">
        <v>48</v>
      </c>
      <c r="R357" s="78"/>
      <c r="S357" s="78"/>
      <c r="T357" s="77" t="s">
        <v>39</v>
      </c>
      <c r="U357" s="247" t="e">
        <f>X354</f>
        <v>#REF!</v>
      </c>
      <c r="V357" s="247"/>
      <c r="W357" s="74" t="s">
        <v>38</v>
      </c>
      <c r="X357" s="95"/>
    </row>
    <row r="358" spans="1:24" ht="18.75" customHeight="1">
      <c r="A358" s="250" t="s">
        <v>47</v>
      </c>
      <c r="B358" s="251"/>
      <c r="C358" s="251"/>
      <c r="D358" s="251"/>
      <c r="E358" s="251"/>
      <c r="F358" s="251"/>
      <c r="G358" s="77" t="s">
        <v>39</v>
      </c>
      <c r="H358" s="252" t="e">
        <f>I345+I346+I347+I348+I349+I352+I356+I357</f>
        <v>#REF!</v>
      </c>
      <c r="I358" s="252"/>
      <c r="J358" s="252"/>
      <c r="K358" s="74" t="s">
        <v>38</v>
      </c>
      <c r="M358" s="250" t="s">
        <v>47</v>
      </c>
      <c r="N358" s="251"/>
      <c r="O358" s="251"/>
      <c r="P358" s="251"/>
      <c r="Q358" s="251"/>
      <c r="R358" s="251"/>
      <c r="S358" s="77" t="s">
        <v>39</v>
      </c>
      <c r="T358" s="252" t="e">
        <f>U345+U346+U347+U348+U349+U352+U356+U357</f>
        <v>#REF!</v>
      </c>
      <c r="U358" s="252"/>
      <c r="V358" s="252"/>
      <c r="W358" s="74" t="s">
        <v>38</v>
      </c>
    </row>
    <row r="359" spans="1:24" ht="18.75" customHeight="1">
      <c r="A359" s="94"/>
      <c r="B359" s="93"/>
      <c r="C359" s="93"/>
      <c r="D359" s="93"/>
      <c r="E359" s="93"/>
      <c r="F359" s="93"/>
      <c r="G359" s="93"/>
      <c r="H359" s="93"/>
      <c r="I359" s="93"/>
      <c r="J359" s="93"/>
      <c r="K359" s="92"/>
      <c r="M359" s="94"/>
      <c r="N359" s="93"/>
      <c r="O359" s="93"/>
      <c r="P359" s="93"/>
      <c r="Q359" s="93"/>
      <c r="R359" s="93"/>
      <c r="S359" s="93"/>
      <c r="T359" s="93"/>
      <c r="U359" s="93"/>
      <c r="V359" s="93"/>
      <c r="W359" s="92"/>
    </row>
    <row r="360" spans="1:24" ht="18.75" customHeight="1">
      <c r="A360" s="253" t="s">
        <v>46</v>
      </c>
      <c r="B360" s="254"/>
      <c r="C360" s="254"/>
      <c r="D360" s="254"/>
      <c r="E360" s="254"/>
      <c r="F360" s="254"/>
      <c r="G360" s="77"/>
      <c r="H360" s="77"/>
      <c r="I360" s="77"/>
      <c r="J360" s="77"/>
      <c r="K360" s="74"/>
      <c r="M360" s="253" t="s">
        <v>46</v>
      </c>
      <c r="N360" s="254"/>
      <c r="O360" s="254"/>
      <c r="P360" s="254"/>
      <c r="Q360" s="254"/>
      <c r="R360" s="254"/>
      <c r="S360" s="77"/>
      <c r="T360" s="77"/>
      <c r="U360" s="77"/>
      <c r="V360" s="77"/>
      <c r="W360" s="74"/>
    </row>
    <row r="361" spans="1:24" ht="18.75" customHeight="1">
      <c r="A361" s="232" t="s">
        <v>45</v>
      </c>
      <c r="B361" s="233"/>
      <c r="C361" s="233"/>
      <c r="D361" s="233"/>
      <c r="E361" s="233"/>
      <c r="F361" s="233"/>
      <c r="G361" s="77" t="s">
        <v>39</v>
      </c>
      <c r="H361" s="242" t="e">
        <f>IF(($L$1-(C345+C346+C347+C348))&gt;12,0,F342*8%)</f>
        <v>#REF!</v>
      </c>
      <c r="I361" s="242"/>
      <c r="J361" s="242"/>
      <c r="K361" s="74" t="s">
        <v>38</v>
      </c>
      <c r="M361" s="232" t="s">
        <v>45</v>
      </c>
      <c r="N361" s="233"/>
      <c r="O361" s="233"/>
      <c r="P361" s="233"/>
      <c r="Q361" s="233"/>
      <c r="R361" s="233"/>
      <c r="S361" s="77" t="s">
        <v>39</v>
      </c>
      <c r="T361" s="242" t="e">
        <f>IF(($L$1-(O345+O346+O347+O348))&gt;12,0,R342*8%)</f>
        <v>#REF!</v>
      </c>
      <c r="U361" s="242"/>
      <c r="V361" s="242"/>
      <c r="W361" s="74" t="s">
        <v>38</v>
      </c>
    </row>
    <row r="362" spans="1:24" ht="18.75" customHeight="1">
      <c r="A362" s="232" t="s">
        <v>44</v>
      </c>
      <c r="B362" s="233"/>
      <c r="C362" s="233"/>
      <c r="D362" s="233"/>
      <c r="E362" s="233"/>
      <c r="F362" s="233"/>
      <c r="G362" s="77" t="s">
        <v>39</v>
      </c>
      <c r="H362" s="243" t="e">
        <f>IF(($L$1-(C345+C346+C347+C348))&gt;12,0,F342*1.5%)</f>
        <v>#REF!</v>
      </c>
      <c r="I362" s="243"/>
      <c r="J362" s="243"/>
      <c r="K362" s="74" t="s">
        <v>38</v>
      </c>
      <c r="M362" s="232" t="s">
        <v>44</v>
      </c>
      <c r="N362" s="233"/>
      <c r="O362" s="233"/>
      <c r="P362" s="233"/>
      <c r="Q362" s="233"/>
      <c r="R362" s="233"/>
      <c r="S362" s="77" t="s">
        <v>39</v>
      </c>
      <c r="T362" s="243" t="e">
        <f>IF(($L$1-(O345+O346+O347+O348))&gt;12,0,R342*1.5%)</f>
        <v>#REF!</v>
      </c>
      <c r="U362" s="243"/>
      <c r="V362" s="243"/>
      <c r="W362" s="74" t="s">
        <v>38</v>
      </c>
    </row>
    <row r="363" spans="1:24" ht="18.75" customHeight="1">
      <c r="A363" s="232" t="s">
        <v>43</v>
      </c>
      <c r="B363" s="233"/>
      <c r="C363" s="233"/>
      <c r="D363" s="233"/>
      <c r="E363" s="233"/>
      <c r="F363" s="233"/>
      <c r="G363" s="77" t="s">
        <v>39</v>
      </c>
      <c r="H363" s="243" t="e">
        <f>IF(($L$1-(C345+C346+C347+C348))&gt;12,0,F342*1%)</f>
        <v>#REF!</v>
      </c>
      <c r="I363" s="243"/>
      <c r="J363" s="243"/>
      <c r="K363" s="74" t="s">
        <v>38</v>
      </c>
      <c r="M363" s="232" t="s">
        <v>43</v>
      </c>
      <c r="N363" s="233"/>
      <c r="O363" s="233"/>
      <c r="P363" s="233"/>
      <c r="Q363" s="233"/>
      <c r="R363" s="233"/>
      <c r="S363" s="77" t="s">
        <v>39</v>
      </c>
      <c r="T363" s="243" t="e">
        <f>IF(($L$1-(O345+O346+O347+O348))&gt;12,0,R342*1%)</f>
        <v>#REF!</v>
      </c>
      <c r="U363" s="243"/>
      <c r="V363" s="243"/>
      <c r="W363" s="74" t="s">
        <v>38</v>
      </c>
    </row>
    <row r="364" spans="1:24" ht="18.75" customHeight="1">
      <c r="A364" s="232" t="s">
        <v>42</v>
      </c>
      <c r="B364" s="233"/>
      <c r="C364" s="233"/>
      <c r="D364" s="233"/>
      <c r="E364" s="233"/>
      <c r="F364" s="233"/>
      <c r="G364" s="77" t="s">
        <v>39</v>
      </c>
      <c r="H364" s="243">
        <v>0</v>
      </c>
      <c r="I364" s="243"/>
      <c r="J364" s="243"/>
      <c r="K364" s="74" t="s">
        <v>38</v>
      </c>
      <c r="M364" s="232" t="s">
        <v>42</v>
      </c>
      <c r="N364" s="233"/>
      <c r="O364" s="233"/>
      <c r="P364" s="233"/>
      <c r="Q364" s="233"/>
      <c r="R364" s="233"/>
      <c r="S364" s="77" t="s">
        <v>39</v>
      </c>
      <c r="T364" s="243">
        <v>0</v>
      </c>
      <c r="U364" s="243"/>
      <c r="V364" s="243"/>
      <c r="W364" s="74" t="s">
        <v>38</v>
      </c>
    </row>
    <row r="365" spans="1:24" ht="18.75" customHeight="1">
      <c r="A365" s="244" t="s">
        <v>41</v>
      </c>
      <c r="B365" s="245"/>
      <c r="C365" s="245"/>
      <c r="D365" s="245"/>
      <c r="E365" s="245"/>
      <c r="F365" s="245"/>
      <c r="G365" s="77" t="s">
        <v>39</v>
      </c>
      <c r="H365" s="246" t="e">
        <f>SUM(H361:J364)</f>
        <v>#REF!</v>
      </c>
      <c r="I365" s="246"/>
      <c r="J365" s="246"/>
      <c r="K365" s="74" t="s">
        <v>38</v>
      </c>
      <c r="M365" s="244" t="s">
        <v>41</v>
      </c>
      <c r="N365" s="245"/>
      <c r="O365" s="245"/>
      <c r="P365" s="245"/>
      <c r="Q365" s="245"/>
      <c r="R365" s="245"/>
      <c r="S365" s="77" t="s">
        <v>39</v>
      </c>
      <c r="T365" s="246" t="e">
        <f>SUM(T361:V364)</f>
        <v>#REF!</v>
      </c>
      <c r="U365" s="246"/>
      <c r="V365" s="246"/>
      <c r="W365" s="74" t="s">
        <v>38</v>
      </c>
    </row>
    <row r="366" spans="1:24" ht="18.75" customHeight="1">
      <c r="A366" s="232" t="s">
        <v>40</v>
      </c>
      <c r="B366" s="233"/>
      <c r="C366" s="233"/>
      <c r="D366" s="233"/>
      <c r="E366" s="233"/>
      <c r="F366" s="233"/>
      <c r="G366" s="77" t="s">
        <v>39</v>
      </c>
      <c r="H366" s="234" t="e">
        <f>ROUND(H358-H365,-2)</f>
        <v>#REF!</v>
      </c>
      <c r="I366" s="234"/>
      <c r="J366" s="234"/>
      <c r="K366" s="74" t="s">
        <v>38</v>
      </c>
      <c r="M366" s="232" t="s">
        <v>40</v>
      </c>
      <c r="N366" s="233"/>
      <c r="O366" s="233"/>
      <c r="P366" s="233"/>
      <c r="Q366" s="233"/>
      <c r="R366" s="233"/>
      <c r="S366" s="77" t="s">
        <v>39</v>
      </c>
      <c r="T366" s="234" t="e">
        <f>ROUND(T358-T365,-2)</f>
        <v>#REF!</v>
      </c>
      <c r="U366" s="234"/>
      <c r="V366" s="234"/>
      <c r="W366" s="74" t="s">
        <v>38</v>
      </c>
    </row>
    <row r="367" spans="1:24" ht="18.75" customHeight="1">
      <c r="A367" s="91"/>
      <c r="B367" s="90"/>
      <c r="C367" s="90"/>
      <c r="D367" s="90"/>
      <c r="E367" s="90"/>
      <c r="F367" s="90"/>
      <c r="G367" s="90"/>
      <c r="H367" s="90"/>
      <c r="I367" s="90"/>
      <c r="J367" s="90"/>
      <c r="K367" s="89"/>
      <c r="M367" s="91"/>
      <c r="N367" s="90"/>
      <c r="O367" s="90"/>
      <c r="P367" s="90"/>
      <c r="Q367" s="90"/>
      <c r="R367" s="90"/>
      <c r="S367" s="90"/>
      <c r="T367" s="90"/>
      <c r="U367" s="90"/>
      <c r="V367" s="90"/>
      <c r="W367" s="89"/>
    </row>
    <row r="368" spans="1:24" ht="18.75" customHeight="1">
      <c r="A368" s="88"/>
      <c r="B368" s="77"/>
      <c r="C368" s="77"/>
      <c r="D368" s="77"/>
      <c r="E368" s="77"/>
      <c r="F368" s="77"/>
      <c r="G368" s="77"/>
      <c r="H368" s="77"/>
      <c r="I368" s="235" t="s">
        <v>37</v>
      </c>
      <c r="J368" s="235"/>
      <c r="K368" s="236"/>
      <c r="M368" s="88"/>
      <c r="N368" s="77"/>
      <c r="O368" s="77"/>
      <c r="P368" s="77"/>
      <c r="Q368" s="77"/>
      <c r="R368" s="77"/>
      <c r="S368" s="77"/>
      <c r="T368" s="77"/>
      <c r="U368" s="235" t="s">
        <v>37</v>
      </c>
      <c r="V368" s="235"/>
      <c r="W368" s="236"/>
    </row>
    <row r="369" spans="1:24" ht="18.75" customHeight="1">
      <c r="A369" s="88"/>
      <c r="B369" s="235"/>
      <c r="C369" s="235"/>
      <c r="D369" s="235"/>
      <c r="E369" s="235"/>
      <c r="F369" s="77"/>
      <c r="G369" s="77"/>
      <c r="H369" s="77"/>
      <c r="I369" s="77"/>
      <c r="J369" s="77"/>
      <c r="K369" s="82"/>
      <c r="M369" s="88"/>
      <c r="N369" s="235"/>
      <c r="O369" s="235"/>
      <c r="P369" s="235"/>
      <c r="Q369" s="235"/>
      <c r="R369" s="77"/>
      <c r="S369" s="77"/>
      <c r="T369" s="77"/>
      <c r="U369" s="77"/>
      <c r="V369" s="77"/>
      <c r="W369" s="82"/>
    </row>
    <row r="370" spans="1:24" ht="18.75" customHeight="1" thickBot="1">
      <c r="A370" s="87"/>
      <c r="B370" s="86"/>
      <c r="C370" s="86"/>
      <c r="D370" s="86"/>
      <c r="E370" s="86"/>
      <c r="F370" s="86"/>
      <c r="G370" s="86"/>
      <c r="H370" s="86"/>
      <c r="I370" s="237" t="s">
        <v>36</v>
      </c>
      <c r="J370" s="237"/>
      <c r="K370" s="238"/>
      <c r="M370" s="87"/>
      <c r="N370" s="86"/>
      <c r="O370" s="86"/>
      <c r="P370" s="86"/>
      <c r="Q370" s="86"/>
      <c r="R370" s="86"/>
      <c r="S370" s="86"/>
      <c r="T370" s="86"/>
      <c r="U370" s="237" t="s">
        <v>36</v>
      </c>
      <c r="V370" s="237"/>
      <c r="W370" s="238"/>
    </row>
    <row r="372" spans="1:24" ht="18.75" customHeight="1" thickTop="1">
      <c r="A372" s="239" t="s">
        <v>87</v>
      </c>
      <c r="B372" s="240"/>
      <c r="C372" s="240"/>
      <c r="D372" s="240"/>
      <c r="E372" s="240"/>
      <c r="F372" s="240"/>
      <c r="G372" s="240"/>
      <c r="H372" s="240"/>
      <c r="I372" s="240"/>
      <c r="J372" s="240"/>
      <c r="K372" s="241"/>
      <c r="L372" s="72">
        <v>25</v>
      </c>
      <c r="M372" s="239" t="s">
        <v>87</v>
      </c>
      <c r="N372" s="240"/>
      <c r="O372" s="240"/>
      <c r="P372" s="240"/>
      <c r="Q372" s="240"/>
      <c r="R372" s="240"/>
      <c r="S372" s="240"/>
      <c r="T372" s="240"/>
      <c r="U372" s="240"/>
      <c r="V372" s="240"/>
      <c r="W372" s="241"/>
      <c r="X372" s="72">
        <v>25</v>
      </c>
    </row>
    <row r="373" spans="1:24" ht="18.75" customHeight="1">
      <c r="A373" s="85" t="s">
        <v>129</v>
      </c>
      <c r="B373" s="84"/>
      <c r="C373" s="84"/>
      <c r="D373" s="84"/>
      <c r="E373" s="84"/>
      <c r="F373" s="84"/>
      <c r="G373" s="84"/>
      <c r="H373" s="84"/>
      <c r="I373" s="84"/>
      <c r="J373" s="84"/>
      <c r="K373" s="83"/>
      <c r="M373" s="85" t="s">
        <v>128</v>
      </c>
      <c r="N373" s="84"/>
      <c r="O373" s="84"/>
      <c r="P373" s="84"/>
      <c r="Q373" s="84"/>
      <c r="R373" s="84"/>
      <c r="S373" s="84"/>
      <c r="T373" s="84"/>
      <c r="U373" s="84"/>
      <c r="V373" s="84"/>
      <c r="W373" s="83"/>
    </row>
    <row r="374" spans="1:24" ht="18.75" customHeight="1">
      <c r="A374" s="227" t="s">
        <v>84</v>
      </c>
      <c r="B374" s="228"/>
      <c r="C374" s="228"/>
      <c r="D374" s="228"/>
      <c r="E374" s="228"/>
      <c r="F374" s="228"/>
      <c r="G374" s="228"/>
      <c r="H374" s="228"/>
      <c r="I374" s="228"/>
      <c r="J374" s="228"/>
      <c r="K374" s="229"/>
      <c r="M374" s="227" t="s">
        <v>84</v>
      </c>
      <c r="N374" s="228"/>
      <c r="O374" s="228"/>
      <c r="P374" s="228"/>
      <c r="Q374" s="228"/>
      <c r="R374" s="228"/>
      <c r="S374" s="228"/>
      <c r="T374" s="228"/>
      <c r="U374" s="228"/>
      <c r="V374" s="228"/>
      <c r="W374" s="229"/>
    </row>
    <row r="375" spans="1:24" ht="18.75" customHeight="1">
      <c r="A375" s="222" t="s">
        <v>83</v>
      </c>
      <c r="B375" s="223"/>
      <c r="C375" s="223"/>
      <c r="D375" s="223"/>
      <c r="E375" s="77" t="s">
        <v>39</v>
      </c>
      <c r="F375" s="224">
        <f>'[3]Bang TH nop'!B40</f>
        <v>0</v>
      </c>
      <c r="G375" s="223"/>
      <c r="H375" s="223"/>
      <c r="I375" s="223"/>
      <c r="J375" s="223"/>
      <c r="K375" s="226"/>
      <c r="M375" s="222" t="s">
        <v>83</v>
      </c>
      <c r="N375" s="223"/>
      <c r="O375" s="223"/>
      <c r="P375" s="223"/>
      <c r="Q375" s="77" t="s">
        <v>39</v>
      </c>
      <c r="R375" s="224">
        <f>'[3]Bang TH nop'!B42</f>
        <v>0</v>
      </c>
      <c r="S375" s="223"/>
      <c r="T375" s="223"/>
      <c r="U375" s="223"/>
      <c r="V375" s="223"/>
      <c r="W375" s="226"/>
    </row>
    <row r="376" spans="1:24" ht="18.75" customHeight="1">
      <c r="A376" s="222" t="s">
        <v>82</v>
      </c>
      <c r="B376" s="223"/>
      <c r="C376" s="223"/>
      <c r="D376" s="223"/>
      <c r="E376" s="77" t="s">
        <v>39</v>
      </c>
      <c r="F376" s="224">
        <f>'[3]Bang TH nop'!C40</f>
        <v>0</v>
      </c>
      <c r="G376" s="224"/>
      <c r="H376" s="224"/>
      <c r="I376" s="224"/>
      <c r="J376" s="224"/>
      <c r="K376" s="225"/>
      <c r="M376" s="222" t="s">
        <v>82</v>
      </c>
      <c r="N376" s="223"/>
      <c r="O376" s="223"/>
      <c r="P376" s="223"/>
      <c r="Q376" s="77" t="s">
        <v>39</v>
      </c>
      <c r="R376" s="224">
        <f>'[3]Bang TH nop'!C42</f>
        <v>0</v>
      </c>
      <c r="S376" s="224"/>
      <c r="T376" s="224"/>
      <c r="U376" s="224"/>
      <c r="V376" s="224"/>
      <c r="W376" s="225"/>
    </row>
    <row r="377" spans="1:24" ht="18.75" customHeight="1">
      <c r="A377" s="222" t="s">
        <v>81</v>
      </c>
      <c r="B377" s="223"/>
      <c r="C377" s="223"/>
      <c r="D377" s="223"/>
      <c r="E377" s="77" t="s">
        <v>39</v>
      </c>
      <c r="F377" s="223" t="s">
        <v>80</v>
      </c>
      <c r="G377" s="223"/>
      <c r="H377" s="223"/>
      <c r="I377" s="223"/>
      <c r="J377" s="223"/>
      <c r="K377" s="226"/>
      <c r="M377" s="222" t="s">
        <v>81</v>
      </c>
      <c r="N377" s="223"/>
      <c r="O377" s="223"/>
      <c r="P377" s="223"/>
      <c r="Q377" s="77" t="s">
        <v>39</v>
      </c>
      <c r="R377" s="223" t="s">
        <v>80</v>
      </c>
      <c r="S377" s="223"/>
      <c r="T377" s="223"/>
      <c r="U377" s="223"/>
      <c r="V377" s="223"/>
      <c r="W377" s="226"/>
    </row>
    <row r="378" spans="1:24" ht="18.75" customHeight="1">
      <c r="A378" s="227" t="s">
        <v>79</v>
      </c>
      <c r="B378" s="228"/>
      <c r="C378" s="228"/>
      <c r="D378" s="228"/>
      <c r="E378" s="228"/>
      <c r="F378" s="228"/>
      <c r="G378" s="228"/>
      <c r="H378" s="228"/>
      <c r="I378" s="228"/>
      <c r="J378" s="228"/>
      <c r="K378" s="229"/>
      <c r="M378" s="227" t="s">
        <v>79</v>
      </c>
      <c r="N378" s="228"/>
      <c r="O378" s="228"/>
      <c r="P378" s="228"/>
      <c r="Q378" s="228"/>
      <c r="R378" s="228"/>
      <c r="S378" s="228"/>
      <c r="T378" s="228"/>
      <c r="U378" s="228"/>
      <c r="V378" s="228"/>
      <c r="W378" s="229"/>
    </row>
    <row r="379" spans="1:24" ht="18.75" customHeight="1">
      <c r="A379" s="222" t="s">
        <v>78</v>
      </c>
      <c r="B379" s="223"/>
      <c r="C379" s="223"/>
      <c r="D379" s="223"/>
      <c r="E379" s="77" t="s">
        <v>39</v>
      </c>
      <c r="F379" s="230">
        <v>2915400</v>
      </c>
      <c r="G379" s="230"/>
      <c r="H379" s="230"/>
      <c r="I379" s="230"/>
      <c r="J379" s="77" t="s">
        <v>38</v>
      </c>
      <c r="K379" s="82"/>
      <c r="M379" s="222" t="s">
        <v>78</v>
      </c>
      <c r="N379" s="223"/>
      <c r="O379" s="223"/>
      <c r="P379" s="223"/>
      <c r="Q379" s="77" t="s">
        <v>39</v>
      </c>
      <c r="R379" s="230">
        <v>2915400</v>
      </c>
      <c r="S379" s="230"/>
      <c r="T379" s="230"/>
      <c r="U379" s="230"/>
      <c r="V379" s="77" t="s">
        <v>38</v>
      </c>
      <c r="W379" s="82"/>
    </row>
    <row r="380" spans="1:24" ht="18.75" customHeight="1">
      <c r="A380" s="81" t="s">
        <v>77</v>
      </c>
      <c r="B380" s="77"/>
      <c r="C380" s="80"/>
      <c r="D380" s="79"/>
      <c r="E380" s="78"/>
      <c r="F380" s="78"/>
      <c r="G380" s="78"/>
      <c r="H380" s="77"/>
      <c r="I380" s="76" t="e">
        <f>#REF!</f>
        <v>#REF!</v>
      </c>
      <c r="J380" s="75"/>
      <c r="K380" s="74"/>
      <c r="M380" s="81" t="s">
        <v>77</v>
      </c>
      <c r="N380" s="77"/>
      <c r="O380" s="80"/>
      <c r="P380" s="79"/>
      <c r="Q380" s="78"/>
      <c r="R380" s="78"/>
      <c r="S380" s="78"/>
      <c r="T380" s="77"/>
      <c r="U380" s="76" t="e">
        <f>#REF!</f>
        <v>#REF!</v>
      </c>
      <c r="V380" s="75"/>
      <c r="W380" s="74"/>
    </row>
    <row r="381" spans="1:24" ht="18.75" customHeight="1">
      <c r="A381" s="81" t="s">
        <v>76</v>
      </c>
      <c r="B381" s="77"/>
      <c r="C381" s="80"/>
      <c r="D381" s="79"/>
      <c r="E381" s="78"/>
      <c r="F381" s="78"/>
      <c r="G381" s="78"/>
      <c r="H381" s="77"/>
      <c r="I381" s="76" t="e">
        <f>I382/C382/8</f>
        <v>#REF!</v>
      </c>
      <c r="J381" s="75"/>
      <c r="K381" s="74"/>
      <c r="M381" s="81" t="s">
        <v>76</v>
      </c>
      <c r="N381" s="77"/>
      <c r="O381" s="80"/>
      <c r="P381" s="79"/>
      <c r="Q381" s="78"/>
      <c r="R381" s="78"/>
      <c r="S381" s="78"/>
      <c r="T381" s="77"/>
      <c r="U381" s="76" t="e">
        <f>U382/O382/8</f>
        <v>#REF!</v>
      </c>
      <c r="V381" s="75"/>
      <c r="W381" s="74"/>
    </row>
    <row r="382" spans="1:24" ht="18.75" customHeight="1">
      <c r="A382" s="81" t="s">
        <v>75</v>
      </c>
      <c r="B382" s="77" t="s">
        <v>39</v>
      </c>
      <c r="C382" s="80" t="e">
        <f>#REF!</f>
        <v>#REF!</v>
      </c>
      <c r="D382" s="79" t="s">
        <v>52</v>
      </c>
      <c r="E382" s="249" t="s">
        <v>74</v>
      </c>
      <c r="F382" s="249"/>
      <c r="G382" s="249"/>
      <c r="H382" s="77" t="s">
        <v>39</v>
      </c>
      <c r="I382" s="255" t="e">
        <f>#REF!</f>
        <v>#REF!</v>
      </c>
      <c r="J382" s="255"/>
      <c r="K382" s="74" t="s">
        <v>38</v>
      </c>
      <c r="L382" s="95" t="e">
        <f>F379/L372*C382</f>
        <v>#REF!</v>
      </c>
      <c r="M382" s="81" t="s">
        <v>75</v>
      </c>
      <c r="N382" s="77" t="s">
        <v>39</v>
      </c>
      <c r="O382" s="80" t="e">
        <f>#REF!</f>
        <v>#REF!</v>
      </c>
      <c r="P382" s="79" t="s">
        <v>52</v>
      </c>
      <c r="Q382" s="249" t="s">
        <v>74</v>
      </c>
      <c r="R382" s="249"/>
      <c r="S382" s="249"/>
      <c r="T382" s="77" t="s">
        <v>39</v>
      </c>
      <c r="U382" s="255" t="e">
        <f>#REF!</f>
        <v>#REF!</v>
      </c>
      <c r="V382" s="255"/>
      <c r="W382" s="74" t="s">
        <v>38</v>
      </c>
      <c r="X382" s="95" t="e">
        <f>R379/X372*O382</f>
        <v>#REF!</v>
      </c>
    </row>
    <row r="383" spans="1:24" ht="18.75" customHeight="1">
      <c r="A383" s="81" t="s">
        <v>73</v>
      </c>
      <c r="B383" s="77" t="s">
        <v>39</v>
      </c>
      <c r="C383" s="80" t="e">
        <f>#REF!</f>
        <v>#REF!</v>
      </c>
      <c r="D383" s="79" t="s">
        <v>52</v>
      </c>
      <c r="E383" s="223" t="s">
        <v>72</v>
      </c>
      <c r="F383" s="223"/>
      <c r="G383" s="223"/>
      <c r="H383" s="77" t="s">
        <v>39</v>
      </c>
      <c r="I383" s="247" t="e">
        <f>$F$8/$L$1*C383</f>
        <v>#REF!</v>
      </c>
      <c r="J383" s="247"/>
      <c r="K383" s="74" t="s">
        <v>38</v>
      </c>
      <c r="L383" s="95"/>
      <c r="M383" s="81" t="s">
        <v>73</v>
      </c>
      <c r="N383" s="77" t="s">
        <v>39</v>
      </c>
      <c r="O383" s="80" t="e">
        <f>#REF!</f>
        <v>#REF!</v>
      </c>
      <c r="P383" s="79" t="s">
        <v>52</v>
      </c>
      <c r="Q383" s="223" t="s">
        <v>72</v>
      </c>
      <c r="R383" s="223"/>
      <c r="S383" s="223"/>
      <c r="T383" s="77" t="s">
        <v>39</v>
      </c>
      <c r="U383" s="247" t="e">
        <f>$F$8/$L$1*O383</f>
        <v>#REF!</v>
      </c>
      <c r="V383" s="247"/>
      <c r="W383" s="74" t="s">
        <v>38</v>
      </c>
      <c r="X383" s="95"/>
    </row>
    <row r="384" spans="1:24" ht="18.75" customHeight="1">
      <c r="A384" s="81" t="s">
        <v>71</v>
      </c>
      <c r="B384" s="77" t="s">
        <v>39</v>
      </c>
      <c r="C384" s="80" t="e">
        <f>#REF!</f>
        <v>#REF!</v>
      </c>
      <c r="D384" s="79" t="s">
        <v>52</v>
      </c>
      <c r="E384" s="256" t="s">
        <v>70</v>
      </c>
      <c r="F384" s="256"/>
      <c r="G384" s="256"/>
      <c r="H384" s="77" t="s">
        <v>39</v>
      </c>
      <c r="I384" s="247" t="e">
        <f>$F$8/$L$1*C384</f>
        <v>#REF!</v>
      </c>
      <c r="J384" s="247"/>
      <c r="K384" s="74" t="s">
        <v>38</v>
      </c>
      <c r="L384" s="95"/>
      <c r="M384" s="81" t="s">
        <v>71</v>
      </c>
      <c r="N384" s="77" t="s">
        <v>39</v>
      </c>
      <c r="O384" s="80" t="e">
        <f>#REF!</f>
        <v>#REF!</v>
      </c>
      <c r="P384" s="79" t="s">
        <v>52</v>
      </c>
      <c r="Q384" s="256" t="s">
        <v>70</v>
      </c>
      <c r="R384" s="256"/>
      <c r="S384" s="256"/>
      <c r="T384" s="77" t="s">
        <v>39</v>
      </c>
      <c r="U384" s="247" t="e">
        <f>$F$8/$L$1*O384</f>
        <v>#REF!</v>
      </c>
      <c r="V384" s="247"/>
      <c r="W384" s="74" t="s">
        <v>38</v>
      </c>
      <c r="X384" s="95"/>
    </row>
    <row r="385" spans="1:24" ht="18.75" customHeight="1">
      <c r="A385" s="81" t="s">
        <v>69</v>
      </c>
      <c r="B385" s="77" t="s">
        <v>39</v>
      </c>
      <c r="C385" s="80" t="e">
        <f>#REF!</f>
        <v>#REF!</v>
      </c>
      <c r="D385" s="79" t="s">
        <v>52</v>
      </c>
      <c r="E385" s="256" t="s">
        <v>68</v>
      </c>
      <c r="F385" s="256"/>
      <c r="G385" s="256"/>
      <c r="H385" s="77" t="s">
        <v>39</v>
      </c>
      <c r="I385" s="247" t="e">
        <f>$F$8/$L$1*C385</f>
        <v>#REF!</v>
      </c>
      <c r="J385" s="247"/>
      <c r="K385" s="74" t="s">
        <v>38</v>
      </c>
      <c r="L385" s="95"/>
      <c r="M385" s="81" t="s">
        <v>69</v>
      </c>
      <c r="N385" s="77" t="s">
        <v>39</v>
      </c>
      <c r="O385" s="80" t="e">
        <f>#REF!</f>
        <v>#REF!</v>
      </c>
      <c r="P385" s="79" t="s">
        <v>52</v>
      </c>
      <c r="Q385" s="256" t="s">
        <v>68</v>
      </c>
      <c r="R385" s="256"/>
      <c r="S385" s="256"/>
      <c r="T385" s="77" t="s">
        <v>39</v>
      </c>
      <c r="U385" s="247" t="e">
        <f>$F$8/$L$1*O385</f>
        <v>#REF!</v>
      </c>
      <c r="V385" s="247"/>
      <c r="W385" s="74" t="s">
        <v>38</v>
      </c>
      <c r="X385" s="95"/>
    </row>
    <row r="386" spans="1:24" ht="18.75" customHeight="1">
      <c r="A386" s="81" t="s">
        <v>67</v>
      </c>
      <c r="B386" s="77" t="s">
        <v>39</v>
      </c>
      <c r="C386" s="80" t="e">
        <f>#REF!</f>
        <v>#REF!</v>
      </c>
      <c r="D386" s="79" t="s">
        <v>58</v>
      </c>
      <c r="E386" s="223" t="s">
        <v>66</v>
      </c>
      <c r="F386" s="223"/>
      <c r="G386" s="223"/>
      <c r="H386" s="77" t="s">
        <v>39</v>
      </c>
      <c r="I386" s="247" t="e">
        <f>#REF!</f>
        <v>#REF!</v>
      </c>
      <c r="J386" s="247"/>
      <c r="K386" s="74" t="s">
        <v>38</v>
      </c>
      <c r="L386" s="95" t="e">
        <f>F379*C386/L372/8*1.5</f>
        <v>#REF!</v>
      </c>
      <c r="M386" s="81" t="s">
        <v>67</v>
      </c>
      <c r="N386" s="77" t="s">
        <v>39</v>
      </c>
      <c r="O386" s="80" t="e">
        <f>#REF!</f>
        <v>#REF!</v>
      </c>
      <c r="P386" s="79" t="s">
        <v>58</v>
      </c>
      <c r="Q386" s="223" t="s">
        <v>66</v>
      </c>
      <c r="R386" s="223"/>
      <c r="S386" s="223"/>
      <c r="T386" s="77" t="s">
        <v>39</v>
      </c>
      <c r="U386" s="247" t="e">
        <f>#REF!</f>
        <v>#REF!</v>
      </c>
      <c r="V386" s="247"/>
      <c r="W386" s="74" t="s">
        <v>38</v>
      </c>
      <c r="X386" s="95" t="e">
        <f>R379*O386/X372/8*1.5</f>
        <v>#REF!</v>
      </c>
    </row>
    <row r="387" spans="1:24" ht="18.75" customHeight="1">
      <c r="A387" s="222" t="s">
        <v>65</v>
      </c>
      <c r="B387" s="223"/>
      <c r="C387" s="80"/>
      <c r="D387" s="79" t="s">
        <v>52</v>
      </c>
      <c r="E387" s="223" t="s">
        <v>64</v>
      </c>
      <c r="F387" s="223"/>
      <c r="G387" s="223"/>
      <c r="H387" s="100" t="s">
        <v>39</v>
      </c>
      <c r="I387" s="247"/>
      <c r="J387" s="247"/>
      <c r="K387" s="74" t="s">
        <v>38</v>
      </c>
      <c r="L387" s="95"/>
      <c r="M387" s="222" t="s">
        <v>65</v>
      </c>
      <c r="N387" s="223"/>
      <c r="O387" s="80"/>
      <c r="P387" s="79" t="s">
        <v>52</v>
      </c>
      <c r="Q387" s="223" t="s">
        <v>64</v>
      </c>
      <c r="R387" s="223"/>
      <c r="S387" s="223"/>
      <c r="T387" s="100" t="s">
        <v>39</v>
      </c>
      <c r="U387" s="247"/>
      <c r="V387" s="247"/>
      <c r="W387" s="74" t="s">
        <v>38</v>
      </c>
      <c r="X387" s="95"/>
    </row>
    <row r="388" spans="1:24" ht="18.75" customHeight="1">
      <c r="A388" s="81" t="s">
        <v>63</v>
      </c>
      <c r="B388" s="77" t="s">
        <v>39</v>
      </c>
      <c r="C388" s="80"/>
      <c r="D388" s="79" t="s">
        <v>52</v>
      </c>
      <c r="E388" s="223" t="s">
        <v>62</v>
      </c>
      <c r="F388" s="223"/>
      <c r="G388" s="223"/>
      <c r="H388" s="77" t="s">
        <v>39</v>
      </c>
      <c r="I388" s="247"/>
      <c r="J388" s="247"/>
      <c r="K388" s="74" t="s">
        <v>38</v>
      </c>
      <c r="L388" s="95"/>
      <c r="M388" s="81" t="s">
        <v>63</v>
      </c>
      <c r="N388" s="77" t="s">
        <v>39</v>
      </c>
      <c r="O388" s="80"/>
      <c r="P388" s="79" t="s">
        <v>52</v>
      </c>
      <c r="Q388" s="223" t="s">
        <v>62</v>
      </c>
      <c r="R388" s="223"/>
      <c r="S388" s="223"/>
      <c r="T388" s="77" t="s">
        <v>39</v>
      </c>
      <c r="U388" s="247"/>
      <c r="V388" s="247"/>
      <c r="W388" s="74" t="s">
        <v>38</v>
      </c>
      <c r="X388" s="95"/>
    </row>
    <row r="389" spans="1:24" ht="18.75" customHeight="1">
      <c r="A389" s="99" t="s">
        <v>61</v>
      </c>
      <c r="B389" s="77"/>
      <c r="C389" s="80" t="e">
        <f>#REF!</f>
        <v>#REF!</v>
      </c>
      <c r="D389" s="79" t="s">
        <v>58</v>
      </c>
      <c r="E389" s="223" t="s">
        <v>60</v>
      </c>
      <c r="F389" s="223"/>
      <c r="G389" s="223"/>
      <c r="H389" s="77" t="s">
        <v>39</v>
      </c>
      <c r="I389" s="247" t="e">
        <f>$F$8*C389/8/$L$1</f>
        <v>#REF!</v>
      </c>
      <c r="J389" s="247"/>
      <c r="K389" s="74" t="s">
        <v>38</v>
      </c>
      <c r="L389" s="95"/>
      <c r="M389" s="99" t="s">
        <v>61</v>
      </c>
      <c r="N389" s="77"/>
      <c r="O389" s="80" t="e">
        <f>#REF!</f>
        <v>#REF!</v>
      </c>
      <c r="P389" s="79" t="s">
        <v>58</v>
      </c>
      <c r="Q389" s="223" t="s">
        <v>60</v>
      </c>
      <c r="R389" s="223"/>
      <c r="S389" s="223"/>
      <c r="T389" s="77" t="s">
        <v>39</v>
      </c>
      <c r="U389" s="247" t="e">
        <f>$F$8*O389/8/$L$1</f>
        <v>#REF!</v>
      </c>
      <c r="V389" s="247"/>
      <c r="W389" s="74" t="s">
        <v>38</v>
      </c>
      <c r="X389" s="95"/>
    </row>
    <row r="390" spans="1:24" ht="18.75" customHeight="1">
      <c r="A390" s="81" t="s">
        <v>59</v>
      </c>
      <c r="B390" s="77" t="s">
        <v>39</v>
      </c>
      <c r="C390" s="80"/>
      <c r="D390" s="79" t="s">
        <v>58</v>
      </c>
      <c r="E390" s="223" t="s">
        <v>57</v>
      </c>
      <c r="F390" s="223"/>
      <c r="G390" s="223"/>
      <c r="H390" s="77" t="s">
        <v>39</v>
      </c>
      <c r="I390" s="255"/>
      <c r="J390" s="255"/>
      <c r="K390" s="74" t="s">
        <v>38</v>
      </c>
      <c r="L390" s="95"/>
      <c r="M390" s="81" t="s">
        <v>59</v>
      </c>
      <c r="N390" s="77" t="s">
        <v>39</v>
      </c>
      <c r="O390" s="80"/>
      <c r="P390" s="79" t="s">
        <v>58</v>
      </c>
      <c r="Q390" s="223" t="s">
        <v>57</v>
      </c>
      <c r="R390" s="223"/>
      <c r="S390" s="223"/>
      <c r="T390" s="77" t="s">
        <v>39</v>
      </c>
      <c r="U390" s="255"/>
      <c r="V390" s="255"/>
      <c r="W390" s="74" t="s">
        <v>38</v>
      </c>
      <c r="X390" s="95"/>
    </row>
    <row r="391" spans="1:24" ht="18.75" customHeight="1">
      <c r="A391" s="81" t="s">
        <v>56</v>
      </c>
      <c r="B391" s="77" t="s">
        <v>39</v>
      </c>
      <c r="C391" s="80"/>
      <c r="D391" s="79" t="s">
        <v>55</v>
      </c>
      <c r="E391" s="98" t="s">
        <v>54</v>
      </c>
      <c r="F391" s="98"/>
      <c r="G391" s="98"/>
      <c r="H391" s="77" t="s">
        <v>39</v>
      </c>
      <c r="I391" s="247"/>
      <c r="J391" s="247"/>
      <c r="K391" s="74" t="s">
        <v>38</v>
      </c>
      <c r="L391" s="95" t="e">
        <f>+IF(L382-I382&lt;0,0,L382-I382)+IF(L386-I386&lt;0,0,L386-I386)</f>
        <v>#REF!</v>
      </c>
      <c r="M391" s="81" t="s">
        <v>56</v>
      </c>
      <c r="N391" s="77" t="s">
        <v>39</v>
      </c>
      <c r="O391" s="80"/>
      <c r="P391" s="79" t="s">
        <v>55</v>
      </c>
      <c r="Q391" s="98" t="s">
        <v>54</v>
      </c>
      <c r="R391" s="98"/>
      <c r="S391" s="98"/>
      <c r="T391" s="77" t="s">
        <v>39</v>
      </c>
      <c r="U391" s="247"/>
      <c r="V391" s="247"/>
      <c r="W391" s="74" t="s">
        <v>38</v>
      </c>
      <c r="X391" s="95" t="e">
        <f>+IF(X382-U382&lt;0,0,X382-U382)+IF(X386-U386&lt;0,0,X386-U386)</f>
        <v>#REF!</v>
      </c>
    </row>
    <row r="392" spans="1:24" ht="18.75" customHeight="1">
      <c r="A392" s="97" t="s">
        <v>53</v>
      </c>
      <c r="B392" s="96"/>
      <c r="C392" s="80"/>
      <c r="D392" s="79" t="s">
        <v>52</v>
      </c>
      <c r="E392" s="223" t="s">
        <v>51</v>
      </c>
      <c r="F392" s="223"/>
      <c r="G392" s="223"/>
      <c r="H392" s="77" t="s">
        <v>39</v>
      </c>
      <c r="I392" s="247"/>
      <c r="J392" s="247"/>
      <c r="K392" s="74" t="s">
        <v>38</v>
      </c>
      <c r="L392" s="95"/>
      <c r="M392" s="97" t="s">
        <v>53</v>
      </c>
      <c r="N392" s="96"/>
      <c r="O392" s="80"/>
      <c r="P392" s="79" t="s">
        <v>52</v>
      </c>
      <c r="Q392" s="223" t="s">
        <v>51</v>
      </c>
      <c r="R392" s="223"/>
      <c r="S392" s="223"/>
      <c r="T392" s="77" t="s">
        <v>39</v>
      </c>
      <c r="U392" s="247"/>
      <c r="V392" s="247"/>
      <c r="W392" s="74" t="s">
        <v>38</v>
      </c>
      <c r="X392" s="95"/>
    </row>
    <row r="393" spans="1:24" ht="18.75" customHeight="1">
      <c r="A393" s="248" t="s">
        <v>50</v>
      </c>
      <c r="B393" s="249"/>
      <c r="C393" s="80"/>
      <c r="D393" s="79"/>
      <c r="E393" s="78"/>
      <c r="F393" s="78"/>
      <c r="G393" s="78"/>
      <c r="H393" s="77" t="s">
        <v>39</v>
      </c>
      <c r="I393" s="247" t="e">
        <f>#REF!</f>
        <v>#REF!</v>
      </c>
      <c r="J393" s="247"/>
      <c r="K393" s="74" t="s">
        <v>38</v>
      </c>
      <c r="L393" s="95"/>
      <c r="M393" s="248" t="s">
        <v>50</v>
      </c>
      <c r="N393" s="249"/>
      <c r="O393" s="80"/>
      <c r="P393" s="79"/>
      <c r="Q393" s="78"/>
      <c r="R393" s="78"/>
      <c r="S393" s="78"/>
      <c r="T393" s="77" t="s">
        <v>39</v>
      </c>
      <c r="U393" s="247" t="e">
        <f>#REF!</f>
        <v>#REF!</v>
      </c>
      <c r="V393" s="247"/>
      <c r="W393" s="74" t="s">
        <v>38</v>
      </c>
      <c r="X393" s="95"/>
    </row>
    <row r="394" spans="1:24" ht="18.75" customHeight="1">
      <c r="A394" s="81" t="s">
        <v>49</v>
      </c>
      <c r="B394" s="77" t="s">
        <v>39</v>
      </c>
      <c r="C394" s="80"/>
      <c r="D394" s="79"/>
      <c r="E394" s="78" t="s">
        <v>48</v>
      </c>
      <c r="F394" s="78"/>
      <c r="G394" s="78"/>
      <c r="H394" s="77" t="s">
        <v>39</v>
      </c>
      <c r="I394" s="247" t="e">
        <f>L391</f>
        <v>#REF!</v>
      </c>
      <c r="J394" s="247"/>
      <c r="K394" s="74" t="s">
        <v>38</v>
      </c>
      <c r="L394" s="95"/>
      <c r="M394" s="81" t="s">
        <v>49</v>
      </c>
      <c r="N394" s="77" t="s">
        <v>39</v>
      </c>
      <c r="O394" s="80"/>
      <c r="P394" s="79"/>
      <c r="Q394" s="78" t="s">
        <v>48</v>
      </c>
      <c r="R394" s="78"/>
      <c r="S394" s="78"/>
      <c r="T394" s="77" t="s">
        <v>39</v>
      </c>
      <c r="U394" s="247" t="e">
        <f>X391</f>
        <v>#REF!</v>
      </c>
      <c r="V394" s="247"/>
      <c r="W394" s="74" t="s">
        <v>38</v>
      </c>
      <c r="X394" s="95"/>
    </row>
    <row r="395" spans="1:24" ht="18.75" customHeight="1">
      <c r="A395" s="250" t="s">
        <v>47</v>
      </c>
      <c r="B395" s="251"/>
      <c r="C395" s="251"/>
      <c r="D395" s="251"/>
      <c r="E395" s="251"/>
      <c r="F395" s="251"/>
      <c r="G395" s="77" t="s">
        <v>39</v>
      </c>
      <c r="H395" s="252" t="e">
        <f>I382+I383+I384+I385+I386+I389+I393+I394</f>
        <v>#REF!</v>
      </c>
      <c r="I395" s="252"/>
      <c r="J395" s="252"/>
      <c r="K395" s="74" t="s">
        <v>38</v>
      </c>
      <c r="M395" s="250" t="s">
        <v>47</v>
      </c>
      <c r="N395" s="251"/>
      <c r="O395" s="251"/>
      <c r="P395" s="251"/>
      <c r="Q395" s="251"/>
      <c r="R395" s="251"/>
      <c r="S395" s="77" t="s">
        <v>39</v>
      </c>
      <c r="T395" s="252" t="e">
        <f>U382+U383+U384+U385+U386+U389+U393+U394</f>
        <v>#REF!</v>
      </c>
      <c r="U395" s="252"/>
      <c r="V395" s="252"/>
      <c r="W395" s="74" t="s">
        <v>38</v>
      </c>
    </row>
    <row r="396" spans="1:24" ht="18.75" customHeight="1">
      <c r="A396" s="94"/>
      <c r="B396" s="93"/>
      <c r="C396" s="93"/>
      <c r="D396" s="93"/>
      <c r="E396" s="93"/>
      <c r="F396" s="93"/>
      <c r="G396" s="93"/>
      <c r="H396" s="93"/>
      <c r="I396" s="93"/>
      <c r="J396" s="93"/>
      <c r="K396" s="92"/>
      <c r="M396" s="94"/>
      <c r="N396" s="93"/>
      <c r="O396" s="93"/>
      <c r="P396" s="93"/>
      <c r="Q396" s="93"/>
      <c r="R396" s="93"/>
      <c r="S396" s="93"/>
      <c r="T396" s="93"/>
      <c r="U396" s="93"/>
      <c r="V396" s="93"/>
      <c r="W396" s="92"/>
    </row>
    <row r="397" spans="1:24" ht="18.75" customHeight="1">
      <c r="A397" s="253" t="s">
        <v>46</v>
      </c>
      <c r="B397" s="254"/>
      <c r="C397" s="254"/>
      <c r="D397" s="254"/>
      <c r="E397" s="254"/>
      <c r="F397" s="254"/>
      <c r="G397" s="77"/>
      <c r="H397" s="77"/>
      <c r="I397" s="77"/>
      <c r="J397" s="77"/>
      <c r="K397" s="74"/>
      <c r="M397" s="253" t="s">
        <v>46</v>
      </c>
      <c r="N397" s="254"/>
      <c r="O397" s="254"/>
      <c r="P397" s="254"/>
      <c r="Q397" s="254"/>
      <c r="R397" s="254"/>
      <c r="S397" s="77"/>
      <c r="T397" s="77"/>
      <c r="U397" s="77"/>
      <c r="V397" s="77"/>
      <c r="W397" s="74"/>
    </row>
    <row r="398" spans="1:24" ht="18.75" customHeight="1">
      <c r="A398" s="232" t="s">
        <v>45</v>
      </c>
      <c r="B398" s="233"/>
      <c r="C398" s="233"/>
      <c r="D398" s="233"/>
      <c r="E398" s="233"/>
      <c r="F398" s="233"/>
      <c r="G398" s="77" t="s">
        <v>39</v>
      </c>
      <c r="H398" s="242" t="e">
        <f>IF(($L$1-(C382+C383+C384+C385))&gt;12,0,F379*8%)</f>
        <v>#REF!</v>
      </c>
      <c r="I398" s="242"/>
      <c r="J398" s="242"/>
      <c r="K398" s="74" t="s">
        <v>38</v>
      </c>
      <c r="M398" s="232" t="s">
        <v>45</v>
      </c>
      <c r="N398" s="233"/>
      <c r="O398" s="233"/>
      <c r="P398" s="233"/>
      <c r="Q398" s="233"/>
      <c r="R398" s="233"/>
      <c r="S398" s="77" t="s">
        <v>39</v>
      </c>
      <c r="T398" s="242" t="e">
        <f>IF(($L$1-(O382+O383+O384+O385))&gt;12,0,R379*8%)</f>
        <v>#REF!</v>
      </c>
      <c r="U398" s="242"/>
      <c r="V398" s="242"/>
      <c r="W398" s="74" t="s">
        <v>38</v>
      </c>
    </row>
    <row r="399" spans="1:24" ht="18.75" customHeight="1">
      <c r="A399" s="232" t="s">
        <v>44</v>
      </c>
      <c r="B399" s="233"/>
      <c r="C399" s="233"/>
      <c r="D399" s="233"/>
      <c r="E399" s="233"/>
      <c r="F399" s="233"/>
      <c r="G399" s="77" t="s">
        <v>39</v>
      </c>
      <c r="H399" s="243" t="e">
        <f>IF(($L$1-(C382+C383+C384+C385))&gt;12,0,F379*1.5%)</f>
        <v>#REF!</v>
      </c>
      <c r="I399" s="243"/>
      <c r="J399" s="243"/>
      <c r="K399" s="74" t="s">
        <v>38</v>
      </c>
      <c r="M399" s="232" t="s">
        <v>44</v>
      </c>
      <c r="N399" s="233"/>
      <c r="O399" s="233"/>
      <c r="P399" s="233"/>
      <c r="Q399" s="233"/>
      <c r="R399" s="233"/>
      <c r="S399" s="77" t="s">
        <v>39</v>
      </c>
      <c r="T399" s="243" t="e">
        <f>IF(($L$1-(O382+O383+O384+O385))&gt;12,0,R379*1.5%)</f>
        <v>#REF!</v>
      </c>
      <c r="U399" s="243"/>
      <c r="V399" s="243"/>
      <c r="W399" s="74" t="s">
        <v>38</v>
      </c>
    </row>
    <row r="400" spans="1:24" ht="18.75" customHeight="1">
      <c r="A400" s="232" t="s">
        <v>43</v>
      </c>
      <c r="B400" s="233"/>
      <c r="C400" s="233"/>
      <c r="D400" s="233"/>
      <c r="E400" s="233"/>
      <c r="F400" s="233"/>
      <c r="G400" s="77" t="s">
        <v>39</v>
      </c>
      <c r="H400" s="243" t="e">
        <f>IF(($L$1-(C382+C383+C384+C385))&gt;12,0,F379*1%)</f>
        <v>#REF!</v>
      </c>
      <c r="I400" s="243"/>
      <c r="J400" s="243"/>
      <c r="K400" s="74" t="s">
        <v>38</v>
      </c>
      <c r="M400" s="232" t="s">
        <v>43</v>
      </c>
      <c r="N400" s="233"/>
      <c r="O400" s="233"/>
      <c r="P400" s="233"/>
      <c r="Q400" s="233"/>
      <c r="R400" s="233"/>
      <c r="S400" s="77" t="s">
        <v>39</v>
      </c>
      <c r="T400" s="243" t="e">
        <f>IF(($L$1-(O382+O383+O384+O385))&gt;12,0,R379*1%)</f>
        <v>#REF!</v>
      </c>
      <c r="U400" s="243"/>
      <c r="V400" s="243"/>
      <c r="W400" s="74" t="s">
        <v>38</v>
      </c>
    </row>
    <row r="401" spans="1:24" ht="18.75" customHeight="1">
      <c r="A401" s="232" t="s">
        <v>42</v>
      </c>
      <c r="B401" s="233"/>
      <c r="C401" s="233"/>
      <c r="D401" s="233"/>
      <c r="E401" s="233"/>
      <c r="F401" s="233"/>
      <c r="G401" s="77" t="s">
        <v>39</v>
      </c>
      <c r="H401" s="243">
        <v>0</v>
      </c>
      <c r="I401" s="243"/>
      <c r="J401" s="243"/>
      <c r="K401" s="74" t="s">
        <v>38</v>
      </c>
      <c r="M401" s="232" t="s">
        <v>42</v>
      </c>
      <c r="N401" s="233"/>
      <c r="O401" s="233"/>
      <c r="P401" s="233"/>
      <c r="Q401" s="233"/>
      <c r="R401" s="233"/>
      <c r="S401" s="77" t="s">
        <v>39</v>
      </c>
      <c r="T401" s="243">
        <v>0</v>
      </c>
      <c r="U401" s="243"/>
      <c r="V401" s="243"/>
      <c r="W401" s="74" t="s">
        <v>38</v>
      </c>
    </row>
    <row r="402" spans="1:24" ht="18.75" customHeight="1">
      <c r="A402" s="244" t="s">
        <v>41</v>
      </c>
      <c r="B402" s="245"/>
      <c r="C402" s="245"/>
      <c r="D402" s="245"/>
      <c r="E402" s="245"/>
      <c r="F402" s="245"/>
      <c r="G402" s="77" t="s">
        <v>39</v>
      </c>
      <c r="H402" s="246" t="e">
        <f>SUM(H398:J401)</f>
        <v>#REF!</v>
      </c>
      <c r="I402" s="246"/>
      <c r="J402" s="246"/>
      <c r="K402" s="74" t="s">
        <v>38</v>
      </c>
      <c r="M402" s="244" t="s">
        <v>41</v>
      </c>
      <c r="N402" s="245"/>
      <c r="O402" s="245"/>
      <c r="P402" s="245"/>
      <c r="Q402" s="245"/>
      <c r="R402" s="245"/>
      <c r="S402" s="77" t="s">
        <v>39</v>
      </c>
      <c r="T402" s="246" t="e">
        <f>SUM(T398:V401)</f>
        <v>#REF!</v>
      </c>
      <c r="U402" s="246"/>
      <c r="V402" s="246"/>
      <c r="W402" s="74" t="s">
        <v>38</v>
      </c>
    </row>
    <row r="403" spans="1:24" ht="18.75" customHeight="1">
      <c r="A403" s="232" t="s">
        <v>40</v>
      </c>
      <c r="B403" s="233"/>
      <c r="C403" s="233"/>
      <c r="D403" s="233"/>
      <c r="E403" s="233"/>
      <c r="F403" s="233"/>
      <c r="G403" s="77" t="s">
        <v>39</v>
      </c>
      <c r="H403" s="234" t="e">
        <f>ROUND(H395-H402,-2)</f>
        <v>#REF!</v>
      </c>
      <c r="I403" s="234"/>
      <c r="J403" s="234"/>
      <c r="K403" s="74" t="s">
        <v>38</v>
      </c>
      <c r="M403" s="232" t="s">
        <v>40</v>
      </c>
      <c r="N403" s="233"/>
      <c r="O403" s="233"/>
      <c r="P403" s="233"/>
      <c r="Q403" s="233"/>
      <c r="R403" s="233"/>
      <c r="S403" s="77" t="s">
        <v>39</v>
      </c>
      <c r="T403" s="234" t="e">
        <f>ROUND(T395-T402,-2)</f>
        <v>#REF!</v>
      </c>
      <c r="U403" s="234"/>
      <c r="V403" s="234"/>
      <c r="W403" s="74" t="s">
        <v>38</v>
      </c>
    </row>
    <row r="404" spans="1:24" ht="18.75" customHeight="1">
      <c r="A404" s="91"/>
      <c r="B404" s="90"/>
      <c r="C404" s="90"/>
      <c r="D404" s="90"/>
      <c r="E404" s="90"/>
      <c r="F404" s="90"/>
      <c r="G404" s="90"/>
      <c r="H404" s="90"/>
      <c r="I404" s="90"/>
      <c r="J404" s="90"/>
      <c r="K404" s="89"/>
      <c r="M404" s="91"/>
      <c r="N404" s="90"/>
      <c r="O404" s="90"/>
      <c r="P404" s="90"/>
      <c r="Q404" s="90"/>
      <c r="R404" s="90"/>
      <c r="S404" s="90"/>
      <c r="T404" s="90"/>
      <c r="U404" s="90"/>
      <c r="V404" s="90"/>
      <c r="W404" s="89"/>
    </row>
    <row r="405" spans="1:24" ht="18.75" customHeight="1">
      <c r="A405" s="88"/>
      <c r="B405" s="77"/>
      <c r="C405" s="77"/>
      <c r="D405" s="77"/>
      <c r="E405" s="77"/>
      <c r="F405" s="77"/>
      <c r="G405" s="77"/>
      <c r="H405" s="77"/>
      <c r="I405" s="235" t="s">
        <v>37</v>
      </c>
      <c r="J405" s="235"/>
      <c r="K405" s="236"/>
      <c r="M405" s="88"/>
      <c r="N405" s="77"/>
      <c r="O405" s="77"/>
      <c r="P405" s="77"/>
      <c r="Q405" s="77"/>
      <c r="R405" s="77"/>
      <c r="S405" s="77"/>
      <c r="T405" s="77"/>
      <c r="U405" s="235" t="s">
        <v>37</v>
      </c>
      <c r="V405" s="235"/>
      <c r="W405" s="236"/>
    </row>
    <row r="406" spans="1:24" ht="18.75" customHeight="1">
      <c r="A406" s="88"/>
      <c r="B406" s="235"/>
      <c r="C406" s="235"/>
      <c r="D406" s="235"/>
      <c r="E406" s="235"/>
      <c r="F406" s="77"/>
      <c r="G406" s="77"/>
      <c r="H406" s="77"/>
      <c r="I406" s="77"/>
      <c r="J406" s="77"/>
      <c r="K406" s="82"/>
      <c r="M406" s="88"/>
      <c r="N406" s="235"/>
      <c r="O406" s="235"/>
      <c r="P406" s="235"/>
      <c r="Q406" s="235"/>
      <c r="R406" s="77"/>
      <c r="S406" s="77"/>
      <c r="T406" s="77"/>
      <c r="U406" s="77"/>
      <c r="V406" s="77"/>
      <c r="W406" s="82"/>
    </row>
    <row r="407" spans="1:24" ht="18.75" customHeight="1" thickBot="1">
      <c r="A407" s="87"/>
      <c r="B407" s="86"/>
      <c r="C407" s="86"/>
      <c r="D407" s="86"/>
      <c r="E407" s="86"/>
      <c r="F407" s="86"/>
      <c r="G407" s="86"/>
      <c r="H407" s="86"/>
      <c r="I407" s="237" t="s">
        <v>36</v>
      </c>
      <c r="J407" s="237"/>
      <c r="K407" s="238"/>
      <c r="M407" s="87"/>
      <c r="N407" s="86"/>
      <c r="O407" s="86"/>
      <c r="P407" s="86"/>
      <c r="Q407" s="86"/>
      <c r="R407" s="86"/>
      <c r="S407" s="86"/>
      <c r="T407" s="86"/>
      <c r="U407" s="237" t="s">
        <v>36</v>
      </c>
      <c r="V407" s="237"/>
      <c r="W407" s="238"/>
    </row>
    <row r="408" spans="1:24" ht="18.75" customHeight="1" thickTop="1" thickBot="1">
      <c r="A408" s="88"/>
      <c r="B408" s="77"/>
      <c r="C408" s="77"/>
      <c r="D408" s="77"/>
      <c r="E408" s="77"/>
      <c r="F408" s="77"/>
      <c r="G408" s="77"/>
      <c r="H408" s="77"/>
      <c r="I408" s="101"/>
      <c r="J408" s="101"/>
      <c r="K408" s="101"/>
      <c r="M408" s="88"/>
      <c r="N408" s="77"/>
      <c r="O408" s="77"/>
      <c r="P408" s="77"/>
      <c r="Q408" s="77"/>
      <c r="R408" s="77"/>
      <c r="S408" s="77"/>
      <c r="T408" s="77"/>
      <c r="U408" s="101"/>
      <c r="V408" s="101"/>
      <c r="W408" s="101"/>
    </row>
    <row r="409" spans="1:24" ht="18.75" customHeight="1" thickTop="1">
      <c r="A409" s="239" t="s">
        <v>87</v>
      </c>
      <c r="B409" s="240"/>
      <c r="C409" s="240"/>
      <c r="D409" s="240"/>
      <c r="E409" s="240"/>
      <c r="F409" s="240"/>
      <c r="G409" s="240"/>
      <c r="H409" s="240"/>
      <c r="I409" s="240"/>
      <c r="J409" s="240"/>
      <c r="K409" s="241"/>
      <c r="L409" s="72">
        <v>25</v>
      </c>
      <c r="M409" s="239" t="s">
        <v>87</v>
      </c>
      <c r="N409" s="240"/>
      <c r="O409" s="240"/>
      <c r="P409" s="240"/>
      <c r="Q409" s="240"/>
      <c r="R409" s="240"/>
      <c r="S409" s="240"/>
      <c r="T409" s="240"/>
      <c r="U409" s="240"/>
      <c r="V409" s="240"/>
      <c r="W409" s="241"/>
      <c r="X409" s="72">
        <v>25</v>
      </c>
    </row>
    <row r="410" spans="1:24" ht="18.75" customHeight="1">
      <c r="A410" s="85" t="s">
        <v>127</v>
      </c>
      <c r="B410" s="84"/>
      <c r="C410" s="84"/>
      <c r="D410" s="84"/>
      <c r="E410" s="84"/>
      <c r="F410" s="84"/>
      <c r="G410" s="84"/>
      <c r="H410" s="84"/>
      <c r="I410" s="84"/>
      <c r="J410" s="84"/>
      <c r="K410" s="83"/>
      <c r="M410" s="85" t="s">
        <v>126</v>
      </c>
      <c r="N410" s="84"/>
      <c r="O410" s="84"/>
      <c r="P410" s="84"/>
      <c r="Q410" s="84"/>
      <c r="R410" s="84"/>
      <c r="S410" s="84"/>
      <c r="T410" s="84"/>
      <c r="U410" s="84"/>
      <c r="V410" s="84"/>
      <c r="W410" s="83"/>
    </row>
    <row r="411" spans="1:24" ht="18.75" customHeight="1">
      <c r="A411" s="227" t="s">
        <v>84</v>
      </c>
      <c r="B411" s="228"/>
      <c r="C411" s="228"/>
      <c r="D411" s="228"/>
      <c r="E411" s="228"/>
      <c r="F411" s="228"/>
      <c r="G411" s="228"/>
      <c r="H411" s="228"/>
      <c r="I411" s="228"/>
      <c r="J411" s="228"/>
      <c r="K411" s="229"/>
      <c r="M411" s="227" t="s">
        <v>84</v>
      </c>
      <c r="N411" s="228"/>
      <c r="O411" s="228"/>
      <c r="P411" s="228"/>
      <c r="Q411" s="228"/>
      <c r="R411" s="228"/>
      <c r="S411" s="228"/>
      <c r="T411" s="228"/>
      <c r="U411" s="228"/>
      <c r="V411" s="228"/>
      <c r="W411" s="229"/>
    </row>
    <row r="412" spans="1:24" ht="18.75" customHeight="1">
      <c r="A412" s="222" t="s">
        <v>83</v>
      </c>
      <c r="B412" s="223"/>
      <c r="C412" s="223"/>
      <c r="D412" s="223"/>
      <c r="E412" s="77" t="s">
        <v>39</v>
      </c>
      <c r="F412" s="224">
        <f>'[3]Bang TH nop'!B44</f>
        <v>0</v>
      </c>
      <c r="G412" s="223"/>
      <c r="H412" s="223"/>
      <c r="I412" s="223"/>
      <c r="J412" s="223"/>
      <c r="K412" s="226"/>
      <c r="M412" s="222" t="s">
        <v>83</v>
      </c>
      <c r="N412" s="223"/>
      <c r="O412" s="223"/>
      <c r="P412" s="223"/>
      <c r="Q412" s="77" t="s">
        <v>39</v>
      </c>
      <c r="R412" s="224">
        <f>'[3]Bang TH nop'!B46</f>
        <v>0</v>
      </c>
      <c r="S412" s="223"/>
      <c r="T412" s="223"/>
      <c r="U412" s="223"/>
      <c r="V412" s="223"/>
      <c r="W412" s="226"/>
    </row>
    <row r="413" spans="1:24" ht="18.75" customHeight="1">
      <c r="A413" s="222" t="s">
        <v>82</v>
      </c>
      <c r="B413" s="223"/>
      <c r="C413" s="223"/>
      <c r="D413" s="223"/>
      <c r="E413" s="77" t="s">
        <v>39</v>
      </c>
      <c r="F413" s="224">
        <f>'[3]Bang TH nop'!C44</f>
        <v>0</v>
      </c>
      <c r="G413" s="224"/>
      <c r="H413" s="224"/>
      <c r="I413" s="224"/>
      <c r="J413" s="224"/>
      <c r="K413" s="225"/>
      <c r="M413" s="222" t="s">
        <v>82</v>
      </c>
      <c r="N413" s="223"/>
      <c r="O413" s="223"/>
      <c r="P413" s="223"/>
      <c r="Q413" s="77" t="s">
        <v>39</v>
      </c>
      <c r="R413" s="224">
        <f>'[3]Bang TH nop'!C46</f>
        <v>0</v>
      </c>
      <c r="S413" s="224"/>
      <c r="T413" s="224"/>
      <c r="U413" s="224"/>
      <c r="V413" s="224"/>
      <c r="W413" s="225"/>
    </row>
    <row r="414" spans="1:24" ht="18.75" customHeight="1">
      <c r="A414" s="222" t="s">
        <v>81</v>
      </c>
      <c r="B414" s="223"/>
      <c r="C414" s="223"/>
      <c r="D414" s="223"/>
      <c r="E414" s="77" t="s">
        <v>39</v>
      </c>
      <c r="F414" s="223" t="s">
        <v>80</v>
      </c>
      <c r="G414" s="223"/>
      <c r="H414" s="223"/>
      <c r="I414" s="223"/>
      <c r="J414" s="223"/>
      <c r="K414" s="226"/>
      <c r="M414" s="222" t="s">
        <v>81</v>
      </c>
      <c r="N414" s="223"/>
      <c r="O414" s="223"/>
      <c r="P414" s="223"/>
      <c r="Q414" s="77" t="s">
        <v>39</v>
      </c>
      <c r="R414" s="223" t="s">
        <v>80</v>
      </c>
      <c r="S414" s="223"/>
      <c r="T414" s="223"/>
      <c r="U414" s="223"/>
      <c r="V414" s="223"/>
      <c r="W414" s="226"/>
    </row>
    <row r="415" spans="1:24" ht="18.75" customHeight="1">
      <c r="A415" s="227" t="s">
        <v>79</v>
      </c>
      <c r="B415" s="228"/>
      <c r="C415" s="228"/>
      <c r="D415" s="228"/>
      <c r="E415" s="228"/>
      <c r="F415" s="228"/>
      <c r="G415" s="228"/>
      <c r="H415" s="228"/>
      <c r="I415" s="228"/>
      <c r="J415" s="228"/>
      <c r="K415" s="229"/>
      <c r="M415" s="227" t="s">
        <v>79</v>
      </c>
      <c r="N415" s="228"/>
      <c r="O415" s="228"/>
      <c r="P415" s="228"/>
      <c r="Q415" s="228"/>
      <c r="R415" s="228"/>
      <c r="S415" s="228"/>
      <c r="T415" s="228"/>
      <c r="U415" s="228"/>
      <c r="V415" s="228"/>
      <c r="W415" s="229"/>
    </row>
    <row r="416" spans="1:24" ht="18.75" customHeight="1">
      <c r="A416" s="222" t="s">
        <v>78</v>
      </c>
      <c r="B416" s="223"/>
      <c r="C416" s="223"/>
      <c r="D416" s="223"/>
      <c r="E416" s="77" t="s">
        <v>39</v>
      </c>
      <c r="F416" s="230">
        <v>2915400</v>
      </c>
      <c r="G416" s="230"/>
      <c r="H416" s="230"/>
      <c r="I416" s="230"/>
      <c r="J416" s="77" t="s">
        <v>38</v>
      </c>
      <c r="K416" s="82"/>
      <c r="M416" s="222" t="s">
        <v>78</v>
      </c>
      <c r="N416" s="223"/>
      <c r="O416" s="223"/>
      <c r="P416" s="223"/>
      <c r="Q416" s="77" t="s">
        <v>39</v>
      </c>
      <c r="R416" s="230">
        <v>2915400</v>
      </c>
      <c r="S416" s="230"/>
      <c r="T416" s="230"/>
      <c r="U416" s="230"/>
      <c r="V416" s="77" t="s">
        <v>38</v>
      </c>
      <c r="W416" s="82"/>
    </row>
    <row r="417" spans="1:24" ht="18.75" customHeight="1">
      <c r="A417" s="81" t="s">
        <v>77</v>
      </c>
      <c r="B417" s="77"/>
      <c r="C417" s="80"/>
      <c r="D417" s="79"/>
      <c r="E417" s="78"/>
      <c r="F417" s="78"/>
      <c r="G417" s="78"/>
      <c r="H417" s="77"/>
      <c r="I417" s="76" t="e">
        <f>#REF!</f>
        <v>#REF!</v>
      </c>
      <c r="J417" s="75"/>
      <c r="K417" s="74"/>
      <c r="M417" s="81" t="s">
        <v>77</v>
      </c>
      <c r="N417" s="77"/>
      <c r="O417" s="80"/>
      <c r="P417" s="79"/>
      <c r="Q417" s="78"/>
      <c r="R417" s="78"/>
      <c r="S417" s="78"/>
      <c r="T417" s="77"/>
      <c r="U417" s="76" t="e">
        <f>#REF!</f>
        <v>#REF!</v>
      </c>
      <c r="V417" s="75"/>
      <c r="W417" s="74"/>
    </row>
    <row r="418" spans="1:24" ht="18.75" customHeight="1">
      <c r="A418" s="81" t="s">
        <v>76</v>
      </c>
      <c r="B418" s="77"/>
      <c r="C418" s="80"/>
      <c r="D418" s="79"/>
      <c r="E418" s="78"/>
      <c r="F418" s="78"/>
      <c r="G418" s="78"/>
      <c r="H418" s="77"/>
      <c r="I418" s="76" t="e">
        <f>I419/C419/8</f>
        <v>#REF!</v>
      </c>
      <c r="J418" s="75"/>
      <c r="K418" s="74"/>
      <c r="M418" s="81" t="s">
        <v>76</v>
      </c>
      <c r="N418" s="77"/>
      <c r="O418" s="80"/>
      <c r="P418" s="79"/>
      <c r="Q418" s="78"/>
      <c r="R418" s="78"/>
      <c r="S418" s="78"/>
      <c r="T418" s="77"/>
      <c r="U418" s="76" t="e">
        <f>U419/O419/8</f>
        <v>#REF!</v>
      </c>
      <c r="V418" s="75"/>
      <c r="W418" s="74"/>
    </row>
    <row r="419" spans="1:24" ht="18.75" customHeight="1">
      <c r="A419" s="81" t="s">
        <v>75</v>
      </c>
      <c r="B419" s="77" t="s">
        <v>39</v>
      </c>
      <c r="C419" s="80" t="e">
        <f>#REF!</f>
        <v>#REF!</v>
      </c>
      <c r="D419" s="79" t="s">
        <v>52</v>
      </c>
      <c r="E419" s="249" t="s">
        <v>74</v>
      </c>
      <c r="F419" s="249"/>
      <c r="G419" s="249"/>
      <c r="H419" s="77" t="s">
        <v>39</v>
      </c>
      <c r="I419" s="255" t="e">
        <f>#REF!</f>
        <v>#REF!</v>
      </c>
      <c r="J419" s="255"/>
      <c r="K419" s="74" t="s">
        <v>38</v>
      </c>
      <c r="L419" s="95" t="e">
        <f>F416/L409*C419</f>
        <v>#REF!</v>
      </c>
      <c r="M419" s="81" t="s">
        <v>75</v>
      </c>
      <c r="N419" s="77" t="s">
        <v>39</v>
      </c>
      <c r="O419" s="80" t="e">
        <f>#REF!</f>
        <v>#REF!</v>
      </c>
      <c r="P419" s="79" t="s">
        <v>52</v>
      </c>
      <c r="Q419" s="249" t="s">
        <v>74</v>
      </c>
      <c r="R419" s="249"/>
      <c r="S419" s="249"/>
      <c r="T419" s="77" t="s">
        <v>39</v>
      </c>
      <c r="U419" s="255" t="e">
        <f>#REF!</f>
        <v>#REF!</v>
      </c>
      <c r="V419" s="255"/>
      <c r="W419" s="74" t="s">
        <v>38</v>
      </c>
      <c r="X419" s="95" t="e">
        <f>R416/X409*O419</f>
        <v>#REF!</v>
      </c>
    </row>
    <row r="420" spans="1:24" ht="18.75" customHeight="1">
      <c r="A420" s="81" t="s">
        <v>73</v>
      </c>
      <c r="B420" s="77" t="s">
        <v>39</v>
      </c>
      <c r="C420" s="80" t="e">
        <f>#REF!</f>
        <v>#REF!</v>
      </c>
      <c r="D420" s="79" t="s">
        <v>52</v>
      </c>
      <c r="E420" s="223" t="s">
        <v>72</v>
      </c>
      <c r="F420" s="223"/>
      <c r="G420" s="223"/>
      <c r="H420" s="77" t="s">
        <v>39</v>
      </c>
      <c r="I420" s="247" t="e">
        <f>$F$8/$L$1*C420</f>
        <v>#REF!</v>
      </c>
      <c r="J420" s="247"/>
      <c r="K420" s="74" t="s">
        <v>38</v>
      </c>
      <c r="L420" s="95"/>
      <c r="M420" s="81" t="s">
        <v>73</v>
      </c>
      <c r="N420" s="77" t="s">
        <v>39</v>
      </c>
      <c r="O420" s="80" t="e">
        <f>#REF!</f>
        <v>#REF!</v>
      </c>
      <c r="P420" s="79" t="s">
        <v>52</v>
      </c>
      <c r="Q420" s="223" t="s">
        <v>72</v>
      </c>
      <c r="R420" s="223"/>
      <c r="S420" s="223"/>
      <c r="T420" s="77" t="s">
        <v>39</v>
      </c>
      <c r="U420" s="247" t="e">
        <f>$F$8/$L$1*O420</f>
        <v>#REF!</v>
      </c>
      <c r="V420" s="247"/>
      <c r="W420" s="74" t="s">
        <v>38</v>
      </c>
      <c r="X420" s="95"/>
    </row>
    <row r="421" spans="1:24" ht="18.75" customHeight="1">
      <c r="A421" s="81" t="s">
        <v>71</v>
      </c>
      <c r="B421" s="77" t="s">
        <v>39</v>
      </c>
      <c r="C421" s="80" t="e">
        <f>#REF!</f>
        <v>#REF!</v>
      </c>
      <c r="D421" s="79" t="s">
        <v>52</v>
      </c>
      <c r="E421" s="256" t="s">
        <v>70</v>
      </c>
      <c r="F421" s="256"/>
      <c r="G421" s="256"/>
      <c r="H421" s="77" t="s">
        <v>39</v>
      </c>
      <c r="I421" s="247" t="e">
        <f>$F$8/$L$1*C421</f>
        <v>#REF!</v>
      </c>
      <c r="J421" s="247"/>
      <c r="K421" s="74" t="s">
        <v>38</v>
      </c>
      <c r="L421" s="95"/>
      <c r="M421" s="81" t="s">
        <v>71</v>
      </c>
      <c r="N421" s="77" t="s">
        <v>39</v>
      </c>
      <c r="O421" s="80" t="e">
        <f>#REF!</f>
        <v>#REF!</v>
      </c>
      <c r="P421" s="79" t="s">
        <v>52</v>
      </c>
      <c r="Q421" s="256" t="s">
        <v>70</v>
      </c>
      <c r="R421" s="256"/>
      <c r="S421" s="256"/>
      <c r="T421" s="77" t="s">
        <v>39</v>
      </c>
      <c r="U421" s="247" t="e">
        <f>$F$8/$L$1*O421</f>
        <v>#REF!</v>
      </c>
      <c r="V421" s="247"/>
      <c r="W421" s="74" t="s">
        <v>38</v>
      </c>
      <c r="X421" s="95"/>
    </row>
    <row r="422" spans="1:24" ht="18.75" customHeight="1">
      <c r="A422" s="81" t="s">
        <v>69</v>
      </c>
      <c r="B422" s="77" t="s">
        <v>39</v>
      </c>
      <c r="C422" s="80" t="e">
        <f>#REF!</f>
        <v>#REF!</v>
      </c>
      <c r="D422" s="79" t="s">
        <v>52</v>
      </c>
      <c r="E422" s="256" t="s">
        <v>68</v>
      </c>
      <c r="F422" s="256"/>
      <c r="G422" s="256"/>
      <c r="H422" s="77" t="s">
        <v>39</v>
      </c>
      <c r="I422" s="247" t="e">
        <f>$F$8/$L$1*C422</f>
        <v>#REF!</v>
      </c>
      <c r="J422" s="247"/>
      <c r="K422" s="74" t="s">
        <v>38</v>
      </c>
      <c r="L422" s="95"/>
      <c r="M422" s="81" t="s">
        <v>69</v>
      </c>
      <c r="N422" s="77" t="s">
        <v>39</v>
      </c>
      <c r="O422" s="80" t="e">
        <f>#REF!</f>
        <v>#REF!</v>
      </c>
      <c r="P422" s="79" t="s">
        <v>52</v>
      </c>
      <c r="Q422" s="256" t="s">
        <v>68</v>
      </c>
      <c r="R422" s="256"/>
      <c r="S422" s="256"/>
      <c r="T422" s="77" t="s">
        <v>39</v>
      </c>
      <c r="U422" s="247" t="e">
        <f>$F$8/$L$1*O422</f>
        <v>#REF!</v>
      </c>
      <c r="V422" s="247"/>
      <c r="W422" s="74" t="s">
        <v>38</v>
      </c>
      <c r="X422" s="95"/>
    </row>
    <row r="423" spans="1:24" ht="18.75" customHeight="1">
      <c r="A423" s="81" t="s">
        <v>67</v>
      </c>
      <c r="B423" s="77" t="s">
        <v>39</v>
      </c>
      <c r="C423" s="80" t="e">
        <f>#REF!</f>
        <v>#REF!</v>
      </c>
      <c r="D423" s="79" t="s">
        <v>58</v>
      </c>
      <c r="E423" s="223" t="s">
        <v>66</v>
      </c>
      <c r="F423" s="223"/>
      <c r="G423" s="223"/>
      <c r="H423" s="77" t="s">
        <v>39</v>
      </c>
      <c r="I423" s="247" t="e">
        <f>#REF!</f>
        <v>#REF!</v>
      </c>
      <c r="J423" s="247"/>
      <c r="K423" s="74" t="s">
        <v>38</v>
      </c>
      <c r="L423" s="95" t="e">
        <f>F416*C423/L409/8*1.5</f>
        <v>#REF!</v>
      </c>
      <c r="M423" s="81" t="s">
        <v>67</v>
      </c>
      <c r="N423" s="77" t="s">
        <v>39</v>
      </c>
      <c r="O423" s="80" t="e">
        <f>#REF!</f>
        <v>#REF!</v>
      </c>
      <c r="P423" s="79" t="s">
        <v>58</v>
      </c>
      <c r="Q423" s="223" t="s">
        <v>66</v>
      </c>
      <c r="R423" s="223"/>
      <c r="S423" s="223"/>
      <c r="T423" s="77" t="s">
        <v>39</v>
      </c>
      <c r="U423" s="247" t="e">
        <f>#REF!</f>
        <v>#REF!</v>
      </c>
      <c r="V423" s="247"/>
      <c r="W423" s="74" t="s">
        <v>38</v>
      </c>
      <c r="X423" s="95" t="e">
        <f>R416*O423/X409/8*1.5</f>
        <v>#REF!</v>
      </c>
    </row>
    <row r="424" spans="1:24" ht="18.75" customHeight="1">
      <c r="A424" s="222" t="s">
        <v>65</v>
      </c>
      <c r="B424" s="223"/>
      <c r="C424" s="80"/>
      <c r="D424" s="79" t="s">
        <v>52</v>
      </c>
      <c r="E424" s="223" t="s">
        <v>64</v>
      </c>
      <c r="F424" s="223"/>
      <c r="G424" s="223"/>
      <c r="H424" s="100" t="s">
        <v>39</v>
      </c>
      <c r="I424" s="247"/>
      <c r="J424" s="247"/>
      <c r="K424" s="74" t="s">
        <v>38</v>
      </c>
      <c r="L424" s="95"/>
      <c r="M424" s="222" t="s">
        <v>65</v>
      </c>
      <c r="N424" s="223"/>
      <c r="O424" s="80"/>
      <c r="P424" s="79" t="s">
        <v>52</v>
      </c>
      <c r="Q424" s="223" t="s">
        <v>64</v>
      </c>
      <c r="R424" s="223"/>
      <c r="S424" s="223"/>
      <c r="T424" s="100" t="s">
        <v>39</v>
      </c>
      <c r="U424" s="247"/>
      <c r="V424" s="247"/>
      <c r="W424" s="74" t="s">
        <v>38</v>
      </c>
      <c r="X424" s="95"/>
    </row>
    <row r="425" spans="1:24" ht="18.75" customHeight="1">
      <c r="A425" s="81" t="s">
        <v>63</v>
      </c>
      <c r="B425" s="77" t="s">
        <v>39</v>
      </c>
      <c r="C425" s="80"/>
      <c r="D425" s="79" t="s">
        <v>52</v>
      </c>
      <c r="E425" s="223" t="s">
        <v>62</v>
      </c>
      <c r="F425" s="223"/>
      <c r="G425" s="223"/>
      <c r="H425" s="77" t="s">
        <v>39</v>
      </c>
      <c r="I425" s="247"/>
      <c r="J425" s="247"/>
      <c r="K425" s="74" t="s">
        <v>38</v>
      </c>
      <c r="L425" s="95"/>
      <c r="M425" s="81" t="s">
        <v>63</v>
      </c>
      <c r="N425" s="77" t="s">
        <v>39</v>
      </c>
      <c r="O425" s="80"/>
      <c r="P425" s="79" t="s">
        <v>52</v>
      </c>
      <c r="Q425" s="223" t="s">
        <v>62</v>
      </c>
      <c r="R425" s="223"/>
      <c r="S425" s="223"/>
      <c r="T425" s="77" t="s">
        <v>39</v>
      </c>
      <c r="U425" s="247"/>
      <c r="V425" s="247"/>
      <c r="W425" s="74" t="s">
        <v>38</v>
      </c>
      <c r="X425" s="95"/>
    </row>
    <row r="426" spans="1:24" ht="18.75" customHeight="1">
      <c r="A426" s="99" t="s">
        <v>61</v>
      </c>
      <c r="B426" s="77"/>
      <c r="C426" s="80" t="e">
        <f>#REF!</f>
        <v>#REF!</v>
      </c>
      <c r="D426" s="79" t="s">
        <v>58</v>
      </c>
      <c r="E426" s="223" t="s">
        <v>60</v>
      </c>
      <c r="F426" s="223"/>
      <c r="G426" s="223"/>
      <c r="H426" s="77" t="s">
        <v>39</v>
      </c>
      <c r="I426" s="247" t="e">
        <f>$F$8*C426/8/$L$1</f>
        <v>#REF!</v>
      </c>
      <c r="J426" s="247"/>
      <c r="K426" s="74" t="s">
        <v>38</v>
      </c>
      <c r="L426" s="95"/>
      <c r="M426" s="99" t="s">
        <v>61</v>
      </c>
      <c r="N426" s="77"/>
      <c r="O426" s="80" t="e">
        <f>#REF!</f>
        <v>#REF!</v>
      </c>
      <c r="P426" s="79" t="s">
        <v>58</v>
      </c>
      <c r="Q426" s="223" t="s">
        <v>60</v>
      </c>
      <c r="R426" s="223"/>
      <c r="S426" s="223"/>
      <c r="T426" s="77" t="s">
        <v>39</v>
      </c>
      <c r="U426" s="247" t="e">
        <f>$F$8*O426/8/$L$1</f>
        <v>#REF!</v>
      </c>
      <c r="V426" s="247"/>
      <c r="W426" s="74" t="s">
        <v>38</v>
      </c>
      <c r="X426" s="95"/>
    </row>
    <row r="427" spans="1:24" ht="18.75" customHeight="1">
      <c r="A427" s="81" t="s">
        <v>59</v>
      </c>
      <c r="B427" s="77" t="s">
        <v>39</v>
      </c>
      <c r="C427" s="80"/>
      <c r="D427" s="79" t="s">
        <v>58</v>
      </c>
      <c r="E427" s="223" t="s">
        <v>57</v>
      </c>
      <c r="F427" s="223"/>
      <c r="G427" s="223"/>
      <c r="H427" s="77" t="s">
        <v>39</v>
      </c>
      <c r="I427" s="255"/>
      <c r="J427" s="255"/>
      <c r="K427" s="74" t="s">
        <v>38</v>
      </c>
      <c r="L427" s="95"/>
      <c r="M427" s="81" t="s">
        <v>59</v>
      </c>
      <c r="N427" s="77" t="s">
        <v>39</v>
      </c>
      <c r="O427" s="80"/>
      <c r="P427" s="79" t="s">
        <v>58</v>
      </c>
      <c r="Q427" s="223" t="s">
        <v>57</v>
      </c>
      <c r="R427" s="223"/>
      <c r="S427" s="223"/>
      <c r="T427" s="77" t="s">
        <v>39</v>
      </c>
      <c r="U427" s="255"/>
      <c r="V427" s="255"/>
      <c r="W427" s="74" t="s">
        <v>38</v>
      </c>
      <c r="X427" s="95"/>
    </row>
    <row r="428" spans="1:24" ht="18.75" customHeight="1">
      <c r="A428" s="81" t="s">
        <v>56</v>
      </c>
      <c r="B428" s="77" t="s">
        <v>39</v>
      </c>
      <c r="C428" s="80"/>
      <c r="D428" s="79" t="s">
        <v>55</v>
      </c>
      <c r="E428" s="98" t="s">
        <v>54</v>
      </c>
      <c r="F428" s="98"/>
      <c r="G428" s="98"/>
      <c r="H428" s="77" t="s">
        <v>39</v>
      </c>
      <c r="I428" s="247"/>
      <c r="J428" s="247"/>
      <c r="K428" s="74" t="s">
        <v>38</v>
      </c>
      <c r="L428" s="95" t="e">
        <f>+IF(L419-I419&lt;0,0,L419-I419)+IF(L423-I423&lt;0,0,L423-I423)</f>
        <v>#REF!</v>
      </c>
      <c r="M428" s="81" t="s">
        <v>56</v>
      </c>
      <c r="N428" s="77" t="s">
        <v>39</v>
      </c>
      <c r="O428" s="80"/>
      <c r="P428" s="79" t="s">
        <v>55</v>
      </c>
      <c r="Q428" s="98" t="s">
        <v>54</v>
      </c>
      <c r="R428" s="98"/>
      <c r="S428" s="98"/>
      <c r="T428" s="77" t="s">
        <v>39</v>
      </c>
      <c r="U428" s="247"/>
      <c r="V428" s="247"/>
      <c r="W428" s="74" t="s">
        <v>38</v>
      </c>
      <c r="X428" s="95" t="e">
        <f>+IF(X419-U419&lt;0,0,X419-U419)+IF(X423-U423&lt;0,0,X423-U423)</f>
        <v>#REF!</v>
      </c>
    </row>
    <row r="429" spans="1:24" ht="18.75" customHeight="1">
      <c r="A429" s="97" t="s">
        <v>53</v>
      </c>
      <c r="B429" s="96"/>
      <c r="C429" s="80"/>
      <c r="D429" s="79" t="s">
        <v>52</v>
      </c>
      <c r="E429" s="223" t="s">
        <v>51</v>
      </c>
      <c r="F429" s="223"/>
      <c r="G429" s="223"/>
      <c r="H429" s="77" t="s">
        <v>39</v>
      </c>
      <c r="I429" s="247"/>
      <c r="J429" s="247"/>
      <c r="K429" s="74" t="s">
        <v>38</v>
      </c>
      <c r="L429" s="95"/>
      <c r="M429" s="97" t="s">
        <v>53</v>
      </c>
      <c r="N429" s="96"/>
      <c r="O429" s="80"/>
      <c r="P429" s="79" t="s">
        <v>52</v>
      </c>
      <c r="Q429" s="223" t="s">
        <v>51</v>
      </c>
      <c r="R429" s="223"/>
      <c r="S429" s="223"/>
      <c r="T429" s="77" t="s">
        <v>39</v>
      </c>
      <c r="U429" s="247"/>
      <c r="V429" s="247"/>
      <c r="W429" s="74" t="s">
        <v>38</v>
      </c>
      <c r="X429" s="95"/>
    </row>
    <row r="430" spans="1:24" ht="18.75" customHeight="1">
      <c r="A430" s="248" t="s">
        <v>50</v>
      </c>
      <c r="B430" s="249"/>
      <c r="C430" s="80"/>
      <c r="D430" s="79"/>
      <c r="E430" s="78"/>
      <c r="F430" s="78"/>
      <c r="G430" s="78"/>
      <c r="H430" s="77" t="s">
        <v>39</v>
      </c>
      <c r="I430" s="247" t="e">
        <f>#REF!</f>
        <v>#REF!</v>
      </c>
      <c r="J430" s="247"/>
      <c r="K430" s="74" t="s">
        <v>38</v>
      </c>
      <c r="L430" s="95"/>
      <c r="M430" s="248" t="s">
        <v>50</v>
      </c>
      <c r="N430" s="249"/>
      <c r="O430" s="80"/>
      <c r="P430" s="79"/>
      <c r="Q430" s="78"/>
      <c r="R430" s="78"/>
      <c r="S430" s="78"/>
      <c r="T430" s="77" t="s">
        <v>39</v>
      </c>
      <c r="U430" s="247" t="e">
        <f>#REF!</f>
        <v>#REF!</v>
      </c>
      <c r="V430" s="247"/>
      <c r="W430" s="74" t="s">
        <v>38</v>
      </c>
      <c r="X430" s="95"/>
    </row>
    <row r="431" spans="1:24" ht="18.75" customHeight="1">
      <c r="A431" s="81" t="s">
        <v>49</v>
      </c>
      <c r="B431" s="77" t="s">
        <v>39</v>
      </c>
      <c r="C431" s="80"/>
      <c r="D431" s="79"/>
      <c r="E431" s="78" t="s">
        <v>48</v>
      </c>
      <c r="F431" s="78"/>
      <c r="G431" s="78"/>
      <c r="H431" s="77" t="s">
        <v>39</v>
      </c>
      <c r="I431" s="247" t="e">
        <f>L428</f>
        <v>#REF!</v>
      </c>
      <c r="J431" s="247"/>
      <c r="K431" s="74" t="s">
        <v>38</v>
      </c>
      <c r="L431" s="95"/>
      <c r="M431" s="81" t="s">
        <v>49</v>
      </c>
      <c r="N431" s="77" t="s">
        <v>39</v>
      </c>
      <c r="O431" s="80"/>
      <c r="P431" s="79"/>
      <c r="Q431" s="78" t="s">
        <v>48</v>
      </c>
      <c r="R431" s="78"/>
      <c r="S431" s="78"/>
      <c r="T431" s="77" t="s">
        <v>39</v>
      </c>
      <c r="U431" s="247" t="e">
        <f>X428</f>
        <v>#REF!</v>
      </c>
      <c r="V431" s="247"/>
      <c r="W431" s="74" t="s">
        <v>38</v>
      </c>
      <c r="X431" s="95"/>
    </row>
    <row r="432" spans="1:24" ht="18.75" customHeight="1">
      <c r="A432" s="250" t="s">
        <v>47</v>
      </c>
      <c r="B432" s="251"/>
      <c r="C432" s="251"/>
      <c r="D432" s="251"/>
      <c r="E432" s="251"/>
      <c r="F432" s="251"/>
      <c r="G432" s="77" t="s">
        <v>39</v>
      </c>
      <c r="H432" s="252" t="e">
        <f>I419+I420+I421+I422+I423+I426+I430+I431</f>
        <v>#REF!</v>
      </c>
      <c r="I432" s="252"/>
      <c r="J432" s="252"/>
      <c r="K432" s="74" t="s">
        <v>38</v>
      </c>
      <c r="M432" s="250" t="s">
        <v>47</v>
      </c>
      <c r="N432" s="251"/>
      <c r="O432" s="251"/>
      <c r="P432" s="251"/>
      <c r="Q432" s="251"/>
      <c r="R432" s="251"/>
      <c r="S432" s="77" t="s">
        <v>39</v>
      </c>
      <c r="T432" s="252" t="e">
        <f>U419+U420+U421+U422+U423+U426+U430+U431</f>
        <v>#REF!</v>
      </c>
      <c r="U432" s="252"/>
      <c r="V432" s="252"/>
      <c r="W432" s="74" t="s">
        <v>38</v>
      </c>
    </row>
    <row r="433" spans="1:24" ht="18.75" customHeight="1">
      <c r="A433" s="94"/>
      <c r="B433" s="93"/>
      <c r="C433" s="93"/>
      <c r="D433" s="93"/>
      <c r="E433" s="93"/>
      <c r="F433" s="93"/>
      <c r="G433" s="93"/>
      <c r="H433" s="93"/>
      <c r="I433" s="93"/>
      <c r="J433" s="93"/>
      <c r="K433" s="92"/>
      <c r="M433" s="94"/>
      <c r="N433" s="93"/>
      <c r="O433" s="93"/>
      <c r="P433" s="93"/>
      <c r="Q433" s="93"/>
      <c r="R433" s="93"/>
      <c r="S433" s="93"/>
      <c r="T433" s="93"/>
      <c r="U433" s="93"/>
      <c r="V433" s="93"/>
      <c r="W433" s="92"/>
    </row>
    <row r="434" spans="1:24" ht="18.75" customHeight="1">
      <c r="A434" s="253" t="s">
        <v>46</v>
      </c>
      <c r="B434" s="254"/>
      <c r="C434" s="254"/>
      <c r="D434" s="254"/>
      <c r="E434" s="254"/>
      <c r="F434" s="254"/>
      <c r="G434" s="77"/>
      <c r="H434" s="77"/>
      <c r="I434" s="77"/>
      <c r="J434" s="77"/>
      <c r="K434" s="74"/>
      <c r="M434" s="253" t="s">
        <v>46</v>
      </c>
      <c r="N434" s="254"/>
      <c r="O434" s="254"/>
      <c r="P434" s="254"/>
      <c r="Q434" s="254"/>
      <c r="R434" s="254"/>
      <c r="S434" s="77"/>
      <c r="T434" s="77"/>
      <c r="U434" s="77"/>
      <c r="V434" s="77"/>
      <c r="W434" s="74"/>
    </row>
    <row r="435" spans="1:24" ht="18.75" customHeight="1">
      <c r="A435" s="232" t="s">
        <v>45</v>
      </c>
      <c r="B435" s="233"/>
      <c r="C435" s="233"/>
      <c r="D435" s="233"/>
      <c r="E435" s="233"/>
      <c r="F435" s="233"/>
      <c r="G435" s="77" t="s">
        <v>39</v>
      </c>
      <c r="H435" s="242" t="e">
        <f>IF(($L$1-(C419+C420+C421+C422))&gt;12,0,F416*8%)</f>
        <v>#REF!</v>
      </c>
      <c r="I435" s="242"/>
      <c r="J435" s="242"/>
      <c r="K435" s="74" t="s">
        <v>38</v>
      </c>
      <c r="M435" s="232" t="s">
        <v>45</v>
      </c>
      <c r="N435" s="233"/>
      <c r="O435" s="233"/>
      <c r="P435" s="233"/>
      <c r="Q435" s="233"/>
      <c r="R435" s="233"/>
      <c r="S435" s="77" t="s">
        <v>39</v>
      </c>
      <c r="T435" s="242" t="e">
        <f>IF(($L$1-(O419+O420+O421+O422))&gt;12,0,R416*8%)</f>
        <v>#REF!</v>
      </c>
      <c r="U435" s="242"/>
      <c r="V435" s="242"/>
      <c r="W435" s="74" t="s">
        <v>38</v>
      </c>
    </row>
    <row r="436" spans="1:24" ht="18.75" customHeight="1">
      <c r="A436" s="232" t="s">
        <v>44</v>
      </c>
      <c r="B436" s="233"/>
      <c r="C436" s="233"/>
      <c r="D436" s="233"/>
      <c r="E436" s="233"/>
      <c r="F436" s="233"/>
      <c r="G436" s="77" t="s">
        <v>39</v>
      </c>
      <c r="H436" s="243" t="e">
        <f>IF(($L$1-(C419+C420+C421+C422))&gt;12,0,F416*1.5%)</f>
        <v>#REF!</v>
      </c>
      <c r="I436" s="243"/>
      <c r="J436" s="243"/>
      <c r="K436" s="74" t="s">
        <v>38</v>
      </c>
      <c r="M436" s="232" t="s">
        <v>44</v>
      </c>
      <c r="N436" s="233"/>
      <c r="O436" s="233"/>
      <c r="P436" s="233"/>
      <c r="Q436" s="233"/>
      <c r="R436" s="233"/>
      <c r="S436" s="77" t="s">
        <v>39</v>
      </c>
      <c r="T436" s="243" t="e">
        <f>IF(($L$1-(O419+O420+O421+O422))&gt;12,0,R416*1.5%)</f>
        <v>#REF!</v>
      </c>
      <c r="U436" s="243"/>
      <c r="V436" s="243"/>
      <c r="W436" s="74" t="s">
        <v>38</v>
      </c>
    </row>
    <row r="437" spans="1:24" ht="18.75" customHeight="1">
      <c r="A437" s="232" t="s">
        <v>43</v>
      </c>
      <c r="B437" s="233"/>
      <c r="C437" s="233"/>
      <c r="D437" s="233"/>
      <c r="E437" s="233"/>
      <c r="F437" s="233"/>
      <c r="G437" s="77" t="s">
        <v>39</v>
      </c>
      <c r="H437" s="243" t="e">
        <f>IF(($L$1-(C419+C420+C421+C422))&gt;12,0,F416*1%)</f>
        <v>#REF!</v>
      </c>
      <c r="I437" s="243"/>
      <c r="J437" s="243"/>
      <c r="K437" s="74" t="s">
        <v>38</v>
      </c>
      <c r="M437" s="232" t="s">
        <v>43</v>
      </c>
      <c r="N437" s="233"/>
      <c r="O437" s="233"/>
      <c r="P437" s="233"/>
      <c r="Q437" s="233"/>
      <c r="R437" s="233"/>
      <c r="S437" s="77" t="s">
        <v>39</v>
      </c>
      <c r="T437" s="243" t="e">
        <f>IF(($L$1-(O419+O420+O421+O422))&gt;12,0,R416*1%)</f>
        <v>#REF!</v>
      </c>
      <c r="U437" s="243"/>
      <c r="V437" s="243"/>
      <c r="W437" s="74" t="s">
        <v>38</v>
      </c>
    </row>
    <row r="438" spans="1:24" ht="18.75" customHeight="1">
      <c r="A438" s="232" t="s">
        <v>42</v>
      </c>
      <c r="B438" s="233"/>
      <c r="C438" s="233"/>
      <c r="D438" s="233"/>
      <c r="E438" s="233"/>
      <c r="F438" s="233"/>
      <c r="G438" s="77" t="s">
        <v>39</v>
      </c>
      <c r="H438" s="243">
        <v>0</v>
      </c>
      <c r="I438" s="243"/>
      <c r="J438" s="243"/>
      <c r="K438" s="74" t="s">
        <v>38</v>
      </c>
      <c r="M438" s="232" t="s">
        <v>42</v>
      </c>
      <c r="N438" s="233"/>
      <c r="O438" s="233"/>
      <c r="P438" s="233"/>
      <c r="Q438" s="233"/>
      <c r="R438" s="233"/>
      <c r="S438" s="77" t="s">
        <v>39</v>
      </c>
      <c r="T438" s="243">
        <v>0</v>
      </c>
      <c r="U438" s="243"/>
      <c r="V438" s="243"/>
      <c r="W438" s="74" t="s">
        <v>38</v>
      </c>
    </row>
    <row r="439" spans="1:24" ht="18.75" customHeight="1">
      <c r="A439" s="244" t="s">
        <v>41</v>
      </c>
      <c r="B439" s="245"/>
      <c r="C439" s="245"/>
      <c r="D439" s="245"/>
      <c r="E439" s="245"/>
      <c r="F439" s="245"/>
      <c r="G439" s="77" t="s">
        <v>39</v>
      </c>
      <c r="H439" s="246" t="e">
        <f>SUM(H435:J438)</f>
        <v>#REF!</v>
      </c>
      <c r="I439" s="246"/>
      <c r="J439" s="246"/>
      <c r="K439" s="74" t="s">
        <v>38</v>
      </c>
      <c r="M439" s="244" t="s">
        <v>41</v>
      </c>
      <c r="N439" s="245"/>
      <c r="O439" s="245"/>
      <c r="P439" s="245"/>
      <c r="Q439" s="245"/>
      <c r="R439" s="245"/>
      <c r="S439" s="77" t="s">
        <v>39</v>
      </c>
      <c r="T439" s="246" t="e">
        <f>SUM(T435:V438)</f>
        <v>#REF!</v>
      </c>
      <c r="U439" s="246"/>
      <c r="V439" s="246"/>
      <c r="W439" s="74" t="s">
        <v>38</v>
      </c>
    </row>
    <row r="440" spans="1:24" ht="18.75" customHeight="1">
      <c r="A440" s="232" t="s">
        <v>40</v>
      </c>
      <c r="B440" s="233"/>
      <c r="C440" s="233"/>
      <c r="D440" s="233"/>
      <c r="E440" s="233"/>
      <c r="F440" s="233"/>
      <c r="G440" s="77" t="s">
        <v>39</v>
      </c>
      <c r="H440" s="234" t="e">
        <f>ROUND(H432-H439,-2)</f>
        <v>#REF!</v>
      </c>
      <c r="I440" s="234"/>
      <c r="J440" s="234"/>
      <c r="K440" s="74" t="s">
        <v>38</v>
      </c>
      <c r="M440" s="232" t="s">
        <v>40</v>
      </c>
      <c r="N440" s="233"/>
      <c r="O440" s="233"/>
      <c r="P440" s="233"/>
      <c r="Q440" s="233"/>
      <c r="R440" s="233"/>
      <c r="S440" s="77" t="s">
        <v>39</v>
      </c>
      <c r="T440" s="234" t="e">
        <f>ROUND(T432-T439,-2)</f>
        <v>#REF!</v>
      </c>
      <c r="U440" s="234"/>
      <c r="V440" s="234"/>
      <c r="W440" s="74" t="s">
        <v>38</v>
      </c>
    </row>
    <row r="441" spans="1:24" ht="18.75" customHeight="1">
      <c r="A441" s="91"/>
      <c r="B441" s="90"/>
      <c r="C441" s="90"/>
      <c r="D441" s="90"/>
      <c r="E441" s="90"/>
      <c r="F441" s="90"/>
      <c r="G441" s="90"/>
      <c r="H441" s="90"/>
      <c r="I441" s="90"/>
      <c r="J441" s="90"/>
      <c r="K441" s="89"/>
      <c r="M441" s="91"/>
      <c r="N441" s="90"/>
      <c r="O441" s="90"/>
      <c r="P441" s="90"/>
      <c r="Q441" s="90"/>
      <c r="R441" s="90"/>
      <c r="S441" s="90"/>
      <c r="T441" s="90"/>
      <c r="U441" s="90"/>
      <c r="V441" s="90"/>
      <c r="W441" s="89"/>
    </row>
    <row r="442" spans="1:24" ht="18.75" customHeight="1">
      <c r="A442" s="88"/>
      <c r="B442" s="77"/>
      <c r="C442" s="77"/>
      <c r="D442" s="77"/>
      <c r="E442" s="77"/>
      <c r="F442" s="77"/>
      <c r="G442" s="77"/>
      <c r="H442" s="77"/>
      <c r="I442" s="235" t="s">
        <v>37</v>
      </c>
      <c r="J442" s="235"/>
      <c r="K442" s="236"/>
      <c r="M442" s="88"/>
      <c r="N442" s="77"/>
      <c r="O442" s="77"/>
      <c r="P442" s="77"/>
      <c r="Q442" s="77"/>
      <c r="R442" s="77"/>
      <c r="S442" s="77"/>
      <c r="T442" s="77"/>
      <c r="U442" s="235" t="s">
        <v>37</v>
      </c>
      <c r="V442" s="235"/>
      <c r="W442" s="236"/>
    </row>
    <row r="443" spans="1:24" ht="18.75" customHeight="1">
      <c r="A443" s="88"/>
      <c r="B443" s="235"/>
      <c r="C443" s="235"/>
      <c r="D443" s="235"/>
      <c r="E443" s="235"/>
      <c r="F443" s="77"/>
      <c r="G443" s="77"/>
      <c r="H443" s="77"/>
      <c r="I443" s="77"/>
      <c r="J443" s="77"/>
      <c r="K443" s="82"/>
      <c r="M443" s="88"/>
      <c r="N443" s="235"/>
      <c r="O443" s="235"/>
      <c r="P443" s="235"/>
      <c r="Q443" s="235"/>
      <c r="R443" s="77"/>
      <c r="S443" s="77"/>
      <c r="T443" s="77"/>
      <c r="U443" s="77"/>
      <c r="V443" s="77"/>
      <c r="W443" s="82"/>
    </row>
    <row r="444" spans="1:24" ht="18.75" customHeight="1" thickBot="1">
      <c r="A444" s="87"/>
      <c r="B444" s="86"/>
      <c r="C444" s="86"/>
      <c r="D444" s="86"/>
      <c r="E444" s="86"/>
      <c r="F444" s="86"/>
      <c r="G444" s="86"/>
      <c r="H444" s="86"/>
      <c r="I444" s="237" t="s">
        <v>36</v>
      </c>
      <c r="J444" s="237"/>
      <c r="K444" s="238"/>
      <c r="M444" s="87"/>
      <c r="N444" s="86"/>
      <c r="O444" s="86"/>
      <c r="P444" s="86"/>
      <c r="Q444" s="86"/>
      <c r="R444" s="86"/>
      <c r="S444" s="86"/>
      <c r="T444" s="86"/>
      <c r="U444" s="237" t="s">
        <v>36</v>
      </c>
      <c r="V444" s="237"/>
      <c r="W444" s="238"/>
    </row>
    <row r="446" spans="1:24" ht="18.75" customHeight="1" thickTop="1">
      <c r="A446" s="239" t="s">
        <v>87</v>
      </c>
      <c r="B446" s="240"/>
      <c r="C446" s="240"/>
      <c r="D446" s="240"/>
      <c r="E446" s="240"/>
      <c r="F446" s="240"/>
      <c r="G446" s="240"/>
      <c r="H446" s="240"/>
      <c r="I446" s="240"/>
      <c r="J446" s="240"/>
      <c r="K446" s="241"/>
      <c r="L446" s="72">
        <v>25</v>
      </c>
      <c r="M446" s="239" t="s">
        <v>87</v>
      </c>
      <c r="N446" s="240"/>
      <c r="O446" s="240"/>
      <c r="P446" s="240"/>
      <c r="Q446" s="240"/>
      <c r="R446" s="240"/>
      <c r="S446" s="240"/>
      <c r="T446" s="240"/>
      <c r="U446" s="240"/>
      <c r="V446" s="240"/>
      <c r="W446" s="241"/>
      <c r="X446" s="72">
        <v>25</v>
      </c>
    </row>
    <row r="447" spans="1:24" ht="18.75" customHeight="1">
      <c r="A447" s="85" t="s">
        <v>125</v>
      </c>
      <c r="B447" s="84"/>
      <c r="C447" s="84"/>
      <c r="D447" s="84"/>
      <c r="E447" s="84"/>
      <c r="F447" s="84"/>
      <c r="G447" s="84"/>
      <c r="H447" s="84"/>
      <c r="I447" s="84"/>
      <c r="J447" s="84"/>
      <c r="K447" s="83"/>
      <c r="M447" s="85" t="s">
        <v>124</v>
      </c>
      <c r="N447" s="84"/>
      <c r="O447" s="84"/>
      <c r="P447" s="84"/>
      <c r="Q447" s="84"/>
      <c r="R447" s="84"/>
      <c r="S447" s="84"/>
      <c r="T447" s="84"/>
      <c r="U447" s="84"/>
      <c r="V447" s="84"/>
      <c r="W447" s="83"/>
    </row>
    <row r="448" spans="1:24" ht="18.75" customHeight="1">
      <c r="A448" s="227" t="s">
        <v>84</v>
      </c>
      <c r="B448" s="228"/>
      <c r="C448" s="228"/>
      <c r="D448" s="228"/>
      <c r="E448" s="228"/>
      <c r="F448" s="228"/>
      <c r="G448" s="228"/>
      <c r="H448" s="228"/>
      <c r="I448" s="228"/>
      <c r="J448" s="228"/>
      <c r="K448" s="229"/>
      <c r="M448" s="227" t="s">
        <v>84</v>
      </c>
      <c r="N448" s="228"/>
      <c r="O448" s="228"/>
      <c r="P448" s="228"/>
      <c r="Q448" s="228"/>
      <c r="R448" s="228"/>
      <c r="S448" s="228"/>
      <c r="T448" s="228"/>
      <c r="U448" s="228"/>
      <c r="V448" s="228"/>
      <c r="W448" s="229"/>
    </row>
    <row r="449" spans="1:24" ht="18.75" customHeight="1">
      <c r="A449" s="222" t="s">
        <v>83</v>
      </c>
      <c r="B449" s="223"/>
      <c r="C449" s="223"/>
      <c r="D449" s="223"/>
      <c r="E449" s="77" t="s">
        <v>39</v>
      </c>
      <c r="F449" s="224">
        <f>'[3]Bang TH nop'!B48</f>
        <v>0</v>
      </c>
      <c r="G449" s="223"/>
      <c r="H449" s="223"/>
      <c r="I449" s="223"/>
      <c r="J449" s="223"/>
      <c r="K449" s="226"/>
      <c r="M449" s="222" t="s">
        <v>83</v>
      </c>
      <c r="N449" s="223"/>
      <c r="O449" s="223"/>
      <c r="P449" s="223"/>
      <c r="Q449" s="77" t="s">
        <v>39</v>
      </c>
      <c r="R449" s="224">
        <f>'[3]Bang TH nop'!B50</f>
        <v>0</v>
      </c>
      <c r="S449" s="223"/>
      <c r="T449" s="223"/>
      <c r="U449" s="223"/>
      <c r="V449" s="223"/>
      <c r="W449" s="226"/>
    </row>
    <row r="450" spans="1:24" ht="18.75" customHeight="1">
      <c r="A450" s="222" t="s">
        <v>82</v>
      </c>
      <c r="B450" s="223"/>
      <c r="C450" s="223"/>
      <c r="D450" s="223"/>
      <c r="E450" s="77" t="s">
        <v>39</v>
      </c>
      <c r="F450" s="224">
        <f>'[3]Bang TH nop'!C48</f>
        <v>0</v>
      </c>
      <c r="G450" s="224"/>
      <c r="H450" s="224"/>
      <c r="I450" s="224"/>
      <c r="J450" s="224"/>
      <c r="K450" s="225"/>
      <c r="M450" s="222" t="s">
        <v>82</v>
      </c>
      <c r="N450" s="223"/>
      <c r="O450" s="223"/>
      <c r="P450" s="223"/>
      <c r="Q450" s="77" t="s">
        <v>39</v>
      </c>
      <c r="R450" s="224">
        <f>'[3]Bang TH nop'!C50</f>
        <v>0</v>
      </c>
      <c r="S450" s="224"/>
      <c r="T450" s="224"/>
      <c r="U450" s="224"/>
      <c r="V450" s="224"/>
      <c r="W450" s="225"/>
    </row>
    <row r="451" spans="1:24" ht="18.75" customHeight="1">
      <c r="A451" s="222" t="s">
        <v>81</v>
      </c>
      <c r="B451" s="223"/>
      <c r="C451" s="223"/>
      <c r="D451" s="223"/>
      <c r="E451" s="77" t="s">
        <v>39</v>
      </c>
      <c r="F451" s="223" t="s">
        <v>80</v>
      </c>
      <c r="G451" s="223"/>
      <c r="H451" s="223"/>
      <c r="I451" s="223"/>
      <c r="J451" s="223"/>
      <c r="K451" s="226"/>
      <c r="M451" s="222" t="s">
        <v>81</v>
      </c>
      <c r="N451" s="223"/>
      <c r="O451" s="223"/>
      <c r="P451" s="223"/>
      <c r="Q451" s="77" t="s">
        <v>39</v>
      </c>
      <c r="R451" s="223" t="s">
        <v>80</v>
      </c>
      <c r="S451" s="223"/>
      <c r="T451" s="223"/>
      <c r="U451" s="223"/>
      <c r="V451" s="223"/>
      <c r="W451" s="226"/>
    </row>
    <row r="452" spans="1:24" ht="18.75" customHeight="1">
      <c r="A452" s="227" t="s">
        <v>79</v>
      </c>
      <c r="B452" s="228"/>
      <c r="C452" s="228"/>
      <c r="D452" s="228"/>
      <c r="E452" s="228"/>
      <c r="F452" s="228"/>
      <c r="G452" s="228"/>
      <c r="H452" s="228"/>
      <c r="I452" s="228"/>
      <c r="J452" s="228"/>
      <c r="K452" s="229"/>
      <c r="M452" s="227" t="s">
        <v>79</v>
      </c>
      <c r="N452" s="228"/>
      <c r="O452" s="228"/>
      <c r="P452" s="228"/>
      <c r="Q452" s="228"/>
      <c r="R452" s="228"/>
      <c r="S452" s="228"/>
      <c r="T452" s="228"/>
      <c r="U452" s="228"/>
      <c r="V452" s="228"/>
      <c r="W452" s="229"/>
    </row>
    <row r="453" spans="1:24" ht="18.75" customHeight="1">
      <c r="A453" s="222" t="s">
        <v>78</v>
      </c>
      <c r="B453" s="223"/>
      <c r="C453" s="223"/>
      <c r="D453" s="223"/>
      <c r="E453" s="77" t="s">
        <v>39</v>
      </c>
      <c r="F453" s="230">
        <v>2915400</v>
      </c>
      <c r="G453" s="230"/>
      <c r="H453" s="230"/>
      <c r="I453" s="230"/>
      <c r="J453" s="77" t="s">
        <v>38</v>
      </c>
      <c r="K453" s="82"/>
      <c r="M453" s="222" t="s">
        <v>78</v>
      </c>
      <c r="N453" s="223"/>
      <c r="O453" s="223"/>
      <c r="P453" s="223"/>
      <c r="Q453" s="77" t="s">
        <v>39</v>
      </c>
      <c r="R453" s="230">
        <v>2915400</v>
      </c>
      <c r="S453" s="230"/>
      <c r="T453" s="230"/>
      <c r="U453" s="230"/>
      <c r="V453" s="77" t="s">
        <v>38</v>
      </c>
      <c r="W453" s="82"/>
    </row>
    <row r="454" spans="1:24" ht="18.75" customHeight="1">
      <c r="A454" s="81" t="s">
        <v>77</v>
      </c>
      <c r="B454" s="77"/>
      <c r="C454" s="80"/>
      <c r="D454" s="79"/>
      <c r="E454" s="78"/>
      <c r="F454" s="78"/>
      <c r="G454" s="78"/>
      <c r="H454" s="77"/>
      <c r="I454" s="76" t="e">
        <f>#REF!</f>
        <v>#REF!</v>
      </c>
      <c r="J454" s="75"/>
      <c r="K454" s="74"/>
      <c r="M454" s="81" t="s">
        <v>77</v>
      </c>
      <c r="N454" s="77"/>
      <c r="O454" s="80"/>
      <c r="P454" s="79"/>
      <c r="Q454" s="78"/>
      <c r="R454" s="78"/>
      <c r="S454" s="78"/>
      <c r="T454" s="77"/>
      <c r="U454" s="76" t="e">
        <f>#REF!</f>
        <v>#REF!</v>
      </c>
      <c r="V454" s="75"/>
      <c r="W454" s="74"/>
    </row>
    <row r="455" spans="1:24" ht="18.75" customHeight="1">
      <c r="A455" s="81" t="s">
        <v>76</v>
      </c>
      <c r="B455" s="77"/>
      <c r="C455" s="80"/>
      <c r="D455" s="79"/>
      <c r="E455" s="78"/>
      <c r="F455" s="78"/>
      <c r="G455" s="78"/>
      <c r="H455" s="77"/>
      <c r="I455" s="76" t="e">
        <f>I456/C456/8</f>
        <v>#REF!</v>
      </c>
      <c r="J455" s="75"/>
      <c r="K455" s="74"/>
      <c r="M455" s="81" t="s">
        <v>76</v>
      </c>
      <c r="N455" s="77"/>
      <c r="O455" s="80"/>
      <c r="P455" s="79"/>
      <c r="Q455" s="78"/>
      <c r="R455" s="78"/>
      <c r="S455" s="78"/>
      <c r="T455" s="77"/>
      <c r="U455" s="76" t="e">
        <f>U456/O456/8</f>
        <v>#REF!</v>
      </c>
      <c r="V455" s="75"/>
      <c r="W455" s="74"/>
    </row>
    <row r="456" spans="1:24" ht="18.75" customHeight="1">
      <c r="A456" s="81" t="s">
        <v>75</v>
      </c>
      <c r="B456" s="77" t="s">
        <v>39</v>
      </c>
      <c r="C456" s="80" t="e">
        <f>#REF!</f>
        <v>#REF!</v>
      </c>
      <c r="D456" s="79" t="s">
        <v>52</v>
      </c>
      <c r="E456" s="249" t="s">
        <v>74</v>
      </c>
      <c r="F456" s="249"/>
      <c r="G456" s="249"/>
      <c r="H456" s="77" t="s">
        <v>39</v>
      </c>
      <c r="I456" s="255" t="e">
        <f>#REF!</f>
        <v>#REF!</v>
      </c>
      <c r="J456" s="255"/>
      <c r="K456" s="74" t="s">
        <v>38</v>
      </c>
      <c r="L456" s="95" t="e">
        <f>F453/L446*C456</f>
        <v>#REF!</v>
      </c>
      <c r="M456" s="81" t="s">
        <v>75</v>
      </c>
      <c r="N456" s="77" t="s">
        <v>39</v>
      </c>
      <c r="O456" s="80" t="e">
        <f>#REF!</f>
        <v>#REF!</v>
      </c>
      <c r="P456" s="79" t="s">
        <v>52</v>
      </c>
      <c r="Q456" s="249" t="s">
        <v>74</v>
      </c>
      <c r="R456" s="249"/>
      <c r="S456" s="249"/>
      <c r="T456" s="77" t="s">
        <v>39</v>
      </c>
      <c r="U456" s="255" t="e">
        <f>#REF!</f>
        <v>#REF!</v>
      </c>
      <c r="V456" s="255"/>
      <c r="W456" s="74" t="s">
        <v>38</v>
      </c>
      <c r="X456" s="95" t="e">
        <f>R453/X446*O456</f>
        <v>#REF!</v>
      </c>
    </row>
    <row r="457" spans="1:24" ht="18.75" customHeight="1">
      <c r="A457" s="81" t="s">
        <v>73</v>
      </c>
      <c r="B457" s="77" t="s">
        <v>39</v>
      </c>
      <c r="C457" s="80" t="e">
        <f>#REF!</f>
        <v>#REF!</v>
      </c>
      <c r="D457" s="79" t="s">
        <v>52</v>
      </c>
      <c r="E457" s="223" t="s">
        <v>72</v>
      </c>
      <c r="F457" s="223"/>
      <c r="G457" s="223"/>
      <c r="H457" s="77" t="s">
        <v>39</v>
      </c>
      <c r="I457" s="247" t="e">
        <f>$F$8/$L$1*C457</f>
        <v>#REF!</v>
      </c>
      <c r="J457" s="247"/>
      <c r="K457" s="74" t="s">
        <v>38</v>
      </c>
      <c r="L457" s="95"/>
      <c r="M457" s="81" t="s">
        <v>73</v>
      </c>
      <c r="N457" s="77" t="s">
        <v>39</v>
      </c>
      <c r="O457" s="80" t="e">
        <f>#REF!</f>
        <v>#REF!</v>
      </c>
      <c r="P457" s="79" t="s">
        <v>52</v>
      </c>
      <c r="Q457" s="223" t="s">
        <v>72</v>
      </c>
      <c r="R457" s="223"/>
      <c r="S457" s="223"/>
      <c r="T457" s="77" t="s">
        <v>39</v>
      </c>
      <c r="U457" s="247" t="e">
        <f>$F$8/$L$1*O457</f>
        <v>#REF!</v>
      </c>
      <c r="V457" s="247"/>
      <c r="W457" s="74" t="s">
        <v>38</v>
      </c>
      <c r="X457" s="95"/>
    </row>
    <row r="458" spans="1:24" ht="18.75" customHeight="1">
      <c r="A458" s="81" t="s">
        <v>71</v>
      </c>
      <c r="B458" s="77" t="s">
        <v>39</v>
      </c>
      <c r="C458" s="80" t="e">
        <f>#REF!</f>
        <v>#REF!</v>
      </c>
      <c r="D458" s="79" t="s">
        <v>52</v>
      </c>
      <c r="E458" s="256" t="s">
        <v>70</v>
      </c>
      <c r="F458" s="256"/>
      <c r="G458" s="256"/>
      <c r="H458" s="77" t="s">
        <v>39</v>
      </c>
      <c r="I458" s="247" t="e">
        <f>$F$8/$L$1*C458</f>
        <v>#REF!</v>
      </c>
      <c r="J458" s="247"/>
      <c r="K458" s="74" t="s">
        <v>38</v>
      </c>
      <c r="L458" s="95"/>
      <c r="M458" s="81" t="s">
        <v>71</v>
      </c>
      <c r="N458" s="77" t="s">
        <v>39</v>
      </c>
      <c r="O458" s="80" t="e">
        <f>#REF!</f>
        <v>#REF!</v>
      </c>
      <c r="P458" s="79" t="s">
        <v>52</v>
      </c>
      <c r="Q458" s="256" t="s">
        <v>70</v>
      </c>
      <c r="R458" s="256"/>
      <c r="S458" s="256"/>
      <c r="T458" s="77" t="s">
        <v>39</v>
      </c>
      <c r="U458" s="247" t="e">
        <f>$F$8/$L$1*O458</f>
        <v>#REF!</v>
      </c>
      <c r="V458" s="247"/>
      <c r="W458" s="74" t="s">
        <v>38</v>
      </c>
      <c r="X458" s="95"/>
    </row>
    <row r="459" spans="1:24" ht="18.75" customHeight="1">
      <c r="A459" s="81" t="s">
        <v>69</v>
      </c>
      <c r="B459" s="77" t="s">
        <v>39</v>
      </c>
      <c r="C459" s="80" t="e">
        <f>#REF!</f>
        <v>#REF!</v>
      </c>
      <c r="D459" s="79" t="s">
        <v>52</v>
      </c>
      <c r="E459" s="256" t="s">
        <v>68</v>
      </c>
      <c r="F459" s="256"/>
      <c r="G459" s="256"/>
      <c r="H459" s="77" t="s">
        <v>39</v>
      </c>
      <c r="I459" s="247" t="e">
        <f>$F$8/$L$1*C459</f>
        <v>#REF!</v>
      </c>
      <c r="J459" s="247"/>
      <c r="K459" s="74" t="s">
        <v>38</v>
      </c>
      <c r="L459" s="95"/>
      <c r="M459" s="81" t="s">
        <v>69</v>
      </c>
      <c r="N459" s="77" t="s">
        <v>39</v>
      </c>
      <c r="O459" s="80" t="e">
        <f>#REF!</f>
        <v>#REF!</v>
      </c>
      <c r="P459" s="79" t="s">
        <v>52</v>
      </c>
      <c r="Q459" s="256" t="s">
        <v>68</v>
      </c>
      <c r="R459" s="256"/>
      <c r="S459" s="256"/>
      <c r="T459" s="77" t="s">
        <v>39</v>
      </c>
      <c r="U459" s="247" t="e">
        <f>$F$8/$L$1*O459</f>
        <v>#REF!</v>
      </c>
      <c r="V459" s="247"/>
      <c r="W459" s="74" t="s">
        <v>38</v>
      </c>
      <c r="X459" s="95"/>
    </row>
    <row r="460" spans="1:24" ht="18.75" customHeight="1">
      <c r="A460" s="81" t="s">
        <v>67</v>
      </c>
      <c r="B460" s="77" t="s">
        <v>39</v>
      </c>
      <c r="C460" s="80" t="e">
        <f>#REF!</f>
        <v>#REF!</v>
      </c>
      <c r="D460" s="79" t="s">
        <v>58</v>
      </c>
      <c r="E460" s="223" t="s">
        <v>66</v>
      </c>
      <c r="F460" s="223"/>
      <c r="G460" s="223"/>
      <c r="H460" s="77" t="s">
        <v>39</v>
      </c>
      <c r="I460" s="247" t="e">
        <f>#REF!</f>
        <v>#REF!</v>
      </c>
      <c r="J460" s="247"/>
      <c r="K460" s="74" t="s">
        <v>38</v>
      </c>
      <c r="L460" s="95" t="e">
        <f>F453*C460/L446/8*1.5</f>
        <v>#REF!</v>
      </c>
      <c r="M460" s="81" t="s">
        <v>67</v>
      </c>
      <c r="N460" s="77" t="s">
        <v>39</v>
      </c>
      <c r="O460" s="80" t="e">
        <f>#REF!</f>
        <v>#REF!</v>
      </c>
      <c r="P460" s="79" t="s">
        <v>58</v>
      </c>
      <c r="Q460" s="223" t="s">
        <v>66</v>
      </c>
      <c r="R460" s="223"/>
      <c r="S460" s="223"/>
      <c r="T460" s="77" t="s">
        <v>39</v>
      </c>
      <c r="U460" s="247" t="e">
        <f>#REF!</f>
        <v>#REF!</v>
      </c>
      <c r="V460" s="247"/>
      <c r="W460" s="74" t="s">
        <v>38</v>
      </c>
      <c r="X460" s="95" t="e">
        <f>R453*O460/X446/8*1.5</f>
        <v>#REF!</v>
      </c>
    </row>
    <row r="461" spans="1:24" ht="18.75" customHeight="1">
      <c r="A461" s="222" t="s">
        <v>65</v>
      </c>
      <c r="B461" s="223"/>
      <c r="C461" s="80"/>
      <c r="D461" s="79" t="s">
        <v>52</v>
      </c>
      <c r="E461" s="223" t="s">
        <v>64</v>
      </c>
      <c r="F461" s="223"/>
      <c r="G461" s="223"/>
      <c r="H461" s="100" t="s">
        <v>39</v>
      </c>
      <c r="I461" s="247"/>
      <c r="J461" s="247"/>
      <c r="K461" s="74" t="s">
        <v>38</v>
      </c>
      <c r="L461" s="95"/>
      <c r="M461" s="222" t="s">
        <v>65</v>
      </c>
      <c r="N461" s="223"/>
      <c r="O461" s="80"/>
      <c r="P461" s="79" t="s">
        <v>52</v>
      </c>
      <c r="Q461" s="223" t="s">
        <v>64</v>
      </c>
      <c r="R461" s="223"/>
      <c r="S461" s="223"/>
      <c r="T461" s="100" t="s">
        <v>39</v>
      </c>
      <c r="U461" s="247"/>
      <c r="V461" s="247"/>
      <c r="W461" s="74" t="s">
        <v>38</v>
      </c>
      <c r="X461" s="95"/>
    </row>
    <row r="462" spans="1:24" ht="18.75" customHeight="1">
      <c r="A462" s="81" t="s">
        <v>63</v>
      </c>
      <c r="B462" s="77" t="s">
        <v>39</v>
      </c>
      <c r="C462" s="80"/>
      <c r="D462" s="79" t="s">
        <v>52</v>
      </c>
      <c r="E462" s="223" t="s">
        <v>62</v>
      </c>
      <c r="F462" s="223"/>
      <c r="G462" s="223"/>
      <c r="H462" s="77" t="s">
        <v>39</v>
      </c>
      <c r="I462" s="247"/>
      <c r="J462" s="247"/>
      <c r="K462" s="74" t="s">
        <v>38</v>
      </c>
      <c r="L462" s="95"/>
      <c r="M462" s="81" t="s">
        <v>63</v>
      </c>
      <c r="N462" s="77" t="s">
        <v>39</v>
      </c>
      <c r="O462" s="80"/>
      <c r="P462" s="79" t="s">
        <v>52</v>
      </c>
      <c r="Q462" s="223" t="s">
        <v>62</v>
      </c>
      <c r="R462" s="223"/>
      <c r="S462" s="223"/>
      <c r="T462" s="77" t="s">
        <v>39</v>
      </c>
      <c r="U462" s="247"/>
      <c r="V462" s="247"/>
      <c r="W462" s="74" t="s">
        <v>38</v>
      </c>
      <c r="X462" s="95"/>
    </row>
    <row r="463" spans="1:24" ht="18.75" customHeight="1">
      <c r="A463" s="99" t="s">
        <v>61</v>
      </c>
      <c r="B463" s="77"/>
      <c r="C463" s="80" t="e">
        <f>#REF!</f>
        <v>#REF!</v>
      </c>
      <c r="D463" s="79" t="s">
        <v>58</v>
      </c>
      <c r="E463" s="223" t="s">
        <v>60</v>
      </c>
      <c r="F463" s="223"/>
      <c r="G463" s="223"/>
      <c r="H463" s="77" t="s">
        <v>39</v>
      </c>
      <c r="I463" s="247" t="e">
        <f>$F$8*C463/8/$L$1</f>
        <v>#REF!</v>
      </c>
      <c r="J463" s="247"/>
      <c r="K463" s="74" t="s">
        <v>38</v>
      </c>
      <c r="L463" s="95"/>
      <c r="M463" s="99" t="s">
        <v>61</v>
      </c>
      <c r="N463" s="77"/>
      <c r="O463" s="80" t="e">
        <f>#REF!</f>
        <v>#REF!</v>
      </c>
      <c r="P463" s="79" t="s">
        <v>58</v>
      </c>
      <c r="Q463" s="223" t="s">
        <v>60</v>
      </c>
      <c r="R463" s="223"/>
      <c r="S463" s="223"/>
      <c r="T463" s="77" t="s">
        <v>39</v>
      </c>
      <c r="U463" s="247" t="e">
        <f>$F$8*O463/8/$L$1</f>
        <v>#REF!</v>
      </c>
      <c r="V463" s="247"/>
      <c r="W463" s="74" t="s">
        <v>38</v>
      </c>
      <c r="X463" s="95"/>
    </row>
    <row r="464" spans="1:24" ht="18.75" customHeight="1">
      <c r="A464" s="81" t="s">
        <v>59</v>
      </c>
      <c r="B464" s="77" t="s">
        <v>39</v>
      </c>
      <c r="C464" s="80"/>
      <c r="D464" s="79" t="s">
        <v>58</v>
      </c>
      <c r="E464" s="223" t="s">
        <v>57</v>
      </c>
      <c r="F464" s="223"/>
      <c r="G464" s="223"/>
      <c r="H464" s="77" t="s">
        <v>39</v>
      </c>
      <c r="I464" s="255"/>
      <c r="J464" s="255"/>
      <c r="K464" s="74" t="s">
        <v>38</v>
      </c>
      <c r="L464" s="95"/>
      <c r="M464" s="81" t="s">
        <v>59</v>
      </c>
      <c r="N464" s="77" t="s">
        <v>39</v>
      </c>
      <c r="O464" s="80"/>
      <c r="P464" s="79" t="s">
        <v>58</v>
      </c>
      <c r="Q464" s="223" t="s">
        <v>57</v>
      </c>
      <c r="R464" s="223"/>
      <c r="S464" s="223"/>
      <c r="T464" s="77" t="s">
        <v>39</v>
      </c>
      <c r="U464" s="255"/>
      <c r="V464" s="255"/>
      <c r="W464" s="74" t="s">
        <v>38</v>
      </c>
      <c r="X464" s="95"/>
    </row>
    <row r="465" spans="1:24" ht="18.75" customHeight="1">
      <c r="A465" s="81" t="s">
        <v>56</v>
      </c>
      <c r="B465" s="77" t="s">
        <v>39</v>
      </c>
      <c r="C465" s="80"/>
      <c r="D465" s="79" t="s">
        <v>55</v>
      </c>
      <c r="E465" s="98" t="s">
        <v>54</v>
      </c>
      <c r="F465" s="98"/>
      <c r="G465" s="98"/>
      <c r="H465" s="77" t="s">
        <v>39</v>
      </c>
      <c r="I465" s="247"/>
      <c r="J465" s="247"/>
      <c r="K465" s="74" t="s">
        <v>38</v>
      </c>
      <c r="L465" s="95" t="e">
        <f>+IF(L456-I456&lt;0,0,L456-I456)+IF(L460-I460&lt;0,0,L460-I460)</f>
        <v>#REF!</v>
      </c>
      <c r="M465" s="81" t="s">
        <v>56</v>
      </c>
      <c r="N465" s="77" t="s">
        <v>39</v>
      </c>
      <c r="O465" s="80"/>
      <c r="P465" s="79" t="s">
        <v>55</v>
      </c>
      <c r="Q465" s="98" t="s">
        <v>54</v>
      </c>
      <c r="R465" s="98"/>
      <c r="S465" s="98"/>
      <c r="T465" s="77" t="s">
        <v>39</v>
      </c>
      <c r="U465" s="247"/>
      <c r="V465" s="247"/>
      <c r="W465" s="74" t="s">
        <v>38</v>
      </c>
      <c r="X465" s="95" t="e">
        <f>+IF(X456-U456&lt;0,0,X456-U456)+IF(X460-U460&lt;0,0,X460-U460)</f>
        <v>#REF!</v>
      </c>
    </row>
    <row r="466" spans="1:24" ht="18.75" customHeight="1">
      <c r="A466" s="97" t="s">
        <v>53</v>
      </c>
      <c r="B466" s="96"/>
      <c r="C466" s="80"/>
      <c r="D466" s="79" t="s">
        <v>52</v>
      </c>
      <c r="E466" s="223" t="s">
        <v>51</v>
      </c>
      <c r="F466" s="223"/>
      <c r="G466" s="223"/>
      <c r="H466" s="77" t="s">
        <v>39</v>
      </c>
      <c r="I466" s="247"/>
      <c r="J466" s="247"/>
      <c r="K466" s="74" t="s">
        <v>38</v>
      </c>
      <c r="L466" s="95"/>
      <c r="M466" s="97" t="s">
        <v>53</v>
      </c>
      <c r="N466" s="96"/>
      <c r="O466" s="80"/>
      <c r="P466" s="79" t="s">
        <v>52</v>
      </c>
      <c r="Q466" s="223" t="s">
        <v>51</v>
      </c>
      <c r="R466" s="223"/>
      <c r="S466" s="223"/>
      <c r="T466" s="77" t="s">
        <v>39</v>
      </c>
      <c r="U466" s="247"/>
      <c r="V466" s="247"/>
      <c r="W466" s="74" t="s">
        <v>38</v>
      </c>
      <c r="X466" s="95"/>
    </row>
    <row r="467" spans="1:24" ht="18.75" customHeight="1">
      <c r="A467" s="248" t="s">
        <v>50</v>
      </c>
      <c r="B467" s="249"/>
      <c r="C467" s="80"/>
      <c r="D467" s="79"/>
      <c r="E467" s="78"/>
      <c r="F467" s="78"/>
      <c r="G467" s="78"/>
      <c r="H467" s="77" t="s">
        <v>39</v>
      </c>
      <c r="I467" s="247" t="e">
        <f>#REF!</f>
        <v>#REF!</v>
      </c>
      <c r="J467" s="247"/>
      <c r="K467" s="74" t="s">
        <v>38</v>
      </c>
      <c r="L467" s="95"/>
      <c r="M467" s="248" t="s">
        <v>50</v>
      </c>
      <c r="N467" s="249"/>
      <c r="O467" s="80"/>
      <c r="P467" s="79"/>
      <c r="Q467" s="78"/>
      <c r="R467" s="78"/>
      <c r="S467" s="78"/>
      <c r="T467" s="77" t="s">
        <v>39</v>
      </c>
      <c r="U467" s="247" t="e">
        <f>#REF!</f>
        <v>#REF!</v>
      </c>
      <c r="V467" s="247"/>
      <c r="W467" s="74" t="s">
        <v>38</v>
      </c>
      <c r="X467" s="95"/>
    </row>
    <row r="468" spans="1:24" ht="18.75" customHeight="1">
      <c r="A468" s="81" t="s">
        <v>49</v>
      </c>
      <c r="B468" s="77" t="s">
        <v>39</v>
      </c>
      <c r="C468" s="80"/>
      <c r="D468" s="79"/>
      <c r="E468" s="78" t="s">
        <v>48</v>
      </c>
      <c r="F468" s="78"/>
      <c r="G468" s="78"/>
      <c r="H468" s="77" t="s">
        <v>39</v>
      </c>
      <c r="I468" s="247" t="e">
        <f>L465</f>
        <v>#REF!</v>
      </c>
      <c r="J468" s="247"/>
      <c r="K468" s="74" t="s">
        <v>38</v>
      </c>
      <c r="L468" s="95"/>
      <c r="M468" s="81" t="s">
        <v>49</v>
      </c>
      <c r="N468" s="77" t="s">
        <v>39</v>
      </c>
      <c r="O468" s="80"/>
      <c r="P468" s="79"/>
      <c r="Q468" s="78" t="s">
        <v>48</v>
      </c>
      <c r="R468" s="78"/>
      <c r="S468" s="78"/>
      <c r="T468" s="77" t="s">
        <v>39</v>
      </c>
      <c r="U468" s="247" t="e">
        <f>X465</f>
        <v>#REF!</v>
      </c>
      <c r="V468" s="247"/>
      <c r="W468" s="74" t="s">
        <v>38</v>
      </c>
      <c r="X468" s="95"/>
    </row>
    <row r="469" spans="1:24" ht="18.75" customHeight="1">
      <c r="A469" s="250" t="s">
        <v>47</v>
      </c>
      <c r="B469" s="251"/>
      <c r="C469" s="251"/>
      <c r="D469" s="251"/>
      <c r="E469" s="251"/>
      <c r="F469" s="251"/>
      <c r="G469" s="77" t="s">
        <v>39</v>
      </c>
      <c r="H469" s="252" t="e">
        <f>I456+I457+I458+I459+I460+I463+I467+I468</f>
        <v>#REF!</v>
      </c>
      <c r="I469" s="252"/>
      <c r="J469" s="252"/>
      <c r="K469" s="74" t="s">
        <v>38</v>
      </c>
      <c r="M469" s="250" t="s">
        <v>47</v>
      </c>
      <c r="N469" s="251"/>
      <c r="O469" s="251"/>
      <c r="P469" s="251"/>
      <c r="Q469" s="251"/>
      <c r="R469" s="251"/>
      <c r="S469" s="77" t="s">
        <v>39</v>
      </c>
      <c r="T469" s="252" t="e">
        <f>U456+U457+U458+U459+U460+U463+U467+U468</f>
        <v>#REF!</v>
      </c>
      <c r="U469" s="252"/>
      <c r="V469" s="252"/>
      <c r="W469" s="74" t="s">
        <v>38</v>
      </c>
    </row>
    <row r="470" spans="1:24" ht="18.75" customHeight="1">
      <c r="A470" s="94"/>
      <c r="B470" s="93"/>
      <c r="C470" s="93"/>
      <c r="D470" s="93"/>
      <c r="E470" s="93"/>
      <c r="F470" s="93"/>
      <c r="G470" s="93"/>
      <c r="H470" s="93"/>
      <c r="I470" s="93"/>
      <c r="J470" s="93"/>
      <c r="K470" s="92"/>
      <c r="M470" s="94"/>
      <c r="N470" s="93"/>
      <c r="O470" s="93"/>
      <c r="P470" s="93"/>
      <c r="Q470" s="93"/>
      <c r="R470" s="93"/>
      <c r="S470" s="93"/>
      <c r="T470" s="93"/>
      <c r="U470" s="93"/>
      <c r="V470" s="93"/>
      <c r="W470" s="92"/>
    </row>
    <row r="471" spans="1:24" ht="18.75" customHeight="1">
      <c r="A471" s="253" t="s">
        <v>46</v>
      </c>
      <c r="B471" s="254"/>
      <c r="C471" s="254"/>
      <c r="D471" s="254"/>
      <c r="E471" s="254"/>
      <c r="F471" s="254"/>
      <c r="G471" s="77"/>
      <c r="H471" s="77"/>
      <c r="I471" s="77"/>
      <c r="J471" s="77"/>
      <c r="K471" s="74"/>
      <c r="M471" s="253" t="s">
        <v>46</v>
      </c>
      <c r="N471" s="254"/>
      <c r="O471" s="254"/>
      <c r="P471" s="254"/>
      <c r="Q471" s="254"/>
      <c r="R471" s="254"/>
      <c r="S471" s="77"/>
      <c r="T471" s="77"/>
      <c r="U471" s="77"/>
      <c r="V471" s="77"/>
      <c r="W471" s="74"/>
    </row>
    <row r="472" spans="1:24" ht="18.75" customHeight="1">
      <c r="A472" s="232" t="s">
        <v>45</v>
      </c>
      <c r="B472" s="233"/>
      <c r="C472" s="233"/>
      <c r="D472" s="233"/>
      <c r="E472" s="233"/>
      <c r="F472" s="233"/>
      <c r="G472" s="77" t="s">
        <v>39</v>
      </c>
      <c r="H472" s="242" t="e">
        <f>IF(($L$1-(C456+C457+C458+C459))&gt;12,0,F453*8%)</f>
        <v>#REF!</v>
      </c>
      <c r="I472" s="242"/>
      <c r="J472" s="242"/>
      <c r="K472" s="74" t="s">
        <v>38</v>
      </c>
      <c r="M472" s="232" t="s">
        <v>45</v>
      </c>
      <c r="N472" s="233"/>
      <c r="O472" s="233"/>
      <c r="P472" s="233"/>
      <c r="Q472" s="233"/>
      <c r="R472" s="233"/>
      <c r="S472" s="77" t="s">
        <v>39</v>
      </c>
      <c r="T472" s="242" t="e">
        <f>IF(($L$1-(O456+O457+O458+O459))&gt;12,0,R453*8%)</f>
        <v>#REF!</v>
      </c>
      <c r="U472" s="242"/>
      <c r="V472" s="242"/>
      <c r="W472" s="74" t="s">
        <v>38</v>
      </c>
    </row>
    <row r="473" spans="1:24" ht="18.75" customHeight="1">
      <c r="A473" s="232" t="s">
        <v>44</v>
      </c>
      <c r="B473" s="233"/>
      <c r="C473" s="233"/>
      <c r="D473" s="233"/>
      <c r="E473" s="233"/>
      <c r="F473" s="233"/>
      <c r="G473" s="77" t="s">
        <v>39</v>
      </c>
      <c r="H473" s="243" t="e">
        <f>IF(($L$1-(C456+C457+C458+C459))&gt;12,0,F453*1.5%)</f>
        <v>#REF!</v>
      </c>
      <c r="I473" s="243"/>
      <c r="J473" s="243"/>
      <c r="K473" s="74" t="s">
        <v>38</v>
      </c>
      <c r="M473" s="232" t="s">
        <v>44</v>
      </c>
      <c r="N473" s="233"/>
      <c r="O473" s="233"/>
      <c r="P473" s="233"/>
      <c r="Q473" s="233"/>
      <c r="R473" s="233"/>
      <c r="S473" s="77" t="s">
        <v>39</v>
      </c>
      <c r="T473" s="243" t="e">
        <f>IF(($L$1-(O456+O457+O458+O459))&gt;12,0,R453*1.5%)</f>
        <v>#REF!</v>
      </c>
      <c r="U473" s="243"/>
      <c r="V473" s="243"/>
      <c r="W473" s="74" t="s">
        <v>38</v>
      </c>
    </row>
    <row r="474" spans="1:24" ht="18.75" customHeight="1">
      <c r="A474" s="232" t="s">
        <v>43</v>
      </c>
      <c r="B474" s="233"/>
      <c r="C474" s="233"/>
      <c r="D474" s="233"/>
      <c r="E474" s="233"/>
      <c r="F474" s="233"/>
      <c r="G474" s="77" t="s">
        <v>39</v>
      </c>
      <c r="H474" s="243" t="e">
        <f>IF(($L$1-(C456+C457+C458+C459))&gt;12,0,F453*1%)</f>
        <v>#REF!</v>
      </c>
      <c r="I474" s="243"/>
      <c r="J474" s="243"/>
      <c r="K474" s="74" t="s">
        <v>38</v>
      </c>
      <c r="M474" s="232" t="s">
        <v>43</v>
      </c>
      <c r="N474" s="233"/>
      <c r="O474" s="233"/>
      <c r="P474" s="233"/>
      <c r="Q474" s="233"/>
      <c r="R474" s="233"/>
      <c r="S474" s="77" t="s">
        <v>39</v>
      </c>
      <c r="T474" s="243" t="e">
        <f>IF(($L$1-(O456+O457+O458+O459))&gt;12,0,R453*1%)</f>
        <v>#REF!</v>
      </c>
      <c r="U474" s="243"/>
      <c r="V474" s="243"/>
      <c r="W474" s="74" t="s">
        <v>38</v>
      </c>
    </row>
    <row r="475" spans="1:24" ht="18.75" customHeight="1">
      <c r="A475" s="232" t="s">
        <v>42</v>
      </c>
      <c r="B475" s="233"/>
      <c r="C475" s="233"/>
      <c r="D475" s="233"/>
      <c r="E475" s="233"/>
      <c r="F475" s="233"/>
      <c r="G475" s="77" t="s">
        <v>39</v>
      </c>
      <c r="H475" s="243">
        <v>0</v>
      </c>
      <c r="I475" s="243"/>
      <c r="J475" s="243"/>
      <c r="K475" s="74" t="s">
        <v>38</v>
      </c>
      <c r="M475" s="232" t="s">
        <v>42</v>
      </c>
      <c r="N475" s="233"/>
      <c r="O475" s="233"/>
      <c r="P475" s="233"/>
      <c r="Q475" s="233"/>
      <c r="R475" s="233"/>
      <c r="S475" s="77" t="s">
        <v>39</v>
      </c>
      <c r="T475" s="243">
        <v>0</v>
      </c>
      <c r="U475" s="243"/>
      <c r="V475" s="243"/>
      <c r="W475" s="74" t="s">
        <v>38</v>
      </c>
    </row>
    <row r="476" spans="1:24" ht="18.75" customHeight="1">
      <c r="A476" s="244" t="s">
        <v>41</v>
      </c>
      <c r="B476" s="245"/>
      <c r="C476" s="245"/>
      <c r="D476" s="245"/>
      <c r="E476" s="245"/>
      <c r="F476" s="245"/>
      <c r="G476" s="77" t="s">
        <v>39</v>
      </c>
      <c r="H476" s="246" t="e">
        <f>SUM(H472:J475)</f>
        <v>#REF!</v>
      </c>
      <c r="I476" s="246"/>
      <c r="J476" s="246"/>
      <c r="K476" s="74" t="s">
        <v>38</v>
      </c>
      <c r="M476" s="244" t="s">
        <v>41</v>
      </c>
      <c r="N476" s="245"/>
      <c r="O476" s="245"/>
      <c r="P476" s="245"/>
      <c r="Q476" s="245"/>
      <c r="R476" s="245"/>
      <c r="S476" s="77" t="s">
        <v>39</v>
      </c>
      <c r="T476" s="246" t="e">
        <f>SUM(T472:V475)</f>
        <v>#REF!</v>
      </c>
      <c r="U476" s="246"/>
      <c r="V476" s="246"/>
      <c r="W476" s="74" t="s">
        <v>38</v>
      </c>
    </row>
    <row r="477" spans="1:24" ht="18.75" customHeight="1">
      <c r="A477" s="232" t="s">
        <v>40</v>
      </c>
      <c r="B477" s="233"/>
      <c r="C477" s="233"/>
      <c r="D477" s="233"/>
      <c r="E477" s="233"/>
      <c r="F477" s="233"/>
      <c r="G477" s="77" t="s">
        <v>39</v>
      </c>
      <c r="H477" s="234" t="e">
        <f>ROUND(H469-H476,-2)</f>
        <v>#REF!</v>
      </c>
      <c r="I477" s="234"/>
      <c r="J477" s="234"/>
      <c r="K477" s="74" t="s">
        <v>38</v>
      </c>
      <c r="M477" s="232" t="s">
        <v>40</v>
      </c>
      <c r="N477" s="233"/>
      <c r="O477" s="233"/>
      <c r="P477" s="233"/>
      <c r="Q477" s="233"/>
      <c r="R477" s="233"/>
      <c r="S477" s="77" t="s">
        <v>39</v>
      </c>
      <c r="T477" s="234" t="e">
        <f>ROUND(T469-T476,-2)</f>
        <v>#REF!</v>
      </c>
      <c r="U477" s="234"/>
      <c r="V477" s="234"/>
      <c r="W477" s="74" t="s">
        <v>38</v>
      </c>
    </row>
    <row r="478" spans="1:24" ht="18.75" customHeight="1">
      <c r="A478" s="91"/>
      <c r="B478" s="90"/>
      <c r="C478" s="90"/>
      <c r="D478" s="90"/>
      <c r="E478" s="90"/>
      <c r="F478" s="90"/>
      <c r="G478" s="90"/>
      <c r="H478" s="90"/>
      <c r="I478" s="90"/>
      <c r="J478" s="90"/>
      <c r="K478" s="89"/>
      <c r="M478" s="91"/>
      <c r="N478" s="90"/>
      <c r="O478" s="90"/>
      <c r="P478" s="90"/>
      <c r="Q478" s="90"/>
      <c r="R478" s="90"/>
      <c r="S478" s="90"/>
      <c r="T478" s="90"/>
      <c r="U478" s="90"/>
      <c r="V478" s="90"/>
      <c r="W478" s="89"/>
    </row>
    <row r="479" spans="1:24" ht="18.75" customHeight="1">
      <c r="A479" s="88"/>
      <c r="B479" s="77"/>
      <c r="C479" s="77"/>
      <c r="D479" s="77"/>
      <c r="E479" s="77"/>
      <c r="F479" s="77"/>
      <c r="G479" s="77"/>
      <c r="H479" s="77"/>
      <c r="I479" s="235" t="s">
        <v>37</v>
      </c>
      <c r="J479" s="235"/>
      <c r="K479" s="236"/>
      <c r="M479" s="88"/>
      <c r="N479" s="77"/>
      <c r="O479" s="77"/>
      <c r="P479" s="77"/>
      <c r="Q479" s="77"/>
      <c r="R479" s="77"/>
      <c r="S479" s="77"/>
      <c r="T479" s="77"/>
      <c r="U479" s="235" t="s">
        <v>37</v>
      </c>
      <c r="V479" s="235"/>
      <c r="W479" s="236"/>
    </row>
    <row r="480" spans="1:24" ht="18.75" customHeight="1">
      <c r="A480" s="88"/>
      <c r="B480" s="235"/>
      <c r="C480" s="235"/>
      <c r="D480" s="235"/>
      <c r="E480" s="235"/>
      <c r="F480" s="77"/>
      <c r="G480" s="77"/>
      <c r="H480" s="77"/>
      <c r="I480" s="77"/>
      <c r="J480" s="77"/>
      <c r="K480" s="82"/>
      <c r="M480" s="88"/>
      <c r="N480" s="235"/>
      <c r="O480" s="235"/>
      <c r="P480" s="235"/>
      <c r="Q480" s="235"/>
      <c r="R480" s="77"/>
      <c r="S480" s="77"/>
      <c r="T480" s="77"/>
      <c r="U480" s="77"/>
      <c r="V480" s="77"/>
      <c r="W480" s="82"/>
    </row>
    <row r="481" spans="1:24" ht="18.75" customHeight="1" thickBot="1">
      <c r="A481" s="87"/>
      <c r="B481" s="86"/>
      <c r="C481" s="86"/>
      <c r="D481" s="86"/>
      <c r="E481" s="86"/>
      <c r="F481" s="86"/>
      <c r="G481" s="86"/>
      <c r="H481" s="86"/>
      <c r="I481" s="237" t="s">
        <v>36</v>
      </c>
      <c r="J481" s="237"/>
      <c r="K481" s="238"/>
      <c r="M481" s="87"/>
      <c r="N481" s="86"/>
      <c r="O481" s="86"/>
      <c r="P481" s="86"/>
      <c r="Q481" s="86"/>
      <c r="R481" s="86"/>
      <c r="S481" s="86"/>
      <c r="T481" s="86"/>
      <c r="U481" s="237" t="s">
        <v>36</v>
      </c>
      <c r="V481" s="237"/>
      <c r="W481" s="238"/>
    </row>
    <row r="483" spans="1:24" ht="18.75" customHeight="1" thickTop="1">
      <c r="A483" s="239" t="s">
        <v>87</v>
      </c>
      <c r="B483" s="240"/>
      <c r="C483" s="240"/>
      <c r="D483" s="240"/>
      <c r="E483" s="240"/>
      <c r="F483" s="240"/>
      <c r="G483" s="240"/>
      <c r="H483" s="240"/>
      <c r="I483" s="240"/>
      <c r="J483" s="240"/>
      <c r="K483" s="241"/>
      <c r="L483" s="72">
        <v>25</v>
      </c>
      <c r="M483" s="239" t="s">
        <v>87</v>
      </c>
      <c r="N483" s="240"/>
      <c r="O483" s="240"/>
      <c r="P483" s="240"/>
      <c r="Q483" s="240"/>
      <c r="R483" s="240"/>
      <c r="S483" s="240"/>
      <c r="T483" s="240"/>
      <c r="U483" s="240"/>
      <c r="V483" s="240"/>
      <c r="W483" s="241"/>
      <c r="X483" s="72">
        <v>25</v>
      </c>
    </row>
    <row r="484" spans="1:24" ht="18.75" customHeight="1">
      <c r="A484" s="85" t="s">
        <v>123</v>
      </c>
      <c r="B484" s="84"/>
      <c r="C484" s="84"/>
      <c r="D484" s="84"/>
      <c r="E484" s="84"/>
      <c r="F484" s="84"/>
      <c r="G484" s="84"/>
      <c r="H484" s="84"/>
      <c r="I484" s="84"/>
      <c r="J484" s="84"/>
      <c r="K484" s="83"/>
      <c r="M484" s="85" t="s">
        <v>122</v>
      </c>
      <c r="N484" s="84"/>
      <c r="O484" s="84"/>
      <c r="P484" s="84"/>
      <c r="Q484" s="84"/>
      <c r="R484" s="84"/>
      <c r="S484" s="84"/>
      <c r="T484" s="84"/>
      <c r="U484" s="84"/>
      <c r="V484" s="84"/>
      <c r="W484" s="83"/>
    </row>
    <row r="485" spans="1:24" ht="18.75" customHeight="1">
      <c r="A485" s="227" t="s">
        <v>84</v>
      </c>
      <c r="B485" s="228"/>
      <c r="C485" s="228"/>
      <c r="D485" s="228"/>
      <c r="E485" s="228"/>
      <c r="F485" s="228"/>
      <c r="G485" s="228"/>
      <c r="H485" s="228"/>
      <c r="I485" s="228"/>
      <c r="J485" s="228"/>
      <c r="K485" s="229"/>
      <c r="M485" s="227" t="s">
        <v>84</v>
      </c>
      <c r="N485" s="228"/>
      <c r="O485" s="228"/>
      <c r="P485" s="228"/>
      <c r="Q485" s="228"/>
      <c r="R485" s="228"/>
      <c r="S485" s="228"/>
      <c r="T485" s="228"/>
      <c r="U485" s="228"/>
      <c r="V485" s="228"/>
      <c r="W485" s="229"/>
    </row>
    <row r="486" spans="1:24" ht="18.75" customHeight="1">
      <c r="A486" s="222" t="s">
        <v>83</v>
      </c>
      <c r="B486" s="223"/>
      <c r="C486" s="223"/>
      <c r="D486" s="223"/>
      <c r="E486" s="77" t="s">
        <v>39</v>
      </c>
      <c r="F486" s="224">
        <f>'[3]Bang TH nop'!B56</f>
        <v>0</v>
      </c>
      <c r="G486" s="223"/>
      <c r="H486" s="223"/>
      <c r="I486" s="223"/>
      <c r="J486" s="223"/>
      <c r="K486" s="226"/>
      <c r="M486" s="222" t="s">
        <v>83</v>
      </c>
      <c r="N486" s="223"/>
      <c r="O486" s="223"/>
      <c r="P486" s="223"/>
      <c r="Q486" s="77" t="s">
        <v>39</v>
      </c>
      <c r="R486" s="224">
        <f>'[3]Bang TH nop'!B58</f>
        <v>0</v>
      </c>
      <c r="S486" s="223"/>
      <c r="T486" s="223"/>
      <c r="U486" s="223"/>
      <c r="V486" s="223"/>
      <c r="W486" s="226"/>
    </row>
    <row r="487" spans="1:24" ht="18.75" customHeight="1">
      <c r="A487" s="222" t="s">
        <v>82</v>
      </c>
      <c r="B487" s="223"/>
      <c r="C487" s="223"/>
      <c r="D487" s="223"/>
      <c r="E487" s="77" t="s">
        <v>39</v>
      </c>
      <c r="F487" s="224">
        <f>'[3]Bang TH nop'!C56</f>
        <v>0</v>
      </c>
      <c r="G487" s="224"/>
      <c r="H487" s="224"/>
      <c r="I487" s="224"/>
      <c r="J487" s="224"/>
      <c r="K487" s="225"/>
      <c r="M487" s="222" t="s">
        <v>82</v>
      </c>
      <c r="N487" s="223"/>
      <c r="O487" s="223"/>
      <c r="P487" s="223"/>
      <c r="Q487" s="77" t="s">
        <v>39</v>
      </c>
      <c r="R487" s="224">
        <f>'[3]Bang TH nop'!C58</f>
        <v>0</v>
      </c>
      <c r="S487" s="224"/>
      <c r="T487" s="224"/>
      <c r="U487" s="224"/>
      <c r="V487" s="224"/>
      <c r="W487" s="225"/>
    </row>
    <row r="488" spans="1:24" ht="18.75" customHeight="1">
      <c r="A488" s="222" t="s">
        <v>81</v>
      </c>
      <c r="B488" s="223"/>
      <c r="C488" s="223"/>
      <c r="D488" s="223"/>
      <c r="E488" s="77" t="s">
        <v>39</v>
      </c>
      <c r="F488" s="223" t="s">
        <v>80</v>
      </c>
      <c r="G488" s="223"/>
      <c r="H488" s="223"/>
      <c r="I488" s="223"/>
      <c r="J488" s="223"/>
      <c r="K488" s="226"/>
      <c r="M488" s="222" t="s">
        <v>81</v>
      </c>
      <c r="N488" s="223"/>
      <c r="O488" s="223"/>
      <c r="P488" s="223"/>
      <c r="Q488" s="77" t="s">
        <v>39</v>
      </c>
      <c r="R488" s="223" t="s">
        <v>80</v>
      </c>
      <c r="S488" s="223"/>
      <c r="T488" s="223"/>
      <c r="U488" s="223"/>
      <c r="V488" s="223"/>
      <c r="W488" s="226"/>
    </row>
    <row r="489" spans="1:24" ht="18.75" customHeight="1">
      <c r="A489" s="227" t="s">
        <v>79</v>
      </c>
      <c r="B489" s="228"/>
      <c r="C489" s="228"/>
      <c r="D489" s="228"/>
      <c r="E489" s="228"/>
      <c r="F489" s="228"/>
      <c r="G489" s="228"/>
      <c r="H489" s="228"/>
      <c r="I489" s="228"/>
      <c r="J489" s="228"/>
      <c r="K489" s="229"/>
      <c r="M489" s="227" t="s">
        <v>79</v>
      </c>
      <c r="N489" s="228"/>
      <c r="O489" s="228"/>
      <c r="P489" s="228"/>
      <c r="Q489" s="228"/>
      <c r="R489" s="228"/>
      <c r="S489" s="228"/>
      <c r="T489" s="228"/>
      <c r="U489" s="228"/>
      <c r="V489" s="228"/>
      <c r="W489" s="229"/>
    </row>
    <row r="490" spans="1:24" ht="18.75" customHeight="1">
      <c r="A490" s="222" t="s">
        <v>78</v>
      </c>
      <c r="B490" s="223"/>
      <c r="C490" s="223"/>
      <c r="D490" s="223"/>
      <c r="E490" s="77" t="s">
        <v>39</v>
      </c>
      <c r="F490" s="230">
        <v>2915400</v>
      </c>
      <c r="G490" s="230"/>
      <c r="H490" s="230"/>
      <c r="I490" s="230"/>
      <c r="J490" s="77" t="s">
        <v>38</v>
      </c>
      <c r="K490" s="82"/>
      <c r="M490" s="222" t="s">
        <v>78</v>
      </c>
      <c r="N490" s="223"/>
      <c r="O490" s="223"/>
      <c r="P490" s="223"/>
      <c r="Q490" s="77" t="s">
        <v>39</v>
      </c>
      <c r="R490" s="230">
        <v>2915400</v>
      </c>
      <c r="S490" s="230"/>
      <c r="T490" s="230"/>
      <c r="U490" s="230"/>
      <c r="V490" s="77" t="s">
        <v>38</v>
      </c>
      <c r="W490" s="82"/>
    </row>
    <row r="491" spans="1:24" ht="18.75" customHeight="1">
      <c r="A491" s="81" t="s">
        <v>77</v>
      </c>
      <c r="B491" s="77"/>
      <c r="C491" s="80"/>
      <c r="D491" s="79"/>
      <c r="E491" s="78"/>
      <c r="F491" s="78"/>
      <c r="G491" s="78"/>
      <c r="H491" s="77"/>
      <c r="I491" s="76" t="e">
        <f>#REF!</f>
        <v>#REF!</v>
      </c>
      <c r="J491" s="75"/>
      <c r="K491" s="74"/>
      <c r="M491" s="81" t="s">
        <v>77</v>
      </c>
      <c r="N491" s="77"/>
      <c r="O491" s="80"/>
      <c r="P491" s="79"/>
      <c r="Q491" s="78"/>
      <c r="R491" s="78"/>
      <c r="S491" s="78"/>
      <c r="T491" s="77"/>
      <c r="U491" s="76" t="e">
        <f>#REF!</f>
        <v>#REF!</v>
      </c>
      <c r="V491" s="75"/>
      <c r="W491" s="74"/>
    </row>
    <row r="492" spans="1:24" ht="18.75" customHeight="1">
      <c r="A492" s="81" t="s">
        <v>76</v>
      </c>
      <c r="B492" s="77"/>
      <c r="C492" s="80"/>
      <c r="D492" s="79"/>
      <c r="E492" s="78"/>
      <c r="F492" s="78"/>
      <c r="G492" s="78"/>
      <c r="H492" s="77"/>
      <c r="I492" s="76" t="e">
        <f>I493/C493/8</f>
        <v>#REF!</v>
      </c>
      <c r="J492" s="75"/>
      <c r="K492" s="74"/>
      <c r="M492" s="81" t="s">
        <v>76</v>
      </c>
      <c r="N492" s="77"/>
      <c r="O492" s="80"/>
      <c r="P492" s="79"/>
      <c r="Q492" s="78"/>
      <c r="R492" s="78"/>
      <c r="S492" s="78"/>
      <c r="T492" s="77"/>
      <c r="U492" s="76" t="e">
        <f>U493/O493/8</f>
        <v>#REF!</v>
      </c>
      <c r="V492" s="75"/>
      <c r="W492" s="74"/>
    </row>
    <row r="493" spans="1:24" ht="18.75" customHeight="1">
      <c r="A493" s="81" t="s">
        <v>75</v>
      </c>
      <c r="B493" s="77" t="s">
        <v>39</v>
      </c>
      <c r="C493" s="80" t="e">
        <f>#REF!</f>
        <v>#REF!</v>
      </c>
      <c r="D493" s="79" t="s">
        <v>52</v>
      </c>
      <c r="E493" s="249" t="s">
        <v>74</v>
      </c>
      <c r="F493" s="249"/>
      <c r="G493" s="249"/>
      <c r="H493" s="77" t="s">
        <v>39</v>
      </c>
      <c r="I493" s="255" t="e">
        <f>#REF!</f>
        <v>#REF!</v>
      </c>
      <c r="J493" s="255"/>
      <c r="K493" s="74" t="s">
        <v>38</v>
      </c>
      <c r="L493" s="95" t="e">
        <f>F490/L483*C493</f>
        <v>#REF!</v>
      </c>
      <c r="M493" s="81" t="s">
        <v>75</v>
      </c>
      <c r="N493" s="77" t="s">
        <v>39</v>
      </c>
      <c r="O493" s="80" t="e">
        <f>#REF!</f>
        <v>#REF!</v>
      </c>
      <c r="P493" s="79" t="s">
        <v>52</v>
      </c>
      <c r="Q493" s="249" t="s">
        <v>74</v>
      </c>
      <c r="R493" s="249"/>
      <c r="S493" s="249"/>
      <c r="T493" s="77" t="s">
        <v>39</v>
      </c>
      <c r="U493" s="255" t="e">
        <f>#REF!</f>
        <v>#REF!</v>
      </c>
      <c r="V493" s="255"/>
      <c r="W493" s="74" t="s">
        <v>38</v>
      </c>
      <c r="X493" s="95" t="e">
        <f>R490/X483*O493</f>
        <v>#REF!</v>
      </c>
    </row>
    <row r="494" spans="1:24" ht="18.75" customHeight="1">
      <c r="A494" s="81" t="s">
        <v>73</v>
      </c>
      <c r="B494" s="77" t="s">
        <v>39</v>
      </c>
      <c r="C494" s="80" t="e">
        <f>#REF!</f>
        <v>#REF!</v>
      </c>
      <c r="D494" s="79" t="s">
        <v>52</v>
      </c>
      <c r="E494" s="223" t="s">
        <v>72</v>
      </c>
      <c r="F494" s="223"/>
      <c r="G494" s="223"/>
      <c r="H494" s="77" t="s">
        <v>39</v>
      </c>
      <c r="I494" s="247" t="e">
        <f>$F$8/$L$1*C494</f>
        <v>#REF!</v>
      </c>
      <c r="J494" s="247"/>
      <c r="K494" s="74" t="s">
        <v>38</v>
      </c>
      <c r="L494" s="95"/>
      <c r="M494" s="81" t="s">
        <v>73</v>
      </c>
      <c r="N494" s="77" t="s">
        <v>39</v>
      </c>
      <c r="O494" s="80" t="e">
        <f>#REF!</f>
        <v>#REF!</v>
      </c>
      <c r="P494" s="79" t="s">
        <v>52</v>
      </c>
      <c r="Q494" s="223" t="s">
        <v>72</v>
      </c>
      <c r="R494" s="223"/>
      <c r="S494" s="223"/>
      <c r="T494" s="77" t="s">
        <v>39</v>
      </c>
      <c r="U494" s="247" t="e">
        <f>$F$8/$L$1*O494</f>
        <v>#REF!</v>
      </c>
      <c r="V494" s="247"/>
      <c r="W494" s="74" t="s">
        <v>38</v>
      </c>
      <c r="X494" s="95"/>
    </row>
    <row r="495" spans="1:24" ht="18.75" customHeight="1">
      <c r="A495" s="81" t="s">
        <v>71</v>
      </c>
      <c r="B495" s="77" t="s">
        <v>39</v>
      </c>
      <c r="C495" s="80" t="e">
        <f>#REF!</f>
        <v>#REF!</v>
      </c>
      <c r="D495" s="79" t="s">
        <v>52</v>
      </c>
      <c r="E495" s="256" t="s">
        <v>70</v>
      </c>
      <c r="F495" s="256"/>
      <c r="G495" s="256"/>
      <c r="H495" s="77" t="s">
        <v>39</v>
      </c>
      <c r="I495" s="247" t="e">
        <f>$F$8/$L$1*C495</f>
        <v>#REF!</v>
      </c>
      <c r="J495" s="247"/>
      <c r="K495" s="74" t="s">
        <v>38</v>
      </c>
      <c r="L495" s="95"/>
      <c r="M495" s="81" t="s">
        <v>71</v>
      </c>
      <c r="N495" s="77" t="s">
        <v>39</v>
      </c>
      <c r="O495" s="80" t="e">
        <f>#REF!</f>
        <v>#REF!</v>
      </c>
      <c r="P495" s="79" t="s">
        <v>52</v>
      </c>
      <c r="Q495" s="256" t="s">
        <v>70</v>
      </c>
      <c r="R495" s="256"/>
      <c r="S495" s="256"/>
      <c r="T495" s="77" t="s">
        <v>39</v>
      </c>
      <c r="U495" s="247" t="e">
        <f>$F$8/$L$1*O495</f>
        <v>#REF!</v>
      </c>
      <c r="V495" s="247"/>
      <c r="W495" s="74" t="s">
        <v>38</v>
      </c>
      <c r="X495" s="95"/>
    </row>
    <row r="496" spans="1:24" ht="18.75" customHeight="1">
      <c r="A496" s="81" t="s">
        <v>69</v>
      </c>
      <c r="B496" s="77" t="s">
        <v>39</v>
      </c>
      <c r="C496" s="80" t="e">
        <f>#REF!</f>
        <v>#REF!</v>
      </c>
      <c r="D496" s="79" t="s">
        <v>52</v>
      </c>
      <c r="E496" s="256" t="s">
        <v>68</v>
      </c>
      <c r="F496" s="256"/>
      <c r="G496" s="256"/>
      <c r="H496" s="77" t="s">
        <v>39</v>
      </c>
      <c r="I496" s="247" t="e">
        <f>$F$8/$L$1*C496</f>
        <v>#REF!</v>
      </c>
      <c r="J496" s="247"/>
      <c r="K496" s="74" t="s">
        <v>38</v>
      </c>
      <c r="L496" s="95"/>
      <c r="M496" s="81" t="s">
        <v>69</v>
      </c>
      <c r="N496" s="77" t="s">
        <v>39</v>
      </c>
      <c r="O496" s="80" t="e">
        <f>#REF!</f>
        <v>#REF!</v>
      </c>
      <c r="P496" s="79" t="s">
        <v>52</v>
      </c>
      <c r="Q496" s="256" t="s">
        <v>68</v>
      </c>
      <c r="R496" s="256"/>
      <c r="S496" s="256"/>
      <c r="T496" s="77" t="s">
        <v>39</v>
      </c>
      <c r="U496" s="247" t="e">
        <f>$F$8/$L$1*O496</f>
        <v>#REF!</v>
      </c>
      <c r="V496" s="247"/>
      <c r="W496" s="74" t="s">
        <v>38</v>
      </c>
      <c r="X496" s="95"/>
    </row>
    <row r="497" spans="1:24" ht="18.75" customHeight="1">
      <c r="A497" s="81" t="s">
        <v>67</v>
      </c>
      <c r="B497" s="77" t="s">
        <v>39</v>
      </c>
      <c r="C497" s="80" t="e">
        <f>#REF!</f>
        <v>#REF!</v>
      </c>
      <c r="D497" s="79" t="s">
        <v>58</v>
      </c>
      <c r="E497" s="223" t="s">
        <v>66</v>
      </c>
      <c r="F497" s="223"/>
      <c r="G497" s="223"/>
      <c r="H497" s="77" t="s">
        <v>39</v>
      </c>
      <c r="I497" s="247" t="e">
        <f>#REF!</f>
        <v>#REF!</v>
      </c>
      <c r="J497" s="247"/>
      <c r="K497" s="74" t="s">
        <v>38</v>
      </c>
      <c r="L497" s="95" t="e">
        <f>F490*C497/L483/8*1.5</f>
        <v>#REF!</v>
      </c>
      <c r="M497" s="81" t="s">
        <v>67</v>
      </c>
      <c r="N497" s="77" t="s">
        <v>39</v>
      </c>
      <c r="O497" s="80" t="e">
        <f>#REF!</f>
        <v>#REF!</v>
      </c>
      <c r="P497" s="79" t="s">
        <v>58</v>
      </c>
      <c r="Q497" s="223" t="s">
        <v>66</v>
      </c>
      <c r="R497" s="223"/>
      <c r="S497" s="223"/>
      <c r="T497" s="77" t="s">
        <v>39</v>
      </c>
      <c r="U497" s="247" t="e">
        <f>#REF!</f>
        <v>#REF!</v>
      </c>
      <c r="V497" s="247"/>
      <c r="W497" s="74" t="s">
        <v>38</v>
      </c>
      <c r="X497" s="95" t="e">
        <f>R490*O497/X483/8*1.5</f>
        <v>#REF!</v>
      </c>
    </row>
    <row r="498" spans="1:24" ht="18.75" customHeight="1">
      <c r="A498" s="222" t="s">
        <v>65</v>
      </c>
      <c r="B498" s="223"/>
      <c r="C498" s="80"/>
      <c r="D498" s="79" t="s">
        <v>52</v>
      </c>
      <c r="E498" s="223" t="s">
        <v>64</v>
      </c>
      <c r="F498" s="223"/>
      <c r="G498" s="223"/>
      <c r="H498" s="100" t="s">
        <v>39</v>
      </c>
      <c r="I498" s="247"/>
      <c r="J498" s="247"/>
      <c r="K498" s="74" t="s">
        <v>38</v>
      </c>
      <c r="L498" s="95"/>
      <c r="M498" s="222" t="s">
        <v>65</v>
      </c>
      <c r="N498" s="223"/>
      <c r="O498" s="80"/>
      <c r="P498" s="79" t="s">
        <v>52</v>
      </c>
      <c r="Q498" s="223" t="s">
        <v>64</v>
      </c>
      <c r="R498" s="223"/>
      <c r="S498" s="223"/>
      <c r="T498" s="100" t="s">
        <v>39</v>
      </c>
      <c r="U498" s="247"/>
      <c r="V498" s="247"/>
      <c r="W498" s="74" t="s">
        <v>38</v>
      </c>
      <c r="X498" s="95"/>
    </row>
    <row r="499" spans="1:24" ht="18.75" customHeight="1">
      <c r="A499" s="81" t="s">
        <v>63</v>
      </c>
      <c r="B499" s="77" t="s">
        <v>39</v>
      </c>
      <c r="C499" s="80"/>
      <c r="D499" s="79" t="s">
        <v>52</v>
      </c>
      <c r="E499" s="223" t="s">
        <v>62</v>
      </c>
      <c r="F499" s="223"/>
      <c r="G499" s="223"/>
      <c r="H499" s="77" t="s">
        <v>39</v>
      </c>
      <c r="I499" s="247"/>
      <c r="J499" s="247"/>
      <c r="K499" s="74" t="s">
        <v>38</v>
      </c>
      <c r="L499" s="95"/>
      <c r="M499" s="81" t="s">
        <v>63</v>
      </c>
      <c r="N499" s="77" t="s">
        <v>39</v>
      </c>
      <c r="O499" s="80"/>
      <c r="P499" s="79" t="s">
        <v>52</v>
      </c>
      <c r="Q499" s="223" t="s">
        <v>62</v>
      </c>
      <c r="R499" s="223"/>
      <c r="S499" s="223"/>
      <c r="T499" s="77" t="s">
        <v>39</v>
      </c>
      <c r="U499" s="247"/>
      <c r="V499" s="247"/>
      <c r="W499" s="74" t="s">
        <v>38</v>
      </c>
      <c r="X499" s="95"/>
    </row>
    <row r="500" spans="1:24" ht="18.75" customHeight="1">
      <c r="A500" s="99" t="s">
        <v>61</v>
      </c>
      <c r="B500" s="77"/>
      <c r="C500" s="80" t="e">
        <f>#REF!</f>
        <v>#REF!</v>
      </c>
      <c r="D500" s="79" t="s">
        <v>58</v>
      </c>
      <c r="E500" s="223" t="s">
        <v>60</v>
      </c>
      <c r="F500" s="223"/>
      <c r="G500" s="223"/>
      <c r="H500" s="77" t="s">
        <v>39</v>
      </c>
      <c r="I500" s="247" t="e">
        <f>$F$8*C500/8/$L$1</f>
        <v>#REF!</v>
      </c>
      <c r="J500" s="247"/>
      <c r="K500" s="74" t="s">
        <v>38</v>
      </c>
      <c r="L500" s="95"/>
      <c r="M500" s="99" t="s">
        <v>61</v>
      </c>
      <c r="N500" s="77"/>
      <c r="O500" s="80" t="e">
        <f>#REF!</f>
        <v>#REF!</v>
      </c>
      <c r="P500" s="79" t="s">
        <v>58</v>
      </c>
      <c r="Q500" s="223" t="s">
        <v>60</v>
      </c>
      <c r="R500" s="223"/>
      <c r="S500" s="223"/>
      <c r="T500" s="77" t="s">
        <v>39</v>
      </c>
      <c r="U500" s="247" t="e">
        <f>$F$8*O500/8/$L$1</f>
        <v>#REF!</v>
      </c>
      <c r="V500" s="247"/>
      <c r="W500" s="74" t="s">
        <v>38</v>
      </c>
      <c r="X500" s="95"/>
    </row>
    <row r="501" spans="1:24" ht="18.75" customHeight="1">
      <c r="A501" s="81" t="s">
        <v>59</v>
      </c>
      <c r="B501" s="77" t="s">
        <v>39</v>
      </c>
      <c r="C501" s="80"/>
      <c r="D501" s="79" t="s">
        <v>58</v>
      </c>
      <c r="E501" s="223" t="s">
        <v>57</v>
      </c>
      <c r="F501" s="223"/>
      <c r="G501" s="223"/>
      <c r="H501" s="77" t="s">
        <v>39</v>
      </c>
      <c r="I501" s="255"/>
      <c r="J501" s="255"/>
      <c r="K501" s="74" t="s">
        <v>38</v>
      </c>
      <c r="L501" s="95"/>
      <c r="M501" s="81" t="s">
        <v>59</v>
      </c>
      <c r="N501" s="77" t="s">
        <v>39</v>
      </c>
      <c r="O501" s="80"/>
      <c r="P501" s="79" t="s">
        <v>58</v>
      </c>
      <c r="Q501" s="223" t="s">
        <v>57</v>
      </c>
      <c r="R501" s="223"/>
      <c r="S501" s="223"/>
      <c r="T501" s="77" t="s">
        <v>39</v>
      </c>
      <c r="U501" s="255"/>
      <c r="V501" s="255"/>
      <c r="W501" s="74" t="s">
        <v>38</v>
      </c>
      <c r="X501" s="95"/>
    </row>
    <row r="502" spans="1:24" ht="18.75" customHeight="1">
      <c r="A502" s="81" t="s">
        <v>56</v>
      </c>
      <c r="B502" s="77" t="s">
        <v>39</v>
      </c>
      <c r="C502" s="80"/>
      <c r="D502" s="79" t="s">
        <v>55</v>
      </c>
      <c r="E502" s="98" t="s">
        <v>54</v>
      </c>
      <c r="F502" s="98"/>
      <c r="G502" s="98"/>
      <c r="H502" s="77" t="s">
        <v>39</v>
      </c>
      <c r="I502" s="247"/>
      <c r="J502" s="247"/>
      <c r="K502" s="74" t="s">
        <v>38</v>
      </c>
      <c r="L502" s="95" t="e">
        <f>+IF(L493-I493&lt;0,0,L493-I493)+IF(L497-I497&lt;0,0,L497-I497)</f>
        <v>#REF!</v>
      </c>
      <c r="M502" s="81" t="s">
        <v>56</v>
      </c>
      <c r="N502" s="77" t="s">
        <v>39</v>
      </c>
      <c r="O502" s="80"/>
      <c r="P502" s="79" t="s">
        <v>55</v>
      </c>
      <c r="Q502" s="98" t="s">
        <v>54</v>
      </c>
      <c r="R502" s="98"/>
      <c r="S502" s="98"/>
      <c r="T502" s="77" t="s">
        <v>39</v>
      </c>
      <c r="U502" s="247"/>
      <c r="V502" s="247"/>
      <c r="W502" s="74" t="s">
        <v>38</v>
      </c>
      <c r="X502" s="95" t="e">
        <f>+IF(X493-U493&lt;0,0,X493-U493)+IF(X497-U497&lt;0,0,X497-U497)</f>
        <v>#REF!</v>
      </c>
    </row>
    <row r="503" spans="1:24" ht="18.75" customHeight="1">
      <c r="A503" s="97" t="s">
        <v>53</v>
      </c>
      <c r="B503" s="96"/>
      <c r="C503" s="80"/>
      <c r="D503" s="79" t="s">
        <v>52</v>
      </c>
      <c r="E503" s="223" t="s">
        <v>51</v>
      </c>
      <c r="F503" s="223"/>
      <c r="G503" s="223"/>
      <c r="H503" s="77" t="s">
        <v>39</v>
      </c>
      <c r="I503" s="247"/>
      <c r="J503" s="247"/>
      <c r="K503" s="74" t="s">
        <v>38</v>
      </c>
      <c r="L503" s="95"/>
      <c r="M503" s="97" t="s">
        <v>53</v>
      </c>
      <c r="N503" s="96"/>
      <c r="O503" s="80"/>
      <c r="P503" s="79" t="s">
        <v>52</v>
      </c>
      <c r="Q503" s="223" t="s">
        <v>51</v>
      </c>
      <c r="R503" s="223"/>
      <c r="S503" s="223"/>
      <c r="T503" s="77" t="s">
        <v>39</v>
      </c>
      <c r="U503" s="247"/>
      <c r="V503" s="247"/>
      <c r="W503" s="74" t="s">
        <v>38</v>
      </c>
      <c r="X503" s="95"/>
    </row>
    <row r="504" spans="1:24" ht="18.75" customHeight="1">
      <c r="A504" s="248" t="s">
        <v>50</v>
      </c>
      <c r="B504" s="249"/>
      <c r="C504" s="80"/>
      <c r="D504" s="79"/>
      <c r="E504" s="78"/>
      <c r="F504" s="78"/>
      <c r="G504" s="78"/>
      <c r="H504" s="77" t="s">
        <v>39</v>
      </c>
      <c r="I504" s="247" t="e">
        <f>#REF!</f>
        <v>#REF!</v>
      </c>
      <c r="J504" s="247"/>
      <c r="K504" s="74" t="s">
        <v>38</v>
      </c>
      <c r="L504" s="95"/>
      <c r="M504" s="248" t="s">
        <v>50</v>
      </c>
      <c r="N504" s="249"/>
      <c r="O504" s="80"/>
      <c r="P504" s="79"/>
      <c r="Q504" s="78"/>
      <c r="R504" s="78"/>
      <c r="S504" s="78"/>
      <c r="T504" s="77" t="s">
        <v>39</v>
      </c>
      <c r="U504" s="247" t="e">
        <f>#REF!</f>
        <v>#REF!</v>
      </c>
      <c r="V504" s="247"/>
      <c r="W504" s="74" t="s">
        <v>38</v>
      </c>
      <c r="X504" s="95"/>
    </row>
    <row r="505" spans="1:24" ht="18.75" customHeight="1">
      <c r="A505" s="81" t="s">
        <v>49</v>
      </c>
      <c r="B505" s="77" t="s">
        <v>39</v>
      </c>
      <c r="C505" s="80"/>
      <c r="D505" s="79"/>
      <c r="E505" s="78" t="s">
        <v>48</v>
      </c>
      <c r="F505" s="78"/>
      <c r="G505" s="78"/>
      <c r="H505" s="77" t="s">
        <v>39</v>
      </c>
      <c r="I505" s="247" t="e">
        <f>L502</f>
        <v>#REF!</v>
      </c>
      <c r="J505" s="247"/>
      <c r="K505" s="74" t="s">
        <v>38</v>
      </c>
      <c r="L505" s="95"/>
      <c r="M505" s="81" t="s">
        <v>49</v>
      </c>
      <c r="N505" s="77" t="s">
        <v>39</v>
      </c>
      <c r="O505" s="80"/>
      <c r="P505" s="79"/>
      <c r="Q505" s="78" t="s">
        <v>48</v>
      </c>
      <c r="R505" s="78"/>
      <c r="S505" s="78"/>
      <c r="T505" s="77" t="s">
        <v>39</v>
      </c>
      <c r="U505" s="247" t="e">
        <f>X502</f>
        <v>#REF!</v>
      </c>
      <c r="V505" s="247"/>
      <c r="W505" s="74" t="s">
        <v>38</v>
      </c>
      <c r="X505" s="95"/>
    </row>
    <row r="506" spans="1:24" ht="18.75" customHeight="1">
      <c r="A506" s="250" t="s">
        <v>47</v>
      </c>
      <c r="B506" s="251"/>
      <c r="C506" s="251"/>
      <c r="D506" s="251"/>
      <c r="E506" s="251"/>
      <c r="F506" s="251"/>
      <c r="G506" s="77" t="s">
        <v>39</v>
      </c>
      <c r="H506" s="252" t="e">
        <f>I493+I494+I495+I496+I497+I500+I504+I505</f>
        <v>#REF!</v>
      </c>
      <c r="I506" s="252"/>
      <c r="J506" s="252"/>
      <c r="K506" s="74" t="s">
        <v>38</v>
      </c>
      <c r="M506" s="250" t="s">
        <v>47</v>
      </c>
      <c r="N506" s="251"/>
      <c r="O506" s="251"/>
      <c r="P506" s="251"/>
      <c r="Q506" s="251"/>
      <c r="R506" s="251"/>
      <c r="S506" s="77" t="s">
        <v>39</v>
      </c>
      <c r="T506" s="252" t="e">
        <f>U493+U494+U495+U496+U497+U500+U504+U505</f>
        <v>#REF!</v>
      </c>
      <c r="U506" s="252"/>
      <c r="V506" s="252"/>
      <c r="W506" s="74" t="s">
        <v>38</v>
      </c>
    </row>
    <row r="507" spans="1:24" ht="18.75" customHeight="1">
      <c r="A507" s="94"/>
      <c r="B507" s="93"/>
      <c r="C507" s="93"/>
      <c r="D507" s="93"/>
      <c r="E507" s="93"/>
      <c r="F507" s="93"/>
      <c r="G507" s="93"/>
      <c r="H507" s="93"/>
      <c r="I507" s="93"/>
      <c r="J507" s="93"/>
      <c r="K507" s="92"/>
      <c r="M507" s="94"/>
      <c r="N507" s="93"/>
      <c r="O507" s="93"/>
      <c r="P507" s="93"/>
      <c r="Q507" s="93"/>
      <c r="R507" s="93"/>
      <c r="S507" s="93"/>
      <c r="T507" s="93"/>
      <c r="U507" s="93"/>
      <c r="V507" s="93"/>
      <c r="W507" s="92"/>
    </row>
    <row r="508" spans="1:24" ht="18.75" customHeight="1">
      <c r="A508" s="253" t="s">
        <v>46</v>
      </c>
      <c r="B508" s="254"/>
      <c r="C508" s="254"/>
      <c r="D508" s="254"/>
      <c r="E508" s="254"/>
      <c r="F508" s="254"/>
      <c r="G508" s="77"/>
      <c r="H508" s="77"/>
      <c r="I508" s="77"/>
      <c r="J508" s="77"/>
      <c r="K508" s="74"/>
      <c r="M508" s="253" t="s">
        <v>46</v>
      </c>
      <c r="N508" s="254"/>
      <c r="O508" s="254"/>
      <c r="P508" s="254"/>
      <c r="Q508" s="254"/>
      <c r="R508" s="254"/>
      <c r="S508" s="77"/>
      <c r="T508" s="77"/>
      <c r="U508" s="77"/>
      <c r="V508" s="77"/>
      <c r="W508" s="74"/>
    </row>
    <row r="509" spans="1:24" ht="18.75" customHeight="1">
      <c r="A509" s="232" t="s">
        <v>45</v>
      </c>
      <c r="B509" s="233"/>
      <c r="C509" s="233"/>
      <c r="D509" s="233"/>
      <c r="E509" s="233"/>
      <c r="F509" s="233"/>
      <c r="G509" s="77" t="s">
        <v>39</v>
      </c>
      <c r="H509" s="242" t="e">
        <f>IF(($L$1-(C493+C494+C495+C496))&gt;12,0,F490*8%)</f>
        <v>#REF!</v>
      </c>
      <c r="I509" s="242"/>
      <c r="J509" s="242"/>
      <c r="K509" s="74" t="s">
        <v>38</v>
      </c>
      <c r="M509" s="232" t="s">
        <v>45</v>
      </c>
      <c r="N509" s="233"/>
      <c r="O509" s="233"/>
      <c r="P509" s="233"/>
      <c r="Q509" s="233"/>
      <c r="R509" s="233"/>
      <c r="S509" s="77" t="s">
        <v>39</v>
      </c>
      <c r="T509" s="242" t="e">
        <f>IF(($L$1-(O493+O494+O495+O496))&gt;12,0,R490*8%)</f>
        <v>#REF!</v>
      </c>
      <c r="U509" s="242"/>
      <c r="V509" s="242"/>
      <c r="W509" s="74" t="s">
        <v>38</v>
      </c>
    </row>
    <row r="510" spans="1:24" ht="18.75" customHeight="1">
      <c r="A510" s="232" t="s">
        <v>44</v>
      </c>
      <c r="B510" s="233"/>
      <c r="C510" s="233"/>
      <c r="D510" s="233"/>
      <c r="E510" s="233"/>
      <c r="F510" s="233"/>
      <c r="G510" s="77" t="s">
        <v>39</v>
      </c>
      <c r="H510" s="243" t="e">
        <f>IF(($L$1-(C493+C494+C495+C496))&gt;12,0,F490*1.5%)</f>
        <v>#REF!</v>
      </c>
      <c r="I510" s="243"/>
      <c r="J510" s="243"/>
      <c r="K510" s="74" t="s">
        <v>38</v>
      </c>
      <c r="M510" s="232" t="s">
        <v>44</v>
      </c>
      <c r="N510" s="233"/>
      <c r="O510" s="233"/>
      <c r="P510" s="233"/>
      <c r="Q510" s="233"/>
      <c r="R510" s="233"/>
      <c r="S510" s="77" t="s">
        <v>39</v>
      </c>
      <c r="T510" s="243" t="e">
        <f>IF(($L$1-(O493+O494+O495+O496))&gt;12,0,R490*1.5%)</f>
        <v>#REF!</v>
      </c>
      <c r="U510" s="243"/>
      <c r="V510" s="243"/>
      <c r="W510" s="74" t="s">
        <v>38</v>
      </c>
    </row>
    <row r="511" spans="1:24" ht="18.75" customHeight="1">
      <c r="A511" s="232" t="s">
        <v>43</v>
      </c>
      <c r="B511" s="233"/>
      <c r="C511" s="233"/>
      <c r="D511" s="233"/>
      <c r="E511" s="233"/>
      <c r="F511" s="233"/>
      <c r="G511" s="77" t="s">
        <v>39</v>
      </c>
      <c r="H511" s="243" t="e">
        <f>IF(($L$1-(C493+C494+C495+C496))&gt;12,0,F490*1%)</f>
        <v>#REF!</v>
      </c>
      <c r="I511" s="243"/>
      <c r="J511" s="243"/>
      <c r="K511" s="74" t="s">
        <v>38</v>
      </c>
      <c r="M511" s="232" t="s">
        <v>43</v>
      </c>
      <c r="N511" s="233"/>
      <c r="O511" s="233"/>
      <c r="P511" s="233"/>
      <c r="Q511" s="233"/>
      <c r="R511" s="233"/>
      <c r="S511" s="77" t="s">
        <v>39</v>
      </c>
      <c r="T511" s="243" t="e">
        <f>IF(($L$1-(O493+O494+O495+O496))&gt;12,0,R490*1%)</f>
        <v>#REF!</v>
      </c>
      <c r="U511" s="243"/>
      <c r="V511" s="243"/>
      <c r="W511" s="74" t="s">
        <v>38</v>
      </c>
    </row>
    <row r="512" spans="1:24" ht="18.75" customHeight="1">
      <c r="A512" s="232" t="s">
        <v>42</v>
      </c>
      <c r="B512" s="233"/>
      <c r="C512" s="233"/>
      <c r="D512" s="233"/>
      <c r="E512" s="233"/>
      <c r="F512" s="233"/>
      <c r="G512" s="77" t="s">
        <v>39</v>
      </c>
      <c r="H512" s="243">
        <v>0</v>
      </c>
      <c r="I512" s="243"/>
      <c r="J512" s="243"/>
      <c r="K512" s="74" t="s">
        <v>38</v>
      </c>
      <c r="M512" s="232" t="s">
        <v>42</v>
      </c>
      <c r="N512" s="233"/>
      <c r="O512" s="233"/>
      <c r="P512" s="233"/>
      <c r="Q512" s="233"/>
      <c r="R512" s="233"/>
      <c r="S512" s="77" t="s">
        <v>39</v>
      </c>
      <c r="T512" s="243">
        <v>0</v>
      </c>
      <c r="U512" s="243"/>
      <c r="V512" s="243"/>
      <c r="W512" s="74" t="s">
        <v>38</v>
      </c>
    </row>
    <row r="513" spans="1:24" ht="18.75" customHeight="1">
      <c r="A513" s="244" t="s">
        <v>41</v>
      </c>
      <c r="B513" s="245"/>
      <c r="C513" s="245"/>
      <c r="D513" s="245"/>
      <c r="E513" s="245"/>
      <c r="F513" s="245"/>
      <c r="G513" s="77" t="s">
        <v>39</v>
      </c>
      <c r="H513" s="246" t="e">
        <f>SUM(H509:J512)</f>
        <v>#REF!</v>
      </c>
      <c r="I513" s="246"/>
      <c r="J513" s="246"/>
      <c r="K513" s="74" t="s">
        <v>38</v>
      </c>
      <c r="M513" s="244" t="s">
        <v>41</v>
      </c>
      <c r="N513" s="245"/>
      <c r="O513" s="245"/>
      <c r="P513" s="245"/>
      <c r="Q513" s="245"/>
      <c r="R513" s="245"/>
      <c r="S513" s="77" t="s">
        <v>39</v>
      </c>
      <c r="T513" s="246" t="e">
        <f>SUM(T509:V512)</f>
        <v>#REF!</v>
      </c>
      <c r="U513" s="246"/>
      <c r="V513" s="246"/>
      <c r="W513" s="74" t="s">
        <v>38</v>
      </c>
    </row>
    <row r="514" spans="1:24" ht="18.75" customHeight="1">
      <c r="A514" s="232" t="s">
        <v>40</v>
      </c>
      <c r="B514" s="233"/>
      <c r="C514" s="233"/>
      <c r="D514" s="233"/>
      <c r="E514" s="233"/>
      <c r="F514" s="233"/>
      <c r="G514" s="77" t="s">
        <v>39</v>
      </c>
      <c r="H514" s="234" t="e">
        <f>ROUND(H506-H513,-2)</f>
        <v>#REF!</v>
      </c>
      <c r="I514" s="234"/>
      <c r="J514" s="234"/>
      <c r="K514" s="74" t="s">
        <v>38</v>
      </c>
      <c r="M514" s="232" t="s">
        <v>40</v>
      </c>
      <c r="N514" s="233"/>
      <c r="O514" s="233"/>
      <c r="P514" s="233"/>
      <c r="Q514" s="233"/>
      <c r="R514" s="233"/>
      <c r="S514" s="77" t="s">
        <v>39</v>
      </c>
      <c r="T514" s="234" t="e">
        <f>ROUND(T506-T513,-2)</f>
        <v>#REF!</v>
      </c>
      <c r="U514" s="234"/>
      <c r="V514" s="234"/>
      <c r="W514" s="74" t="s">
        <v>38</v>
      </c>
    </row>
    <row r="515" spans="1:24" ht="18.75" customHeight="1">
      <c r="A515" s="91"/>
      <c r="B515" s="90"/>
      <c r="C515" s="90"/>
      <c r="D515" s="90"/>
      <c r="E515" s="90"/>
      <c r="F515" s="90"/>
      <c r="G515" s="90"/>
      <c r="H515" s="90"/>
      <c r="I515" s="90"/>
      <c r="J515" s="90"/>
      <c r="K515" s="89"/>
      <c r="M515" s="91"/>
      <c r="N515" s="90"/>
      <c r="O515" s="90"/>
      <c r="P515" s="90"/>
      <c r="Q515" s="90"/>
      <c r="R515" s="90"/>
      <c r="S515" s="90"/>
      <c r="T515" s="90"/>
      <c r="U515" s="90"/>
      <c r="V515" s="90"/>
      <c r="W515" s="89"/>
    </row>
    <row r="516" spans="1:24" ht="18.75" customHeight="1">
      <c r="A516" s="88"/>
      <c r="B516" s="77"/>
      <c r="C516" s="77"/>
      <c r="D516" s="77"/>
      <c r="E516" s="77"/>
      <c r="F516" s="77"/>
      <c r="G516" s="77"/>
      <c r="H516" s="77"/>
      <c r="I516" s="235" t="s">
        <v>37</v>
      </c>
      <c r="J516" s="235"/>
      <c r="K516" s="236"/>
      <c r="M516" s="88"/>
      <c r="N516" s="77"/>
      <c r="O516" s="77"/>
      <c r="P516" s="77"/>
      <c r="Q516" s="77"/>
      <c r="R516" s="77"/>
      <c r="S516" s="77"/>
      <c r="T516" s="77"/>
      <c r="U516" s="235" t="s">
        <v>37</v>
      </c>
      <c r="V516" s="235"/>
      <c r="W516" s="236"/>
    </row>
    <row r="517" spans="1:24" ht="18.75" customHeight="1">
      <c r="A517" s="88"/>
      <c r="B517" s="235"/>
      <c r="C517" s="235"/>
      <c r="D517" s="235"/>
      <c r="E517" s="235"/>
      <c r="F517" s="77"/>
      <c r="G517" s="77"/>
      <c r="H517" s="77"/>
      <c r="I517" s="77"/>
      <c r="J517" s="77"/>
      <c r="K517" s="82"/>
      <c r="M517" s="88"/>
      <c r="N517" s="235"/>
      <c r="O517" s="235"/>
      <c r="P517" s="235"/>
      <c r="Q517" s="235"/>
      <c r="R517" s="77"/>
      <c r="S517" s="77"/>
      <c r="T517" s="77"/>
      <c r="U517" s="77"/>
      <c r="V517" s="77"/>
      <c r="W517" s="82"/>
    </row>
    <row r="518" spans="1:24" ht="18.75" customHeight="1" thickBot="1">
      <c r="A518" s="87"/>
      <c r="B518" s="86"/>
      <c r="C518" s="86"/>
      <c r="D518" s="86"/>
      <c r="E518" s="86"/>
      <c r="F518" s="86"/>
      <c r="G518" s="86"/>
      <c r="H518" s="86"/>
      <c r="I518" s="237" t="s">
        <v>36</v>
      </c>
      <c r="J518" s="237"/>
      <c r="K518" s="238"/>
      <c r="M518" s="87"/>
      <c r="N518" s="86"/>
      <c r="O518" s="86"/>
      <c r="P518" s="86"/>
      <c r="Q518" s="86"/>
      <c r="R518" s="86"/>
      <c r="S518" s="86"/>
      <c r="T518" s="86"/>
      <c r="U518" s="237" t="s">
        <v>36</v>
      </c>
      <c r="V518" s="237"/>
      <c r="W518" s="238"/>
    </row>
    <row r="520" spans="1:24" ht="18.75" customHeight="1" thickTop="1">
      <c r="A520" s="239" t="s">
        <v>87</v>
      </c>
      <c r="B520" s="240"/>
      <c r="C520" s="240"/>
      <c r="D520" s="240"/>
      <c r="E520" s="240"/>
      <c r="F520" s="240"/>
      <c r="G520" s="240"/>
      <c r="H520" s="240"/>
      <c r="I520" s="240"/>
      <c r="J520" s="240"/>
      <c r="K520" s="241"/>
      <c r="L520" s="72">
        <v>25</v>
      </c>
      <c r="M520" s="239" t="s">
        <v>87</v>
      </c>
      <c r="N520" s="240"/>
      <c r="O520" s="240"/>
      <c r="P520" s="240"/>
      <c r="Q520" s="240"/>
      <c r="R520" s="240"/>
      <c r="S520" s="240"/>
      <c r="T520" s="240"/>
      <c r="U520" s="240"/>
      <c r="V520" s="240"/>
      <c r="W520" s="241"/>
      <c r="X520" s="72">
        <v>25</v>
      </c>
    </row>
    <row r="521" spans="1:24" ht="18.75" customHeight="1">
      <c r="A521" s="85" t="s">
        <v>121</v>
      </c>
      <c r="B521" s="84"/>
      <c r="C521" s="84"/>
      <c r="D521" s="84"/>
      <c r="E521" s="84"/>
      <c r="F521" s="84"/>
      <c r="G521" s="84"/>
      <c r="H521" s="84"/>
      <c r="I521" s="84"/>
      <c r="J521" s="84"/>
      <c r="K521" s="83"/>
      <c r="M521" s="85" t="s">
        <v>120</v>
      </c>
      <c r="N521" s="84"/>
      <c r="O521" s="84"/>
      <c r="P521" s="84"/>
      <c r="Q521" s="84"/>
      <c r="R521" s="84"/>
      <c r="S521" s="84"/>
      <c r="T521" s="84"/>
      <c r="U521" s="84"/>
      <c r="V521" s="84"/>
      <c r="W521" s="83"/>
    </row>
    <row r="522" spans="1:24" ht="18.75" customHeight="1">
      <c r="A522" s="227" t="s">
        <v>84</v>
      </c>
      <c r="B522" s="228"/>
      <c r="C522" s="228"/>
      <c r="D522" s="228"/>
      <c r="E522" s="228"/>
      <c r="F522" s="228"/>
      <c r="G522" s="228"/>
      <c r="H522" s="228"/>
      <c r="I522" s="228"/>
      <c r="J522" s="228"/>
      <c r="K522" s="229"/>
      <c r="M522" s="227" t="s">
        <v>84</v>
      </c>
      <c r="N522" s="228"/>
      <c r="O522" s="228"/>
      <c r="P522" s="228"/>
      <c r="Q522" s="228"/>
      <c r="R522" s="228"/>
      <c r="S522" s="228"/>
      <c r="T522" s="228"/>
      <c r="U522" s="228"/>
      <c r="V522" s="228"/>
      <c r="W522" s="229"/>
    </row>
    <row r="523" spans="1:24" ht="18.75" customHeight="1">
      <c r="A523" s="222" t="s">
        <v>83</v>
      </c>
      <c r="B523" s="223"/>
      <c r="C523" s="223"/>
      <c r="D523" s="223"/>
      <c r="E523" s="77" t="s">
        <v>39</v>
      </c>
      <c r="F523" s="224">
        <f>'[3]Bang TH nop'!B61</f>
        <v>0</v>
      </c>
      <c r="G523" s="223"/>
      <c r="H523" s="223"/>
      <c r="I523" s="223"/>
      <c r="J523" s="223"/>
      <c r="K523" s="226"/>
      <c r="M523" s="222" t="s">
        <v>83</v>
      </c>
      <c r="N523" s="223"/>
      <c r="O523" s="223"/>
      <c r="P523" s="223"/>
      <c r="Q523" s="77" t="s">
        <v>39</v>
      </c>
      <c r="R523" s="224">
        <f>'[3]Bang TH nop'!B63</f>
        <v>0</v>
      </c>
      <c r="S523" s="223"/>
      <c r="T523" s="223"/>
      <c r="U523" s="223"/>
      <c r="V523" s="223"/>
      <c r="W523" s="226"/>
    </row>
    <row r="524" spans="1:24" ht="18.75" customHeight="1">
      <c r="A524" s="222" t="s">
        <v>82</v>
      </c>
      <c r="B524" s="223"/>
      <c r="C524" s="223"/>
      <c r="D524" s="223"/>
      <c r="E524" s="77" t="s">
        <v>39</v>
      </c>
      <c r="F524" s="224">
        <f>'[3]Bang TH nop'!C61</f>
        <v>0</v>
      </c>
      <c r="G524" s="224"/>
      <c r="H524" s="224"/>
      <c r="I524" s="224"/>
      <c r="J524" s="224"/>
      <c r="K524" s="225"/>
      <c r="M524" s="222" t="s">
        <v>82</v>
      </c>
      <c r="N524" s="223"/>
      <c r="O524" s="223"/>
      <c r="P524" s="223"/>
      <c r="Q524" s="77" t="s">
        <v>39</v>
      </c>
      <c r="R524" s="224">
        <f>'[3]Bang TH nop'!C63</f>
        <v>0</v>
      </c>
      <c r="S524" s="224"/>
      <c r="T524" s="224"/>
      <c r="U524" s="224"/>
      <c r="V524" s="224"/>
      <c r="W524" s="225"/>
    </row>
    <row r="525" spans="1:24" ht="18.75" customHeight="1">
      <c r="A525" s="222" t="s">
        <v>81</v>
      </c>
      <c r="B525" s="223"/>
      <c r="C525" s="223"/>
      <c r="D525" s="223"/>
      <c r="E525" s="77" t="s">
        <v>39</v>
      </c>
      <c r="F525" s="223" t="s">
        <v>80</v>
      </c>
      <c r="G525" s="223"/>
      <c r="H525" s="223"/>
      <c r="I525" s="223"/>
      <c r="J525" s="223"/>
      <c r="K525" s="226"/>
      <c r="M525" s="222" t="s">
        <v>81</v>
      </c>
      <c r="N525" s="223"/>
      <c r="O525" s="223"/>
      <c r="P525" s="223"/>
      <c r="Q525" s="77" t="s">
        <v>39</v>
      </c>
      <c r="R525" s="223" t="s">
        <v>80</v>
      </c>
      <c r="S525" s="223"/>
      <c r="T525" s="223"/>
      <c r="U525" s="223"/>
      <c r="V525" s="223"/>
      <c r="W525" s="226"/>
    </row>
    <row r="526" spans="1:24" ht="18.75" customHeight="1">
      <c r="A526" s="227" t="s">
        <v>79</v>
      </c>
      <c r="B526" s="228"/>
      <c r="C526" s="228"/>
      <c r="D526" s="228"/>
      <c r="E526" s="228"/>
      <c r="F526" s="228"/>
      <c r="G526" s="228"/>
      <c r="H526" s="228"/>
      <c r="I526" s="228"/>
      <c r="J526" s="228"/>
      <c r="K526" s="229"/>
      <c r="M526" s="227" t="s">
        <v>79</v>
      </c>
      <c r="N526" s="228"/>
      <c r="O526" s="228"/>
      <c r="P526" s="228"/>
      <c r="Q526" s="228"/>
      <c r="R526" s="228"/>
      <c r="S526" s="228"/>
      <c r="T526" s="228"/>
      <c r="U526" s="228"/>
      <c r="V526" s="228"/>
      <c r="W526" s="229"/>
    </row>
    <row r="527" spans="1:24" ht="18.75" customHeight="1">
      <c r="A527" s="222" t="s">
        <v>78</v>
      </c>
      <c r="B527" s="223"/>
      <c r="C527" s="223"/>
      <c r="D527" s="223"/>
      <c r="E527" s="77" t="s">
        <v>39</v>
      </c>
      <c r="F527" s="230">
        <v>2915400</v>
      </c>
      <c r="G527" s="230"/>
      <c r="H527" s="230"/>
      <c r="I527" s="230"/>
      <c r="J527" s="77" t="s">
        <v>38</v>
      </c>
      <c r="K527" s="82"/>
      <c r="M527" s="222" t="s">
        <v>78</v>
      </c>
      <c r="N527" s="223"/>
      <c r="O527" s="223"/>
      <c r="P527" s="223"/>
      <c r="Q527" s="77" t="s">
        <v>39</v>
      </c>
      <c r="R527" s="230">
        <v>2915400</v>
      </c>
      <c r="S527" s="230"/>
      <c r="T527" s="230"/>
      <c r="U527" s="230"/>
      <c r="V527" s="77" t="s">
        <v>38</v>
      </c>
      <c r="W527" s="82"/>
    </row>
    <row r="528" spans="1:24" ht="18.75" customHeight="1">
      <c r="A528" s="81" t="s">
        <v>77</v>
      </c>
      <c r="B528" s="77"/>
      <c r="C528" s="80"/>
      <c r="D528" s="79"/>
      <c r="E528" s="78"/>
      <c r="F528" s="78"/>
      <c r="G528" s="78"/>
      <c r="H528" s="77"/>
      <c r="I528" s="76" t="e">
        <f>#REF!</f>
        <v>#REF!</v>
      </c>
      <c r="J528" s="75"/>
      <c r="K528" s="74"/>
      <c r="M528" s="81" t="s">
        <v>77</v>
      </c>
      <c r="N528" s="77"/>
      <c r="O528" s="80"/>
      <c r="P528" s="79"/>
      <c r="Q528" s="78"/>
      <c r="R528" s="78"/>
      <c r="S528" s="78"/>
      <c r="T528" s="77"/>
      <c r="U528" s="76" t="e">
        <f>#REF!</f>
        <v>#REF!</v>
      </c>
      <c r="V528" s="75"/>
      <c r="W528" s="74"/>
    </row>
    <row r="529" spans="1:24" ht="18.75" customHeight="1">
      <c r="A529" s="81" t="s">
        <v>76</v>
      </c>
      <c r="B529" s="77"/>
      <c r="C529" s="80"/>
      <c r="D529" s="79"/>
      <c r="E529" s="78"/>
      <c r="F529" s="78"/>
      <c r="G529" s="78"/>
      <c r="H529" s="77"/>
      <c r="I529" s="76" t="e">
        <f>I530/C530/8</f>
        <v>#REF!</v>
      </c>
      <c r="J529" s="75"/>
      <c r="K529" s="74"/>
      <c r="M529" s="81" t="s">
        <v>76</v>
      </c>
      <c r="N529" s="77"/>
      <c r="O529" s="80"/>
      <c r="P529" s="79"/>
      <c r="Q529" s="78"/>
      <c r="R529" s="78"/>
      <c r="S529" s="78"/>
      <c r="T529" s="77"/>
      <c r="U529" s="76" t="e">
        <f>U530/O530/8</f>
        <v>#REF!</v>
      </c>
      <c r="V529" s="75"/>
      <c r="W529" s="74"/>
    </row>
    <row r="530" spans="1:24" ht="18.75" customHeight="1">
      <c r="A530" s="81" t="s">
        <v>75</v>
      </c>
      <c r="B530" s="77" t="s">
        <v>39</v>
      </c>
      <c r="C530" s="80" t="e">
        <f>#REF!</f>
        <v>#REF!</v>
      </c>
      <c r="D530" s="79" t="s">
        <v>52</v>
      </c>
      <c r="E530" s="249" t="s">
        <v>74</v>
      </c>
      <c r="F530" s="249"/>
      <c r="G530" s="249"/>
      <c r="H530" s="77" t="s">
        <v>39</v>
      </c>
      <c r="I530" s="255" t="e">
        <f>#REF!</f>
        <v>#REF!</v>
      </c>
      <c r="J530" s="255"/>
      <c r="K530" s="74" t="s">
        <v>38</v>
      </c>
      <c r="L530" s="95" t="e">
        <f>F527/L520*C530</f>
        <v>#REF!</v>
      </c>
      <c r="M530" s="81" t="s">
        <v>75</v>
      </c>
      <c r="N530" s="77" t="s">
        <v>39</v>
      </c>
      <c r="O530" s="80" t="e">
        <f>#REF!</f>
        <v>#REF!</v>
      </c>
      <c r="P530" s="79" t="s">
        <v>52</v>
      </c>
      <c r="Q530" s="249" t="s">
        <v>74</v>
      </c>
      <c r="R530" s="249"/>
      <c r="S530" s="249"/>
      <c r="T530" s="77" t="s">
        <v>39</v>
      </c>
      <c r="U530" s="255" t="e">
        <f>#REF!</f>
        <v>#REF!</v>
      </c>
      <c r="V530" s="255"/>
      <c r="W530" s="74" t="s">
        <v>38</v>
      </c>
      <c r="X530" s="95" t="e">
        <f>R527/X520*O530</f>
        <v>#REF!</v>
      </c>
    </row>
    <row r="531" spans="1:24" ht="18.75" customHeight="1">
      <c r="A531" s="81" t="s">
        <v>73</v>
      </c>
      <c r="B531" s="77" t="s">
        <v>39</v>
      </c>
      <c r="C531" s="80" t="e">
        <f>#REF!</f>
        <v>#REF!</v>
      </c>
      <c r="D531" s="79" t="s">
        <v>52</v>
      </c>
      <c r="E531" s="223" t="s">
        <v>72</v>
      </c>
      <c r="F531" s="223"/>
      <c r="G531" s="223"/>
      <c r="H531" s="77" t="s">
        <v>39</v>
      </c>
      <c r="I531" s="247" t="e">
        <f>$F$8/$L$1*C531</f>
        <v>#REF!</v>
      </c>
      <c r="J531" s="247"/>
      <c r="K531" s="74" t="s">
        <v>38</v>
      </c>
      <c r="L531" s="95"/>
      <c r="M531" s="81" t="s">
        <v>73</v>
      </c>
      <c r="N531" s="77" t="s">
        <v>39</v>
      </c>
      <c r="O531" s="80" t="e">
        <f>#REF!</f>
        <v>#REF!</v>
      </c>
      <c r="P531" s="79" t="s">
        <v>52</v>
      </c>
      <c r="Q531" s="223" t="s">
        <v>72</v>
      </c>
      <c r="R531" s="223"/>
      <c r="S531" s="223"/>
      <c r="T531" s="77" t="s">
        <v>39</v>
      </c>
      <c r="U531" s="247" t="e">
        <f>$F$8/$L$1*O531</f>
        <v>#REF!</v>
      </c>
      <c r="V531" s="247"/>
      <c r="W531" s="74" t="s">
        <v>38</v>
      </c>
      <c r="X531" s="95"/>
    </row>
    <row r="532" spans="1:24" ht="18.75" customHeight="1">
      <c r="A532" s="81" t="s">
        <v>71</v>
      </c>
      <c r="B532" s="77" t="s">
        <v>39</v>
      </c>
      <c r="C532" s="80" t="e">
        <f>#REF!</f>
        <v>#REF!</v>
      </c>
      <c r="D532" s="79" t="s">
        <v>52</v>
      </c>
      <c r="E532" s="256" t="s">
        <v>70</v>
      </c>
      <c r="F532" s="256"/>
      <c r="G532" s="256"/>
      <c r="H532" s="77" t="s">
        <v>39</v>
      </c>
      <c r="I532" s="247" t="e">
        <f>$F$8/$L$1*C532</f>
        <v>#REF!</v>
      </c>
      <c r="J532" s="247"/>
      <c r="K532" s="74" t="s">
        <v>38</v>
      </c>
      <c r="L532" s="95"/>
      <c r="M532" s="81" t="s">
        <v>71</v>
      </c>
      <c r="N532" s="77" t="s">
        <v>39</v>
      </c>
      <c r="O532" s="80" t="e">
        <f>#REF!</f>
        <v>#REF!</v>
      </c>
      <c r="P532" s="79" t="s">
        <v>52</v>
      </c>
      <c r="Q532" s="256" t="s">
        <v>70</v>
      </c>
      <c r="R532" s="256"/>
      <c r="S532" s="256"/>
      <c r="T532" s="77" t="s">
        <v>39</v>
      </c>
      <c r="U532" s="247" t="e">
        <f>$F$8/$L$1*O532</f>
        <v>#REF!</v>
      </c>
      <c r="V532" s="247"/>
      <c r="W532" s="74" t="s">
        <v>38</v>
      </c>
      <c r="X532" s="95"/>
    </row>
    <row r="533" spans="1:24" ht="18.75" customHeight="1">
      <c r="A533" s="81" t="s">
        <v>69</v>
      </c>
      <c r="B533" s="77" t="s">
        <v>39</v>
      </c>
      <c r="C533" s="80" t="e">
        <f>#REF!</f>
        <v>#REF!</v>
      </c>
      <c r="D533" s="79" t="s">
        <v>52</v>
      </c>
      <c r="E533" s="256" t="s">
        <v>68</v>
      </c>
      <c r="F533" s="256"/>
      <c r="G533" s="256"/>
      <c r="H533" s="77" t="s">
        <v>39</v>
      </c>
      <c r="I533" s="247" t="e">
        <f>$F$8/$L$1*C533</f>
        <v>#REF!</v>
      </c>
      <c r="J533" s="247"/>
      <c r="K533" s="74" t="s">
        <v>38</v>
      </c>
      <c r="L533" s="95"/>
      <c r="M533" s="81" t="s">
        <v>69</v>
      </c>
      <c r="N533" s="77" t="s">
        <v>39</v>
      </c>
      <c r="O533" s="80" t="e">
        <f>#REF!</f>
        <v>#REF!</v>
      </c>
      <c r="P533" s="79" t="s">
        <v>52</v>
      </c>
      <c r="Q533" s="256" t="s">
        <v>68</v>
      </c>
      <c r="R533" s="256"/>
      <c r="S533" s="256"/>
      <c r="T533" s="77" t="s">
        <v>39</v>
      </c>
      <c r="U533" s="247" t="e">
        <f>$F$8/$L$1*O533</f>
        <v>#REF!</v>
      </c>
      <c r="V533" s="247"/>
      <c r="W533" s="74" t="s">
        <v>38</v>
      </c>
      <c r="X533" s="95"/>
    </row>
    <row r="534" spans="1:24" ht="18.75" customHeight="1">
      <c r="A534" s="81" t="s">
        <v>67</v>
      </c>
      <c r="B534" s="77" t="s">
        <v>39</v>
      </c>
      <c r="C534" s="80" t="e">
        <f>#REF!</f>
        <v>#REF!</v>
      </c>
      <c r="D534" s="79" t="s">
        <v>58</v>
      </c>
      <c r="E534" s="223" t="s">
        <v>66</v>
      </c>
      <c r="F534" s="223"/>
      <c r="G534" s="223"/>
      <c r="H534" s="77" t="s">
        <v>39</v>
      </c>
      <c r="I534" s="247" t="e">
        <f>#REF!</f>
        <v>#REF!</v>
      </c>
      <c r="J534" s="247"/>
      <c r="K534" s="74" t="s">
        <v>38</v>
      </c>
      <c r="L534" s="95" t="e">
        <f>F527*C534/L520/8*1.5</f>
        <v>#REF!</v>
      </c>
      <c r="M534" s="81" t="s">
        <v>67</v>
      </c>
      <c r="N534" s="77" t="s">
        <v>39</v>
      </c>
      <c r="O534" s="80" t="e">
        <f>#REF!</f>
        <v>#REF!</v>
      </c>
      <c r="P534" s="79" t="s">
        <v>58</v>
      </c>
      <c r="Q534" s="223" t="s">
        <v>66</v>
      </c>
      <c r="R534" s="223"/>
      <c r="S534" s="223"/>
      <c r="T534" s="77" t="s">
        <v>39</v>
      </c>
      <c r="U534" s="247" t="e">
        <f>#REF!</f>
        <v>#REF!</v>
      </c>
      <c r="V534" s="247"/>
      <c r="W534" s="74" t="s">
        <v>38</v>
      </c>
      <c r="X534" s="95" t="e">
        <f>R527*O534/X520/8*1.5</f>
        <v>#REF!</v>
      </c>
    </row>
    <row r="535" spans="1:24" ht="18.75" customHeight="1">
      <c r="A535" s="222" t="s">
        <v>65</v>
      </c>
      <c r="B535" s="223"/>
      <c r="C535" s="80"/>
      <c r="D535" s="79" t="s">
        <v>52</v>
      </c>
      <c r="E535" s="223" t="s">
        <v>64</v>
      </c>
      <c r="F535" s="223"/>
      <c r="G535" s="223"/>
      <c r="H535" s="100" t="s">
        <v>39</v>
      </c>
      <c r="I535" s="247"/>
      <c r="J535" s="247"/>
      <c r="K535" s="74" t="s">
        <v>38</v>
      </c>
      <c r="L535" s="95"/>
      <c r="M535" s="222" t="s">
        <v>65</v>
      </c>
      <c r="N535" s="223"/>
      <c r="O535" s="80"/>
      <c r="P535" s="79" t="s">
        <v>52</v>
      </c>
      <c r="Q535" s="223" t="s">
        <v>64</v>
      </c>
      <c r="R535" s="223"/>
      <c r="S535" s="223"/>
      <c r="T535" s="100" t="s">
        <v>39</v>
      </c>
      <c r="U535" s="247"/>
      <c r="V535" s="247"/>
      <c r="W535" s="74" t="s">
        <v>38</v>
      </c>
      <c r="X535" s="95"/>
    </row>
    <row r="536" spans="1:24" ht="18.75" customHeight="1">
      <c r="A536" s="81" t="s">
        <v>63</v>
      </c>
      <c r="B536" s="77" t="s">
        <v>39</v>
      </c>
      <c r="C536" s="80"/>
      <c r="D536" s="79" t="s">
        <v>52</v>
      </c>
      <c r="E536" s="223" t="s">
        <v>62</v>
      </c>
      <c r="F536" s="223"/>
      <c r="G536" s="223"/>
      <c r="H536" s="77" t="s">
        <v>39</v>
      </c>
      <c r="I536" s="247"/>
      <c r="J536" s="247"/>
      <c r="K536" s="74" t="s">
        <v>38</v>
      </c>
      <c r="L536" s="95"/>
      <c r="M536" s="81" t="s">
        <v>63</v>
      </c>
      <c r="N536" s="77" t="s">
        <v>39</v>
      </c>
      <c r="O536" s="80"/>
      <c r="P536" s="79" t="s">
        <v>52</v>
      </c>
      <c r="Q536" s="223" t="s">
        <v>62</v>
      </c>
      <c r="R536" s="223"/>
      <c r="S536" s="223"/>
      <c r="T536" s="77" t="s">
        <v>39</v>
      </c>
      <c r="U536" s="247"/>
      <c r="V536" s="247"/>
      <c r="W536" s="74" t="s">
        <v>38</v>
      </c>
      <c r="X536" s="95"/>
    </row>
    <row r="537" spans="1:24" ht="18.75" customHeight="1">
      <c r="A537" s="99" t="s">
        <v>61</v>
      </c>
      <c r="B537" s="77"/>
      <c r="C537" s="80" t="e">
        <f>#REF!</f>
        <v>#REF!</v>
      </c>
      <c r="D537" s="79" t="s">
        <v>58</v>
      </c>
      <c r="E537" s="223" t="s">
        <v>60</v>
      </c>
      <c r="F537" s="223"/>
      <c r="G537" s="223"/>
      <c r="H537" s="77" t="s">
        <v>39</v>
      </c>
      <c r="I537" s="247" t="e">
        <f>$F$8*C537/8/$L$1</f>
        <v>#REF!</v>
      </c>
      <c r="J537" s="247"/>
      <c r="K537" s="74" t="s">
        <v>38</v>
      </c>
      <c r="L537" s="95"/>
      <c r="M537" s="99" t="s">
        <v>61</v>
      </c>
      <c r="N537" s="77"/>
      <c r="O537" s="80" t="e">
        <f>#REF!</f>
        <v>#REF!</v>
      </c>
      <c r="P537" s="79" t="s">
        <v>58</v>
      </c>
      <c r="Q537" s="223" t="s">
        <v>60</v>
      </c>
      <c r="R537" s="223"/>
      <c r="S537" s="223"/>
      <c r="T537" s="77" t="s">
        <v>39</v>
      </c>
      <c r="U537" s="247" t="e">
        <f>$F$8*O537/8/$L$1</f>
        <v>#REF!</v>
      </c>
      <c r="V537" s="247"/>
      <c r="W537" s="74" t="s">
        <v>38</v>
      </c>
      <c r="X537" s="95"/>
    </row>
    <row r="538" spans="1:24" ht="18.75" customHeight="1">
      <c r="A538" s="81" t="s">
        <v>59</v>
      </c>
      <c r="B538" s="77" t="s">
        <v>39</v>
      </c>
      <c r="C538" s="80"/>
      <c r="D538" s="79" t="s">
        <v>58</v>
      </c>
      <c r="E538" s="223" t="s">
        <v>57</v>
      </c>
      <c r="F538" s="223"/>
      <c r="G538" s="223"/>
      <c r="H538" s="77" t="s">
        <v>39</v>
      </c>
      <c r="I538" s="255"/>
      <c r="J538" s="255"/>
      <c r="K538" s="74" t="s">
        <v>38</v>
      </c>
      <c r="L538" s="95"/>
      <c r="M538" s="81" t="s">
        <v>59</v>
      </c>
      <c r="N538" s="77" t="s">
        <v>39</v>
      </c>
      <c r="O538" s="80"/>
      <c r="P538" s="79" t="s">
        <v>58</v>
      </c>
      <c r="Q538" s="223" t="s">
        <v>57</v>
      </c>
      <c r="R538" s="223"/>
      <c r="S538" s="223"/>
      <c r="T538" s="77" t="s">
        <v>39</v>
      </c>
      <c r="U538" s="255"/>
      <c r="V538" s="255"/>
      <c r="W538" s="74" t="s">
        <v>38</v>
      </c>
      <c r="X538" s="95"/>
    </row>
    <row r="539" spans="1:24" ht="18.75" customHeight="1">
      <c r="A539" s="81" t="s">
        <v>56</v>
      </c>
      <c r="B539" s="77" t="s">
        <v>39</v>
      </c>
      <c r="C539" s="80"/>
      <c r="D539" s="79" t="s">
        <v>55</v>
      </c>
      <c r="E539" s="98" t="s">
        <v>54</v>
      </c>
      <c r="F539" s="98"/>
      <c r="G539" s="98"/>
      <c r="H539" s="77" t="s">
        <v>39</v>
      </c>
      <c r="I539" s="247"/>
      <c r="J539" s="247"/>
      <c r="K539" s="74" t="s">
        <v>38</v>
      </c>
      <c r="L539" s="95" t="e">
        <f>+IF(L530-I530&lt;0,0,L530-I530)+IF(L534-I534&lt;0,0,L534-I534)</f>
        <v>#REF!</v>
      </c>
      <c r="M539" s="81" t="s">
        <v>56</v>
      </c>
      <c r="N539" s="77" t="s">
        <v>39</v>
      </c>
      <c r="O539" s="80"/>
      <c r="P539" s="79" t="s">
        <v>55</v>
      </c>
      <c r="Q539" s="98" t="s">
        <v>54</v>
      </c>
      <c r="R539" s="98"/>
      <c r="S539" s="98"/>
      <c r="T539" s="77" t="s">
        <v>39</v>
      </c>
      <c r="U539" s="247"/>
      <c r="V539" s="247"/>
      <c r="W539" s="74" t="s">
        <v>38</v>
      </c>
      <c r="X539" s="95" t="e">
        <f>+IF(X530-U530&lt;0,0,X530-U530)+IF(X534-U534&lt;0,0,X534-U534)</f>
        <v>#REF!</v>
      </c>
    </row>
    <row r="540" spans="1:24" ht="18.75" customHeight="1">
      <c r="A540" s="97" t="s">
        <v>53</v>
      </c>
      <c r="B540" s="96"/>
      <c r="C540" s="80"/>
      <c r="D540" s="79" t="s">
        <v>52</v>
      </c>
      <c r="E540" s="223" t="s">
        <v>51</v>
      </c>
      <c r="F540" s="223"/>
      <c r="G540" s="223"/>
      <c r="H540" s="77" t="s">
        <v>39</v>
      </c>
      <c r="I540" s="247"/>
      <c r="J540" s="247"/>
      <c r="K540" s="74" t="s">
        <v>38</v>
      </c>
      <c r="L540" s="95"/>
      <c r="M540" s="97" t="s">
        <v>53</v>
      </c>
      <c r="N540" s="96"/>
      <c r="O540" s="80"/>
      <c r="P540" s="79" t="s">
        <v>52</v>
      </c>
      <c r="Q540" s="223" t="s">
        <v>51</v>
      </c>
      <c r="R540" s="223"/>
      <c r="S540" s="223"/>
      <c r="T540" s="77" t="s">
        <v>39</v>
      </c>
      <c r="U540" s="247"/>
      <c r="V540" s="247"/>
      <c r="W540" s="74" t="s">
        <v>38</v>
      </c>
      <c r="X540" s="95"/>
    </row>
    <row r="541" spans="1:24" ht="18.75" customHeight="1">
      <c r="A541" s="248" t="s">
        <v>50</v>
      </c>
      <c r="B541" s="249"/>
      <c r="C541" s="80"/>
      <c r="D541" s="79"/>
      <c r="E541" s="78"/>
      <c r="F541" s="78"/>
      <c r="G541" s="78"/>
      <c r="H541" s="77" t="s">
        <v>39</v>
      </c>
      <c r="I541" s="247" t="e">
        <f>#REF!</f>
        <v>#REF!</v>
      </c>
      <c r="J541" s="247"/>
      <c r="K541" s="74" t="s">
        <v>38</v>
      </c>
      <c r="L541" s="95"/>
      <c r="M541" s="248" t="s">
        <v>50</v>
      </c>
      <c r="N541" s="249"/>
      <c r="O541" s="80"/>
      <c r="P541" s="79"/>
      <c r="Q541" s="78"/>
      <c r="R541" s="78"/>
      <c r="S541" s="78"/>
      <c r="T541" s="77" t="s">
        <v>39</v>
      </c>
      <c r="U541" s="247" t="e">
        <f>#REF!</f>
        <v>#REF!</v>
      </c>
      <c r="V541" s="247"/>
      <c r="W541" s="74" t="s">
        <v>38</v>
      </c>
      <c r="X541" s="95"/>
    </row>
    <row r="542" spans="1:24" ht="18.75" customHeight="1">
      <c r="A542" s="81" t="s">
        <v>49</v>
      </c>
      <c r="B542" s="77" t="s">
        <v>39</v>
      </c>
      <c r="C542" s="80"/>
      <c r="D542" s="79"/>
      <c r="E542" s="78" t="s">
        <v>48</v>
      </c>
      <c r="F542" s="78"/>
      <c r="G542" s="78"/>
      <c r="H542" s="77" t="s">
        <v>39</v>
      </c>
      <c r="I542" s="247" t="e">
        <f>L539</f>
        <v>#REF!</v>
      </c>
      <c r="J542" s="247"/>
      <c r="K542" s="74" t="s">
        <v>38</v>
      </c>
      <c r="L542" s="95"/>
      <c r="M542" s="81" t="s">
        <v>49</v>
      </c>
      <c r="N542" s="77" t="s">
        <v>39</v>
      </c>
      <c r="O542" s="80"/>
      <c r="P542" s="79"/>
      <c r="Q542" s="78" t="s">
        <v>48</v>
      </c>
      <c r="R542" s="78"/>
      <c r="S542" s="78"/>
      <c r="T542" s="77" t="s">
        <v>39</v>
      </c>
      <c r="U542" s="247" t="e">
        <f>X539</f>
        <v>#REF!</v>
      </c>
      <c r="V542" s="247"/>
      <c r="W542" s="74" t="s">
        <v>38</v>
      </c>
      <c r="X542" s="95"/>
    </row>
    <row r="543" spans="1:24" ht="18.75" customHeight="1">
      <c r="A543" s="250" t="s">
        <v>47</v>
      </c>
      <c r="B543" s="251"/>
      <c r="C543" s="251"/>
      <c r="D543" s="251"/>
      <c r="E543" s="251"/>
      <c r="F543" s="251"/>
      <c r="G543" s="77" t="s">
        <v>39</v>
      </c>
      <c r="H543" s="252" t="e">
        <f>I530+I531+I532+I533+I534+I537+I541+I542</f>
        <v>#REF!</v>
      </c>
      <c r="I543" s="252"/>
      <c r="J543" s="252"/>
      <c r="K543" s="74" t="s">
        <v>38</v>
      </c>
      <c r="M543" s="250" t="s">
        <v>47</v>
      </c>
      <c r="N543" s="251"/>
      <c r="O543" s="251"/>
      <c r="P543" s="251"/>
      <c r="Q543" s="251"/>
      <c r="R543" s="251"/>
      <c r="S543" s="77" t="s">
        <v>39</v>
      </c>
      <c r="T543" s="252" t="e">
        <f>U530+U531+U532+U533+U534+U537+U541+U542</f>
        <v>#REF!</v>
      </c>
      <c r="U543" s="252"/>
      <c r="V543" s="252"/>
      <c r="W543" s="74" t="s">
        <v>38</v>
      </c>
    </row>
    <row r="544" spans="1:24" ht="18.75" customHeight="1">
      <c r="A544" s="94"/>
      <c r="B544" s="93"/>
      <c r="C544" s="93"/>
      <c r="D544" s="93"/>
      <c r="E544" s="93"/>
      <c r="F544" s="93"/>
      <c r="G544" s="93"/>
      <c r="H544" s="93"/>
      <c r="I544" s="93"/>
      <c r="J544" s="93"/>
      <c r="K544" s="92"/>
      <c r="M544" s="94"/>
      <c r="N544" s="93"/>
      <c r="O544" s="93"/>
      <c r="P544" s="93"/>
      <c r="Q544" s="93"/>
      <c r="R544" s="93"/>
      <c r="S544" s="93"/>
      <c r="T544" s="93"/>
      <c r="U544" s="93"/>
      <c r="V544" s="93"/>
      <c r="W544" s="92"/>
    </row>
    <row r="545" spans="1:24" ht="18.75" customHeight="1">
      <c r="A545" s="253" t="s">
        <v>46</v>
      </c>
      <c r="B545" s="254"/>
      <c r="C545" s="254"/>
      <c r="D545" s="254"/>
      <c r="E545" s="254"/>
      <c r="F545" s="254"/>
      <c r="G545" s="77"/>
      <c r="H545" s="77"/>
      <c r="I545" s="77"/>
      <c r="J545" s="77"/>
      <c r="K545" s="74"/>
      <c r="M545" s="253" t="s">
        <v>46</v>
      </c>
      <c r="N545" s="254"/>
      <c r="O545" s="254"/>
      <c r="P545" s="254"/>
      <c r="Q545" s="254"/>
      <c r="R545" s="254"/>
      <c r="S545" s="77"/>
      <c r="T545" s="77"/>
      <c r="U545" s="77"/>
      <c r="V545" s="77"/>
      <c r="W545" s="74"/>
    </row>
    <row r="546" spans="1:24" ht="18.75" customHeight="1">
      <c r="A546" s="232" t="s">
        <v>45</v>
      </c>
      <c r="B546" s="233"/>
      <c r="C546" s="233"/>
      <c r="D546" s="233"/>
      <c r="E546" s="233"/>
      <c r="F546" s="233"/>
      <c r="G546" s="77" t="s">
        <v>39</v>
      </c>
      <c r="H546" s="242" t="e">
        <f>IF(($L$1-(C530+C531+C532+C533))&gt;12,0,F527*8%)</f>
        <v>#REF!</v>
      </c>
      <c r="I546" s="242"/>
      <c r="J546" s="242"/>
      <c r="K546" s="74" t="s">
        <v>38</v>
      </c>
      <c r="M546" s="232" t="s">
        <v>45</v>
      </c>
      <c r="N546" s="233"/>
      <c r="O546" s="233"/>
      <c r="P546" s="233"/>
      <c r="Q546" s="233"/>
      <c r="R546" s="233"/>
      <c r="S546" s="77" t="s">
        <v>39</v>
      </c>
      <c r="T546" s="242" t="e">
        <f>IF(($L$1-(O530+O531+O532+O533))&gt;12,0,R527*8%)</f>
        <v>#REF!</v>
      </c>
      <c r="U546" s="242"/>
      <c r="V546" s="242"/>
      <c r="W546" s="74" t="s">
        <v>38</v>
      </c>
    </row>
    <row r="547" spans="1:24" ht="18.75" customHeight="1">
      <c r="A547" s="232" t="s">
        <v>44</v>
      </c>
      <c r="B547" s="233"/>
      <c r="C547" s="233"/>
      <c r="D547" s="233"/>
      <c r="E547" s="233"/>
      <c r="F547" s="233"/>
      <c r="G547" s="77" t="s">
        <v>39</v>
      </c>
      <c r="H547" s="243" t="e">
        <f>IF(($L$1-(C530+C531+C532+C533))&gt;12,0,F527*1.5%)</f>
        <v>#REF!</v>
      </c>
      <c r="I547" s="243"/>
      <c r="J547" s="243"/>
      <c r="K547" s="74" t="s">
        <v>38</v>
      </c>
      <c r="M547" s="232" t="s">
        <v>44</v>
      </c>
      <c r="N547" s="233"/>
      <c r="O547" s="233"/>
      <c r="P547" s="233"/>
      <c r="Q547" s="233"/>
      <c r="R547" s="233"/>
      <c r="S547" s="77" t="s">
        <v>39</v>
      </c>
      <c r="T547" s="243" t="e">
        <f>IF(($L$1-(O530+O531+O532+O533))&gt;12,0,R527*1.5%)</f>
        <v>#REF!</v>
      </c>
      <c r="U547" s="243"/>
      <c r="V547" s="243"/>
      <c r="W547" s="74" t="s">
        <v>38</v>
      </c>
    </row>
    <row r="548" spans="1:24" ht="18.75" customHeight="1">
      <c r="A548" s="232" t="s">
        <v>43</v>
      </c>
      <c r="B548" s="233"/>
      <c r="C548" s="233"/>
      <c r="D548" s="233"/>
      <c r="E548" s="233"/>
      <c r="F548" s="233"/>
      <c r="G548" s="77" t="s">
        <v>39</v>
      </c>
      <c r="H548" s="243" t="e">
        <f>IF(($L$1-(C530+C531+C532+C533))&gt;12,0,F527*1%)</f>
        <v>#REF!</v>
      </c>
      <c r="I548" s="243"/>
      <c r="J548" s="243"/>
      <c r="K548" s="74" t="s">
        <v>38</v>
      </c>
      <c r="M548" s="232" t="s">
        <v>43</v>
      </c>
      <c r="N548" s="233"/>
      <c r="O548" s="233"/>
      <c r="P548" s="233"/>
      <c r="Q548" s="233"/>
      <c r="R548" s="233"/>
      <c r="S548" s="77" t="s">
        <v>39</v>
      </c>
      <c r="T548" s="243" t="e">
        <f>IF(($L$1-(O530+O531+O532+O533))&gt;12,0,R527*1%)</f>
        <v>#REF!</v>
      </c>
      <c r="U548" s="243"/>
      <c r="V548" s="243"/>
      <c r="W548" s="74" t="s">
        <v>38</v>
      </c>
    </row>
    <row r="549" spans="1:24" ht="18.75" customHeight="1">
      <c r="A549" s="232" t="s">
        <v>42</v>
      </c>
      <c r="B549" s="233"/>
      <c r="C549" s="233"/>
      <c r="D549" s="233"/>
      <c r="E549" s="233"/>
      <c r="F549" s="233"/>
      <c r="G549" s="77" t="s">
        <v>39</v>
      </c>
      <c r="H549" s="243">
        <v>0</v>
      </c>
      <c r="I549" s="243"/>
      <c r="J549" s="243"/>
      <c r="K549" s="74" t="s">
        <v>38</v>
      </c>
      <c r="M549" s="232" t="s">
        <v>42</v>
      </c>
      <c r="N549" s="233"/>
      <c r="O549" s="233"/>
      <c r="P549" s="233"/>
      <c r="Q549" s="233"/>
      <c r="R549" s="233"/>
      <c r="S549" s="77" t="s">
        <v>39</v>
      </c>
      <c r="T549" s="243">
        <v>0</v>
      </c>
      <c r="U549" s="243"/>
      <c r="V549" s="243"/>
      <c r="W549" s="74" t="s">
        <v>38</v>
      </c>
    </row>
    <row r="550" spans="1:24" ht="18.75" customHeight="1">
      <c r="A550" s="244" t="s">
        <v>41</v>
      </c>
      <c r="B550" s="245"/>
      <c r="C550" s="245"/>
      <c r="D550" s="245"/>
      <c r="E550" s="245"/>
      <c r="F550" s="245"/>
      <c r="G550" s="77" t="s">
        <v>39</v>
      </c>
      <c r="H550" s="246" t="e">
        <f>SUM(H546:J549)</f>
        <v>#REF!</v>
      </c>
      <c r="I550" s="246"/>
      <c r="J550" s="246"/>
      <c r="K550" s="74" t="s">
        <v>38</v>
      </c>
      <c r="M550" s="244" t="s">
        <v>41</v>
      </c>
      <c r="N550" s="245"/>
      <c r="O550" s="245"/>
      <c r="P550" s="245"/>
      <c r="Q550" s="245"/>
      <c r="R550" s="245"/>
      <c r="S550" s="77" t="s">
        <v>39</v>
      </c>
      <c r="T550" s="246" t="e">
        <f>SUM(T546:V549)</f>
        <v>#REF!</v>
      </c>
      <c r="U550" s="246"/>
      <c r="V550" s="246"/>
      <c r="W550" s="74" t="s">
        <v>38</v>
      </c>
    </row>
    <row r="551" spans="1:24" ht="18.75" customHeight="1">
      <c r="A551" s="232" t="s">
        <v>40</v>
      </c>
      <c r="B551" s="233"/>
      <c r="C551" s="233"/>
      <c r="D551" s="233"/>
      <c r="E551" s="233"/>
      <c r="F551" s="233"/>
      <c r="G551" s="77" t="s">
        <v>39</v>
      </c>
      <c r="H551" s="234" t="e">
        <f>ROUND(H543-H550,-2)</f>
        <v>#REF!</v>
      </c>
      <c r="I551" s="234"/>
      <c r="J551" s="234"/>
      <c r="K551" s="74" t="s">
        <v>38</v>
      </c>
      <c r="M551" s="232" t="s">
        <v>40</v>
      </c>
      <c r="N551" s="233"/>
      <c r="O551" s="233"/>
      <c r="P551" s="233"/>
      <c r="Q551" s="233"/>
      <c r="R551" s="233"/>
      <c r="S551" s="77" t="s">
        <v>39</v>
      </c>
      <c r="T551" s="234" t="e">
        <f>ROUND(T543-T550,-2)</f>
        <v>#REF!</v>
      </c>
      <c r="U551" s="234"/>
      <c r="V551" s="234"/>
      <c r="W551" s="74" t="s">
        <v>38</v>
      </c>
    </row>
    <row r="552" spans="1:24" ht="18.75" customHeight="1">
      <c r="A552" s="91"/>
      <c r="B552" s="90"/>
      <c r="C552" s="90"/>
      <c r="D552" s="90"/>
      <c r="E552" s="90"/>
      <c r="F552" s="90"/>
      <c r="G552" s="90"/>
      <c r="H552" s="90"/>
      <c r="I552" s="90"/>
      <c r="J552" s="90"/>
      <c r="K552" s="89"/>
      <c r="M552" s="91"/>
      <c r="N552" s="90"/>
      <c r="O552" s="90"/>
      <c r="P552" s="90"/>
      <c r="Q552" s="90"/>
      <c r="R552" s="90"/>
      <c r="S552" s="90"/>
      <c r="T552" s="90"/>
      <c r="U552" s="90"/>
      <c r="V552" s="90"/>
      <c r="W552" s="89"/>
    </row>
    <row r="553" spans="1:24" ht="18.75" customHeight="1">
      <c r="A553" s="88"/>
      <c r="B553" s="77"/>
      <c r="C553" s="77"/>
      <c r="D553" s="77"/>
      <c r="E553" s="77"/>
      <c r="F553" s="77"/>
      <c r="G553" s="77"/>
      <c r="H553" s="77"/>
      <c r="I553" s="235" t="s">
        <v>37</v>
      </c>
      <c r="J553" s="235"/>
      <c r="K553" s="236"/>
      <c r="M553" s="88"/>
      <c r="N553" s="77"/>
      <c r="O553" s="77"/>
      <c r="P553" s="77"/>
      <c r="Q553" s="77"/>
      <c r="R553" s="77"/>
      <c r="S553" s="77"/>
      <c r="T553" s="77"/>
      <c r="U553" s="235" t="s">
        <v>37</v>
      </c>
      <c r="V553" s="235"/>
      <c r="W553" s="236"/>
    </row>
    <row r="554" spans="1:24" ht="18.75" customHeight="1">
      <c r="A554" s="88"/>
      <c r="B554" s="235"/>
      <c r="C554" s="235"/>
      <c r="D554" s="235"/>
      <c r="E554" s="235"/>
      <c r="F554" s="77"/>
      <c r="G554" s="77"/>
      <c r="H554" s="77"/>
      <c r="I554" s="77"/>
      <c r="J554" s="77"/>
      <c r="K554" s="82"/>
      <c r="M554" s="88"/>
      <c r="N554" s="235"/>
      <c r="O554" s="235"/>
      <c r="P554" s="235"/>
      <c r="Q554" s="235"/>
      <c r="R554" s="77"/>
      <c r="S554" s="77"/>
      <c r="T554" s="77"/>
      <c r="U554" s="77"/>
      <c r="V554" s="77"/>
      <c r="W554" s="82"/>
    </row>
    <row r="555" spans="1:24" ht="18.75" customHeight="1" thickBot="1">
      <c r="A555" s="87"/>
      <c r="B555" s="86"/>
      <c r="C555" s="86"/>
      <c r="D555" s="86"/>
      <c r="E555" s="86"/>
      <c r="F555" s="86"/>
      <c r="G555" s="86"/>
      <c r="H555" s="86"/>
      <c r="I555" s="237" t="s">
        <v>36</v>
      </c>
      <c r="J555" s="237"/>
      <c r="K555" s="238"/>
      <c r="M555" s="87"/>
      <c r="N555" s="86"/>
      <c r="O555" s="86"/>
      <c r="P555" s="86"/>
      <c r="Q555" s="86"/>
      <c r="R555" s="86"/>
      <c r="S555" s="86"/>
      <c r="T555" s="86"/>
      <c r="U555" s="237" t="s">
        <v>36</v>
      </c>
      <c r="V555" s="237"/>
      <c r="W555" s="238"/>
    </row>
    <row r="557" spans="1:24" ht="18.75" customHeight="1" thickTop="1">
      <c r="A557" s="239" t="s">
        <v>87</v>
      </c>
      <c r="B557" s="240"/>
      <c r="C557" s="240"/>
      <c r="D557" s="240"/>
      <c r="E557" s="240"/>
      <c r="F557" s="240"/>
      <c r="G557" s="240"/>
      <c r="H557" s="240"/>
      <c r="I557" s="240"/>
      <c r="J557" s="240"/>
      <c r="K557" s="241"/>
      <c r="L557" s="72">
        <v>25</v>
      </c>
      <c r="M557" s="239" t="s">
        <v>87</v>
      </c>
      <c r="N557" s="240"/>
      <c r="O557" s="240"/>
      <c r="P557" s="240"/>
      <c r="Q557" s="240"/>
      <c r="R557" s="240"/>
      <c r="S557" s="240"/>
      <c r="T557" s="240"/>
      <c r="U557" s="240"/>
      <c r="V557" s="240"/>
      <c r="W557" s="241"/>
      <c r="X557" s="72">
        <v>25</v>
      </c>
    </row>
    <row r="558" spans="1:24" ht="18.75" customHeight="1">
      <c r="A558" s="85" t="s">
        <v>119</v>
      </c>
      <c r="B558" s="84"/>
      <c r="C558" s="84"/>
      <c r="D558" s="84"/>
      <c r="E558" s="84"/>
      <c r="F558" s="84"/>
      <c r="G558" s="84"/>
      <c r="H558" s="84"/>
      <c r="I558" s="84"/>
      <c r="J558" s="84"/>
      <c r="K558" s="83"/>
      <c r="M558" s="85" t="s">
        <v>118</v>
      </c>
      <c r="N558" s="84"/>
      <c r="O558" s="84"/>
      <c r="P558" s="84"/>
      <c r="Q558" s="84"/>
      <c r="R558" s="84"/>
      <c r="S558" s="84"/>
      <c r="T558" s="84"/>
      <c r="U558" s="84"/>
      <c r="V558" s="84"/>
      <c r="W558" s="83"/>
    </row>
    <row r="559" spans="1:24" ht="18.75" customHeight="1">
      <c r="A559" s="227" t="s">
        <v>84</v>
      </c>
      <c r="B559" s="228"/>
      <c r="C559" s="228"/>
      <c r="D559" s="228"/>
      <c r="E559" s="228"/>
      <c r="F559" s="228"/>
      <c r="G559" s="228"/>
      <c r="H559" s="228"/>
      <c r="I559" s="228"/>
      <c r="J559" s="228"/>
      <c r="K559" s="229"/>
      <c r="M559" s="227" t="s">
        <v>84</v>
      </c>
      <c r="N559" s="228"/>
      <c r="O559" s="228"/>
      <c r="P559" s="228"/>
      <c r="Q559" s="228"/>
      <c r="R559" s="228"/>
      <c r="S559" s="228"/>
      <c r="T559" s="228"/>
      <c r="U559" s="228"/>
      <c r="V559" s="228"/>
      <c r="W559" s="229"/>
    </row>
    <row r="560" spans="1:24" ht="18.75" customHeight="1">
      <c r="A560" s="222" t="s">
        <v>83</v>
      </c>
      <c r="B560" s="223"/>
      <c r="C560" s="223"/>
      <c r="D560" s="223"/>
      <c r="E560" s="77" t="s">
        <v>39</v>
      </c>
      <c r="F560" s="224">
        <f>'[3]Bang TH nop'!B65</f>
        <v>0</v>
      </c>
      <c r="G560" s="223"/>
      <c r="H560" s="223"/>
      <c r="I560" s="223"/>
      <c r="J560" s="223"/>
      <c r="K560" s="226"/>
      <c r="M560" s="222" t="s">
        <v>83</v>
      </c>
      <c r="N560" s="223"/>
      <c r="O560" s="223"/>
      <c r="P560" s="223"/>
      <c r="Q560" s="77" t="s">
        <v>39</v>
      </c>
      <c r="R560" s="224">
        <f>'[3]Bang TH nop'!B67</f>
        <v>0</v>
      </c>
      <c r="S560" s="223"/>
      <c r="T560" s="223"/>
      <c r="U560" s="223"/>
      <c r="V560" s="223"/>
      <c r="W560" s="226"/>
    </row>
    <row r="561" spans="1:24" ht="18.75" customHeight="1">
      <c r="A561" s="222" t="s">
        <v>82</v>
      </c>
      <c r="B561" s="223"/>
      <c r="C561" s="223"/>
      <c r="D561" s="223"/>
      <c r="E561" s="77" t="s">
        <v>39</v>
      </c>
      <c r="F561" s="224">
        <f>'[3]Bang TH nop'!C65</f>
        <v>0</v>
      </c>
      <c r="G561" s="224"/>
      <c r="H561" s="224"/>
      <c r="I561" s="224"/>
      <c r="J561" s="224"/>
      <c r="K561" s="225"/>
      <c r="M561" s="222" t="s">
        <v>82</v>
      </c>
      <c r="N561" s="223"/>
      <c r="O561" s="223"/>
      <c r="P561" s="223"/>
      <c r="Q561" s="77" t="s">
        <v>39</v>
      </c>
      <c r="R561" s="224">
        <f>'[3]Bang TH nop'!C67</f>
        <v>0</v>
      </c>
      <c r="S561" s="224"/>
      <c r="T561" s="224"/>
      <c r="U561" s="224"/>
      <c r="V561" s="224"/>
      <c r="W561" s="225"/>
    </row>
    <row r="562" spans="1:24" ht="18.75" customHeight="1">
      <c r="A562" s="222" t="s">
        <v>81</v>
      </c>
      <c r="B562" s="223"/>
      <c r="C562" s="223"/>
      <c r="D562" s="223"/>
      <c r="E562" s="77" t="s">
        <v>39</v>
      </c>
      <c r="F562" s="223" t="s">
        <v>80</v>
      </c>
      <c r="G562" s="223"/>
      <c r="H562" s="223"/>
      <c r="I562" s="223"/>
      <c r="J562" s="223"/>
      <c r="K562" s="226"/>
      <c r="M562" s="222" t="s">
        <v>81</v>
      </c>
      <c r="N562" s="223"/>
      <c r="O562" s="223"/>
      <c r="P562" s="223"/>
      <c r="Q562" s="77" t="s">
        <v>39</v>
      </c>
      <c r="R562" s="223" t="s">
        <v>80</v>
      </c>
      <c r="S562" s="223"/>
      <c r="T562" s="223"/>
      <c r="U562" s="223"/>
      <c r="V562" s="223"/>
      <c r="W562" s="226"/>
    </row>
    <row r="563" spans="1:24" ht="18.75" customHeight="1">
      <c r="A563" s="227" t="s">
        <v>79</v>
      </c>
      <c r="B563" s="228"/>
      <c r="C563" s="228"/>
      <c r="D563" s="228"/>
      <c r="E563" s="228"/>
      <c r="F563" s="228"/>
      <c r="G563" s="228"/>
      <c r="H563" s="228"/>
      <c r="I563" s="228"/>
      <c r="J563" s="228"/>
      <c r="K563" s="229"/>
      <c r="M563" s="227" t="s">
        <v>79</v>
      </c>
      <c r="N563" s="228"/>
      <c r="O563" s="228"/>
      <c r="P563" s="228"/>
      <c r="Q563" s="228"/>
      <c r="R563" s="228"/>
      <c r="S563" s="228"/>
      <c r="T563" s="228"/>
      <c r="U563" s="228"/>
      <c r="V563" s="228"/>
      <c r="W563" s="229"/>
    </row>
    <row r="564" spans="1:24" ht="18.75" customHeight="1">
      <c r="A564" s="222" t="s">
        <v>78</v>
      </c>
      <c r="B564" s="223"/>
      <c r="C564" s="223"/>
      <c r="D564" s="223"/>
      <c r="E564" s="77" t="s">
        <v>39</v>
      </c>
      <c r="F564" s="230">
        <v>2915400</v>
      </c>
      <c r="G564" s="230"/>
      <c r="H564" s="230"/>
      <c r="I564" s="230"/>
      <c r="J564" s="77" t="s">
        <v>38</v>
      </c>
      <c r="K564" s="82"/>
      <c r="M564" s="222" t="s">
        <v>78</v>
      </c>
      <c r="N564" s="223"/>
      <c r="O564" s="223"/>
      <c r="P564" s="223"/>
      <c r="Q564" s="77" t="s">
        <v>39</v>
      </c>
      <c r="R564" s="230">
        <v>2915400</v>
      </c>
      <c r="S564" s="230"/>
      <c r="T564" s="230"/>
      <c r="U564" s="230"/>
      <c r="V564" s="77" t="s">
        <v>38</v>
      </c>
      <c r="W564" s="82"/>
    </row>
    <row r="565" spans="1:24" ht="18.75" customHeight="1">
      <c r="A565" s="81" t="s">
        <v>77</v>
      </c>
      <c r="B565" s="77"/>
      <c r="C565" s="80"/>
      <c r="D565" s="79"/>
      <c r="E565" s="78"/>
      <c r="F565" s="78"/>
      <c r="G565" s="78"/>
      <c r="H565" s="77"/>
      <c r="I565" s="76" t="e">
        <f>#REF!</f>
        <v>#REF!</v>
      </c>
      <c r="J565" s="75"/>
      <c r="K565" s="74"/>
      <c r="M565" s="81" t="s">
        <v>77</v>
      </c>
      <c r="N565" s="77"/>
      <c r="O565" s="80"/>
      <c r="P565" s="79"/>
      <c r="Q565" s="78"/>
      <c r="R565" s="78"/>
      <c r="S565" s="78"/>
      <c r="T565" s="77"/>
      <c r="U565" s="76" t="e">
        <f>#REF!</f>
        <v>#REF!</v>
      </c>
      <c r="V565" s="75"/>
      <c r="W565" s="74"/>
    </row>
    <row r="566" spans="1:24" ht="18.75" customHeight="1">
      <c r="A566" s="81" t="s">
        <v>76</v>
      </c>
      <c r="B566" s="77"/>
      <c r="C566" s="80"/>
      <c r="D566" s="79"/>
      <c r="E566" s="78"/>
      <c r="F566" s="78"/>
      <c r="G566" s="78"/>
      <c r="H566" s="77"/>
      <c r="I566" s="76" t="e">
        <f>I567/C567/8</f>
        <v>#REF!</v>
      </c>
      <c r="J566" s="75"/>
      <c r="K566" s="74"/>
      <c r="M566" s="81" t="s">
        <v>76</v>
      </c>
      <c r="N566" s="77"/>
      <c r="O566" s="80"/>
      <c r="P566" s="79"/>
      <c r="Q566" s="78"/>
      <c r="R566" s="78"/>
      <c r="S566" s="78"/>
      <c r="T566" s="77"/>
      <c r="U566" s="76" t="e">
        <f>U567/O567/8</f>
        <v>#REF!</v>
      </c>
      <c r="V566" s="75"/>
      <c r="W566" s="74"/>
    </row>
    <row r="567" spans="1:24" ht="18.75" customHeight="1">
      <c r="A567" s="81" t="s">
        <v>75</v>
      </c>
      <c r="B567" s="77" t="s">
        <v>39</v>
      </c>
      <c r="C567" s="80" t="e">
        <f>#REF!</f>
        <v>#REF!</v>
      </c>
      <c r="D567" s="79" t="s">
        <v>52</v>
      </c>
      <c r="E567" s="249" t="s">
        <v>74</v>
      </c>
      <c r="F567" s="249"/>
      <c r="G567" s="249"/>
      <c r="H567" s="77" t="s">
        <v>39</v>
      </c>
      <c r="I567" s="255" t="e">
        <f>#REF!</f>
        <v>#REF!</v>
      </c>
      <c r="J567" s="255"/>
      <c r="K567" s="74" t="s">
        <v>38</v>
      </c>
      <c r="L567" s="95" t="e">
        <f>F564/L557*C567</f>
        <v>#REF!</v>
      </c>
      <c r="M567" s="81" t="s">
        <v>75</v>
      </c>
      <c r="N567" s="77" t="s">
        <v>39</v>
      </c>
      <c r="O567" s="80" t="e">
        <f>#REF!</f>
        <v>#REF!</v>
      </c>
      <c r="P567" s="79" t="s">
        <v>52</v>
      </c>
      <c r="Q567" s="249" t="s">
        <v>74</v>
      </c>
      <c r="R567" s="249"/>
      <c r="S567" s="249"/>
      <c r="T567" s="77" t="s">
        <v>39</v>
      </c>
      <c r="U567" s="255" t="e">
        <f>#REF!</f>
        <v>#REF!</v>
      </c>
      <c r="V567" s="255"/>
      <c r="W567" s="74" t="s">
        <v>38</v>
      </c>
      <c r="X567" s="95" t="e">
        <f>R564/X557*O567</f>
        <v>#REF!</v>
      </c>
    </row>
    <row r="568" spans="1:24" ht="18.75" customHeight="1">
      <c r="A568" s="81" t="s">
        <v>73</v>
      </c>
      <c r="B568" s="77" t="s">
        <v>39</v>
      </c>
      <c r="C568" s="80" t="e">
        <f>#REF!</f>
        <v>#REF!</v>
      </c>
      <c r="D568" s="79" t="s">
        <v>52</v>
      </c>
      <c r="E568" s="223" t="s">
        <v>72</v>
      </c>
      <c r="F568" s="223"/>
      <c r="G568" s="223"/>
      <c r="H568" s="77" t="s">
        <v>39</v>
      </c>
      <c r="I568" s="247" t="e">
        <f>$F$8/$L$1*C568</f>
        <v>#REF!</v>
      </c>
      <c r="J568" s="247"/>
      <c r="K568" s="74" t="s">
        <v>38</v>
      </c>
      <c r="L568" s="95"/>
      <c r="M568" s="81" t="s">
        <v>73</v>
      </c>
      <c r="N568" s="77" t="s">
        <v>39</v>
      </c>
      <c r="O568" s="80" t="e">
        <f>#REF!</f>
        <v>#REF!</v>
      </c>
      <c r="P568" s="79" t="s">
        <v>52</v>
      </c>
      <c r="Q568" s="223" t="s">
        <v>72</v>
      </c>
      <c r="R568" s="223"/>
      <c r="S568" s="223"/>
      <c r="T568" s="77" t="s">
        <v>39</v>
      </c>
      <c r="U568" s="247" t="e">
        <f>$F$8/$L$1*O568</f>
        <v>#REF!</v>
      </c>
      <c r="V568" s="247"/>
      <c r="W568" s="74" t="s">
        <v>38</v>
      </c>
      <c r="X568" s="95"/>
    </row>
    <row r="569" spans="1:24" ht="18.75" customHeight="1">
      <c r="A569" s="81" t="s">
        <v>71</v>
      </c>
      <c r="B569" s="77" t="s">
        <v>39</v>
      </c>
      <c r="C569" s="80" t="e">
        <f>#REF!</f>
        <v>#REF!</v>
      </c>
      <c r="D569" s="79" t="s">
        <v>52</v>
      </c>
      <c r="E569" s="256" t="s">
        <v>70</v>
      </c>
      <c r="F569" s="256"/>
      <c r="G569" s="256"/>
      <c r="H569" s="77" t="s">
        <v>39</v>
      </c>
      <c r="I569" s="247" t="e">
        <f>$F$8/$L$1*C569</f>
        <v>#REF!</v>
      </c>
      <c r="J569" s="247"/>
      <c r="K569" s="74" t="s">
        <v>38</v>
      </c>
      <c r="L569" s="95"/>
      <c r="M569" s="81" t="s">
        <v>71</v>
      </c>
      <c r="N569" s="77" t="s">
        <v>39</v>
      </c>
      <c r="O569" s="80" t="e">
        <f>#REF!</f>
        <v>#REF!</v>
      </c>
      <c r="P569" s="79" t="s">
        <v>52</v>
      </c>
      <c r="Q569" s="256" t="s">
        <v>70</v>
      </c>
      <c r="R569" s="256"/>
      <c r="S569" s="256"/>
      <c r="T569" s="77" t="s">
        <v>39</v>
      </c>
      <c r="U569" s="247" t="e">
        <f>$F$8/$L$1*O569</f>
        <v>#REF!</v>
      </c>
      <c r="V569" s="247"/>
      <c r="W569" s="74" t="s">
        <v>38</v>
      </c>
      <c r="X569" s="95"/>
    </row>
    <row r="570" spans="1:24" ht="18.75" customHeight="1">
      <c r="A570" s="81" t="s">
        <v>69</v>
      </c>
      <c r="B570" s="77" t="s">
        <v>39</v>
      </c>
      <c r="C570" s="80" t="e">
        <f>#REF!</f>
        <v>#REF!</v>
      </c>
      <c r="D570" s="79" t="s">
        <v>52</v>
      </c>
      <c r="E570" s="256" t="s">
        <v>68</v>
      </c>
      <c r="F570" s="256"/>
      <c r="G570" s="256"/>
      <c r="H570" s="77" t="s">
        <v>39</v>
      </c>
      <c r="I570" s="247" t="e">
        <f>$F$8/$L$1*C570</f>
        <v>#REF!</v>
      </c>
      <c r="J570" s="247"/>
      <c r="K570" s="74" t="s">
        <v>38</v>
      </c>
      <c r="L570" s="95"/>
      <c r="M570" s="81" t="s">
        <v>69</v>
      </c>
      <c r="N570" s="77" t="s">
        <v>39</v>
      </c>
      <c r="O570" s="80" t="e">
        <f>#REF!</f>
        <v>#REF!</v>
      </c>
      <c r="P570" s="79" t="s">
        <v>52</v>
      </c>
      <c r="Q570" s="256" t="s">
        <v>68</v>
      </c>
      <c r="R570" s="256"/>
      <c r="S570" s="256"/>
      <c r="T570" s="77" t="s">
        <v>39</v>
      </c>
      <c r="U570" s="247" t="e">
        <f>$F$8/$L$1*O570</f>
        <v>#REF!</v>
      </c>
      <c r="V570" s="247"/>
      <c r="W570" s="74" t="s">
        <v>38</v>
      </c>
      <c r="X570" s="95"/>
    </row>
    <row r="571" spans="1:24" ht="18.75" customHeight="1">
      <c r="A571" s="81" t="s">
        <v>67</v>
      </c>
      <c r="B571" s="77" t="s">
        <v>39</v>
      </c>
      <c r="C571" s="80" t="e">
        <f>#REF!</f>
        <v>#REF!</v>
      </c>
      <c r="D571" s="79" t="s">
        <v>58</v>
      </c>
      <c r="E571" s="223" t="s">
        <v>66</v>
      </c>
      <c r="F571" s="223"/>
      <c r="G571" s="223"/>
      <c r="H571" s="77" t="s">
        <v>39</v>
      </c>
      <c r="I571" s="247" t="e">
        <f>#REF!</f>
        <v>#REF!</v>
      </c>
      <c r="J571" s="247"/>
      <c r="K571" s="74" t="s">
        <v>38</v>
      </c>
      <c r="L571" s="95" t="e">
        <f>F564*C571/L557/8*1.5</f>
        <v>#REF!</v>
      </c>
      <c r="M571" s="81" t="s">
        <v>67</v>
      </c>
      <c r="N571" s="77" t="s">
        <v>39</v>
      </c>
      <c r="O571" s="80" t="e">
        <f>#REF!</f>
        <v>#REF!</v>
      </c>
      <c r="P571" s="79" t="s">
        <v>58</v>
      </c>
      <c r="Q571" s="223" t="s">
        <v>66</v>
      </c>
      <c r="R571" s="223"/>
      <c r="S571" s="223"/>
      <c r="T571" s="77" t="s">
        <v>39</v>
      </c>
      <c r="U571" s="247" t="e">
        <f>#REF!</f>
        <v>#REF!</v>
      </c>
      <c r="V571" s="247"/>
      <c r="W571" s="74" t="s">
        <v>38</v>
      </c>
      <c r="X571" s="95" t="e">
        <f>R564*O571/X557/8*1.5</f>
        <v>#REF!</v>
      </c>
    </row>
    <row r="572" spans="1:24" ht="18.75" customHeight="1">
      <c r="A572" s="222" t="s">
        <v>65</v>
      </c>
      <c r="B572" s="223"/>
      <c r="C572" s="80"/>
      <c r="D572" s="79" t="s">
        <v>52</v>
      </c>
      <c r="E572" s="223" t="s">
        <v>64</v>
      </c>
      <c r="F572" s="223"/>
      <c r="G572" s="223"/>
      <c r="H572" s="100" t="s">
        <v>39</v>
      </c>
      <c r="I572" s="247"/>
      <c r="J572" s="247"/>
      <c r="K572" s="74" t="s">
        <v>38</v>
      </c>
      <c r="L572" s="95"/>
      <c r="M572" s="222" t="s">
        <v>65</v>
      </c>
      <c r="N572" s="223"/>
      <c r="O572" s="80"/>
      <c r="P572" s="79" t="s">
        <v>52</v>
      </c>
      <c r="Q572" s="223" t="s">
        <v>64</v>
      </c>
      <c r="R572" s="223"/>
      <c r="S572" s="223"/>
      <c r="T572" s="100" t="s">
        <v>39</v>
      </c>
      <c r="U572" s="247"/>
      <c r="V572" s="247"/>
      <c r="W572" s="74" t="s">
        <v>38</v>
      </c>
      <c r="X572" s="95"/>
    </row>
    <row r="573" spans="1:24" ht="18.75" customHeight="1">
      <c r="A573" s="81" t="s">
        <v>63</v>
      </c>
      <c r="B573" s="77" t="s">
        <v>39</v>
      </c>
      <c r="C573" s="80"/>
      <c r="D573" s="79" t="s">
        <v>52</v>
      </c>
      <c r="E573" s="223" t="s">
        <v>62</v>
      </c>
      <c r="F573" s="223"/>
      <c r="G573" s="223"/>
      <c r="H573" s="77" t="s">
        <v>39</v>
      </c>
      <c r="I573" s="247"/>
      <c r="J573" s="247"/>
      <c r="K573" s="74" t="s">
        <v>38</v>
      </c>
      <c r="L573" s="95"/>
      <c r="M573" s="81" t="s">
        <v>63</v>
      </c>
      <c r="N573" s="77" t="s">
        <v>39</v>
      </c>
      <c r="O573" s="80"/>
      <c r="P573" s="79" t="s">
        <v>52</v>
      </c>
      <c r="Q573" s="223" t="s">
        <v>62</v>
      </c>
      <c r="R573" s="223"/>
      <c r="S573" s="223"/>
      <c r="T573" s="77" t="s">
        <v>39</v>
      </c>
      <c r="U573" s="247"/>
      <c r="V573" s="247"/>
      <c r="W573" s="74" t="s">
        <v>38</v>
      </c>
      <c r="X573" s="95"/>
    </row>
    <row r="574" spans="1:24" ht="18.75" customHeight="1">
      <c r="A574" s="99" t="s">
        <v>61</v>
      </c>
      <c r="B574" s="77"/>
      <c r="C574" s="80" t="e">
        <f>#REF!</f>
        <v>#REF!</v>
      </c>
      <c r="D574" s="79" t="s">
        <v>58</v>
      </c>
      <c r="E574" s="223" t="s">
        <v>60</v>
      </c>
      <c r="F574" s="223"/>
      <c r="G574" s="223"/>
      <c r="H574" s="77" t="s">
        <v>39</v>
      </c>
      <c r="I574" s="247" t="e">
        <f>$F$8*C574/8/$L$1</f>
        <v>#REF!</v>
      </c>
      <c r="J574" s="247"/>
      <c r="K574" s="74" t="s">
        <v>38</v>
      </c>
      <c r="L574" s="95"/>
      <c r="M574" s="99" t="s">
        <v>61</v>
      </c>
      <c r="N574" s="77"/>
      <c r="O574" s="80" t="e">
        <f>#REF!</f>
        <v>#REF!</v>
      </c>
      <c r="P574" s="79" t="s">
        <v>58</v>
      </c>
      <c r="Q574" s="223" t="s">
        <v>60</v>
      </c>
      <c r="R574" s="223"/>
      <c r="S574" s="223"/>
      <c r="T574" s="77" t="s">
        <v>39</v>
      </c>
      <c r="U574" s="247" t="e">
        <f>$F$8*O574/8/$L$1</f>
        <v>#REF!</v>
      </c>
      <c r="V574" s="247"/>
      <c r="W574" s="74" t="s">
        <v>38</v>
      </c>
      <c r="X574" s="95"/>
    </row>
    <row r="575" spans="1:24" ht="18.75" customHeight="1">
      <c r="A575" s="81" t="s">
        <v>59</v>
      </c>
      <c r="B575" s="77" t="s">
        <v>39</v>
      </c>
      <c r="C575" s="80"/>
      <c r="D575" s="79" t="s">
        <v>58</v>
      </c>
      <c r="E575" s="223" t="s">
        <v>57</v>
      </c>
      <c r="F575" s="223"/>
      <c r="G575" s="223"/>
      <c r="H575" s="77" t="s">
        <v>39</v>
      </c>
      <c r="I575" s="255"/>
      <c r="J575" s="255"/>
      <c r="K575" s="74" t="s">
        <v>38</v>
      </c>
      <c r="L575" s="95"/>
      <c r="M575" s="81" t="s">
        <v>59</v>
      </c>
      <c r="N575" s="77" t="s">
        <v>39</v>
      </c>
      <c r="O575" s="80"/>
      <c r="P575" s="79" t="s">
        <v>58</v>
      </c>
      <c r="Q575" s="223" t="s">
        <v>57</v>
      </c>
      <c r="R575" s="223"/>
      <c r="S575" s="223"/>
      <c r="T575" s="77" t="s">
        <v>39</v>
      </c>
      <c r="U575" s="255"/>
      <c r="V575" s="255"/>
      <c r="W575" s="74" t="s">
        <v>38</v>
      </c>
      <c r="X575" s="95"/>
    </row>
    <row r="576" spans="1:24" ht="18.75" customHeight="1">
      <c r="A576" s="81" t="s">
        <v>56</v>
      </c>
      <c r="B576" s="77" t="s">
        <v>39</v>
      </c>
      <c r="C576" s="80"/>
      <c r="D576" s="79" t="s">
        <v>55</v>
      </c>
      <c r="E576" s="98" t="s">
        <v>54</v>
      </c>
      <c r="F576" s="98"/>
      <c r="G576" s="98"/>
      <c r="H576" s="77" t="s">
        <v>39</v>
      </c>
      <c r="I576" s="247"/>
      <c r="J576" s="247"/>
      <c r="K576" s="74" t="s">
        <v>38</v>
      </c>
      <c r="L576" s="95" t="e">
        <f>+IF(L567-I567&lt;0,0,L567-I567)+IF(L571-I571&lt;0,0,L571-I571)</f>
        <v>#REF!</v>
      </c>
      <c r="M576" s="81" t="s">
        <v>56</v>
      </c>
      <c r="N576" s="77" t="s">
        <v>39</v>
      </c>
      <c r="O576" s="80"/>
      <c r="P576" s="79" t="s">
        <v>55</v>
      </c>
      <c r="Q576" s="98" t="s">
        <v>54</v>
      </c>
      <c r="R576" s="98"/>
      <c r="S576" s="98"/>
      <c r="T576" s="77" t="s">
        <v>39</v>
      </c>
      <c r="U576" s="247"/>
      <c r="V576" s="247"/>
      <c r="W576" s="74" t="s">
        <v>38</v>
      </c>
      <c r="X576" s="95" t="e">
        <f>+IF(X567-U567&lt;0,0,X567-U567)+IF(X571-U571&lt;0,0,X571-U571)</f>
        <v>#REF!</v>
      </c>
    </row>
    <row r="577" spans="1:24" ht="18.75" customHeight="1">
      <c r="A577" s="97" t="s">
        <v>53</v>
      </c>
      <c r="B577" s="96"/>
      <c r="C577" s="80"/>
      <c r="D577" s="79" t="s">
        <v>52</v>
      </c>
      <c r="E577" s="223" t="s">
        <v>51</v>
      </c>
      <c r="F577" s="223"/>
      <c r="G577" s="223"/>
      <c r="H577" s="77" t="s">
        <v>39</v>
      </c>
      <c r="I577" s="247"/>
      <c r="J577" s="247"/>
      <c r="K577" s="74" t="s">
        <v>38</v>
      </c>
      <c r="L577" s="95"/>
      <c r="M577" s="97" t="s">
        <v>53</v>
      </c>
      <c r="N577" s="96"/>
      <c r="O577" s="80"/>
      <c r="P577" s="79" t="s">
        <v>52</v>
      </c>
      <c r="Q577" s="223" t="s">
        <v>51</v>
      </c>
      <c r="R577" s="223"/>
      <c r="S577" s="223"/>
      <c r="T577" s="77" t="s">
        <v>39</v>
      </c>
      <c r="U577" s="247"/>
      <c r="V577" s="247"/>
      <c r="W577" s="74" t="s">
        <v>38</v>
      </c>
      <c r="X577" s="95"/>
    </row>
    <row r="578" spans="1:24" ht="18.75" customHeight="1">
      <c r="A578" s="248" t="s">
        <v>50</v>
      </c>
      <c r="B578" s="249"/>
      <c r="C578" s="80"/>
      <c r="D578" s="79"/>
      <c r="E578" s="78"/>
      <c r="F578" s="78"/>
      <c r="G578" s="78"/>
      <c r="H578" s="77" t="s">
        <v>39</v>
      </c>
      <c r="I578" s="247" t="e">
        <f>#REF!</f>
        <v>#REF!</v>
      </c>
      <c r="J578" s="247"/>
      <c r="K578" s="74" t="s">
        <v>38</v>
      </c>
      <c r="L578" s="95"/>
      <c r="M578" s="248" t="s">
        <v>50</v>
      </c>
      <c r="N578" s="249"/>
      <c r="O578" s="80"/>
      <c r="P578" s="79"/>
      <c r="Q578" s="78"/>
      <c r="R578" s="78"/>
      <c r="S578" s="78"/>
      <c r="T578" s="77" t="s">
        <v>39</v>
      </c>
      <c r="U578" s="247" t="e">
        <f>#REF!</f>
        <v>#REF!</v>
      </c>
      <c r="V578" s="247"/>
      <c r="W578" s="74" t="s">
        <v>38</v>
      </c>
      <c r="X578" s="95"/>
    </row>
    <row r="579" spans="1:24" ht="18.75" customHeight="1">
      <c r="A579" s="81" t="s">
        <v>49</v>
      </c>
      <c r="B579" s="77" t="s">
        <v>39</v>
      </c>
      <c r="C579" s="80"/>
      <c r="D579" s="79"/>
      <c r="E579" s="78" t="s">
        <v>48</v>
      </c>
      <c r="F579" s="78"/>
      <c r="G579" s="78"/>
      <c r="H579" s="77" t="s">
        <v>39</v>
      </c>
      <c r="I579" s="247" t="e">
        <f>L576</f>
        <v>#REF!</v>
      </c>
      <c r="J579" s="247"/>
      <c r="K579" s="74" t="s">
        <v>38</v>
      </c>
      <c r="L579" s="95"/>
      <c r="M579" s="81" t="s">
        <v>49</v>
      </c>
      <c r="N579" s="77" t="s">
        <v>39</v>
      </c>
      <c r="O579" s="80"/>
      <c r="P579" s="79"/>
      <c r="Q579" s="78" t="s">
        <v>48</v>
      </c>
      <c r="R579" s="78"/>
      <c r="S579" s="78"/>
      <c r="T579" s="77" t="s">
        <v>39</v>
      </c>
      <c r="U579" s="247" t="e">
        <f>X576</f>
        <v>#REF!</v>
      </c>
      <c r="V579" s="247"/>
      <c r="W579" s="74" t="s">
        <v>38</v>
      </c>
      <c r="X579" s="95"/>
    </row>
    <row r="580" spans="1:24" ht="18.75" customHeight="1">
      <c r="A580" s="250" t="s">
        <v>47</v>
      </c>
      <c r="B580" s="251"/>
      <c r="C580" s="251"/>
      <c r="D580" s="251"/>
      <c r="E580" s="251"/>
      <c r="F580" s="251"/>
      <c r="G580" s="77" t="s">
        <v>39</v>
      </c>
      <c r="H580" s="252" t="e">
        <f>I567+I568+I569+I570+I571+I574+I578+I579</f>
        <v>#REF!</v>
      </c>
      <c r="I580" s="252"/>
      <c r="J580" s="252"/>
      <c r="K580" s="74" t="s">
        <v>38</v>
      </c>
      <c r="M580" s="250" t="s">
        <v>47</v>
      </c>
      <c r="N580" s="251"/>
      <c r="O580" s="251"/>
      <c r="P580" s="251"/>
      <c r="Q580" s="251"/>
      <c r="R580" s="251"/>
      <c r="S580" s="77" t="s">
        <v>39</v>
      </c>
      <c r="T580" s="252" t="e">
        <f>U567+U568+U569+U570+U571+U574+U578+U579</f>
        <v>#REF!</v>
      </c>
      <c r="U580" s="252"/>
      <c r="V580" s="252"/>
      <c r="W580" s="74" t="s">
        <v>38</v>
      </c>
    </row>
    <row r="581" spans="1:24" ht="18.75" customHeight="1">
      <c r="A581" s="94"/>
      <c r="B581" s="93"/>
      <c r="C581" s="93"/>
      <c r="D581" s="93"/>
      <c r="E581" s="93"/>
      <c r="F581" s="93"/>
      <c r="G581" s="93"/>
      <c r="H581" s="93"/>
      <c r="I581" s="93"/>
      <c r="J581" s="93"/>
      <c r="K581" s="92"/>
      <c r="M581" s="94"/>
      <c r="N581" s="93"/>
      <c r="O581" s="93"/>
      <c r="P581" s="93"/>
      <c r="Q581" s="93"/>
      <c r="R581" s="93"/>
      <c r="S581" s="93"/>
      <c r="T581" s="93"/>
      <c r="U581" s="93"/>
      <c r="V581" s="93"/>
      <c r="W581" s="92"/>
    </row>
    <row r="582" spans="1:24" ht="18.75" customHeight="1">
      <c r="A582" s="253" t="s">
        <v>46</v>
      </c>
      <c r="B582" s="254"/>
      <c r="C582" s="254"/>
      <c r="D582" s="254"/>
      <c r="E582" s="254"/>
      <c r="F582" s="254"/>
      <c r="G582" s="77"/>
      <c r="H582" s="77"/>
      <c r="I582" s="77"/>
      <c r="J582" s="77"/>
      <c r="K582" s="74"/>
      <c r="M582" s="253" t="s">
        <v>46</v>
      </c>
      <c r="N582" s="254"/>
      <c r="O582" s="254"/>
      <c r="P582" s="254"/>
      <c r="Q582" s="254"/>
      <c r="R582" s="254"/>
      <c r="S582" s="77"/>
      <c r="T582" s="77"/>
      <c r="U582" s="77"/>
      <c r="V582" s="77"/>
      <c r="W582" s="74"/>
    </row>
    <row r="583" spans="1:24" ht="18.75" customHeight="1">
      <c r="A583" s="232" t="s">
        <v>45</v>
      </c>
      <c r="B583" s="233"/>
      <c r="C583" s="233"/>
      <c r="D583" s="233"/>
      <c r="E583" s="233"/>
      <c r="F583" s="233"/>
      <c r="G583" s="77" t="s">
        <v>39</v>
      </c>
      <c r="H583" s="242" t="e">
        <f>IF(($L$1-(C567+C568+C569+C570))&gt;12,0,F564*8%)</f>
        <v>#REF!</v>
      </c>
      <c r="I583" s="242"/>
      <c r="J583" s="242"/>
      <c r="K583" s="74" t="s">
        <v>38</v>
      </c>
      <c r="M583" s="232" t="s">
        <v>45</v>
      </c>
      <c r="N583" s="233"/>
      <c r="O583" s="233"/>
      <c r="P583" s="233"/>
      <c r="Q583" s="233"/>
      <c r="R583" s="233"/>
      <c r="S583" s="77" t="s">
        <v>39</v>
      </c>
      <c r="T583" s="242" t="e">
        <f>IF(($L$1-(O567+O568+O569+O570))&gt;12,0,R564*8%)</f>
        <v>#REF!</v>
      </c>
      <c r="U583" s="242"/>
      <c r="V583" s="242"/>
      <c r="W583" s="74" t="s">
        <v>38</v>
      </c>
    </row>
    <row r="584" spans="1:24" ht="18.75" customHeight="1">
      <c r="A584" s="232" t="s">
        <v>44</v>
      </c>
      <c r="B584" s="233"/>
      <c r="C584" s="233"/>
      <c r="D584" s="233"/>
      <c r="E584" s="233"/>
      <c r="F584" s="233"/>
      <c r="G584" s="77" t="s">
        <v>39</v>
      </c>
      <c r="H584" s="243" t="e">
        <f>IF(($L$1-(C567+C568+C569+C570))&gt;12,0,F564*1.5%)</f>
        <v>#REF!</v>
      </c>
      <c r="I584" s="243"/>
      <c r="J584" s="243"/>
      <c r="K584" s="74" t="s">
        <v>38</v>
      </c>
      <c r="M584" s="232" t="s">
        <v>44</v>
      </c>
      <c r="N584" s="233"/>
      <c r="O584" s="233"/>
      <c r="P584" s="233"/>
      <c r="Q584" s="233"/>
      <c r="R584" s="233"/>
      <c r="S584" s="77" t="s">
        <v>39</v>
      </c>
      <c r="T584" s="243" t="e">
        <f>IF(($L$1-(O567+O568+O569+O570))&gt;12,0,R564*1.5%)</f>
        <v>#REF!</v>
      </c>
      <c r="U584" s="243"/>
      <c r="V584" s="243"/>
      <c r="W584" s="74" t="s">
        <v>38</v>
      </c>
    </row>
    <row r="585" spans="1:24" ht="18.75" customHeight="1">
      <c r="A585" s="232" t="s">
        <v>43</v>
      </c>
      <c r="B585" s="233"/>
      <c r="C585" s="233"/>
      <c r="D585" s="233"/>
      <c r="E585" s="233"/>
      <c r="F585" s="233"/>
      <c r="G585" s="77" t="s">
        <v>39</v>
      </c>
      <c r="H585" s="243" t="e">
        <f>IF(($L$1-(C567+C568+C569+C570))&gt;12,0,F564*1%)</f>
        <v>#REF!</v>
      </c>
      <c r="I585" s="243"/>
      <c r="J585" s="243"/>
      <c r="K585" s="74" t="s">
        <v>38</v>
      </c>
      <c r="M585" s="232" t="s">
        <v>43</v>
      </c>
      <c r="N585" s="233"/>
      <c r="O585" s="233"/>
      <c r="P585" s="233"/>
      <c r="Q585" s="233"/>
      <c r="R585" s="233"/>
      <c r="S585" s="77" t="s">
        <v>39</v>
      </c>
      <c r="T585" s="243" t="e">
        <f>IF(($L$1-(O567+O568+O569+O570))&gt;12,0,R564*1%)</f>
        <v>#REF!</v>
      </c>
      <c r="U585" s="243"/>
      <c r="V585" s="243"/>
      <c r="W585" s="74" t="s">
        <v>38</v>
      </c>
    </row>
    <row r="586" spans="1:24" ht="18.75" customHeight="1">
      <c r="A586" s="232" t="s">
        <v>42</v>
      </c>
      <c r="B586" s="233"/>
      <c r="C586" s="233"/>
      <c r="D586" s="233"/>
      <c r="E586" s="233"/>
      <c r="F586" s="233"/>
      <c r="G586" s="77" t="s">
        <v>39</v>
      </c>
      <c r="H586" s="243">
        <v>0</v>
      </c>
      <c r="I586" s="243"/>
      <c r="J586" s="243"/>
      <c r="K586" s="74" t="s">
        <v>38</v>
      </c>
      <c r="M586" s="232" t="s">
        <v>42</v>
      </c>
      <c r="N586" s="233"/>
      <c r="O586" s="233"/>
      <c r="P586" s="233"/>
      <c r="Q586" s="233"/>
      <c r="R586" s="233"/>
      <c r="S586" s="77" t="s">
        <v>39</v>
      </c>
      <c r="T586" s="243">
        <v>0</v>
      </c>
      <c r="U586" s="243"/>
      <c r="V586" s="243"/>
      <c r="W586" s="74" t="s">
        <v>38</v>
      </c>
    </row>
    <row r="587" spans="1:24" ht="18.75" customHeight="1">
      <c r="A587" s="244" t="s">
        <v>41</v>
      </c>
      <c r="B587" s="245"/>
      <c r="C587" s="245"/>
      <c r="D587" s="245"/>
      <c r="E587" s="245"/>
      <c r="F587" s="245"/>
      <c r="G587" s="77" t="s">
        <v>39</v>
      </c>
      <c r="H587" s="246" t="e">
        <f>SUM(H583:J586)</f>
        <v>#REF!</v>
      </c>
      <c r="I587" s="246"/>
      <c r="J587" s="246"/>
      <c r="K587" s="74" t="s">
        <v>38</v>
      </c>
      <c r="M587" s="244" t="s">
        <v>41</v>
      </c>
      <c r="N587" s="245"/>
      <c r="O587" s="245"/>
      <c r="P587" s="245"/>
      <c r="Q587" s="245"/>
      <c r="R587" s="245"/>
      <c r="S587" s="77" t="s">
        <v>39</v>
      </c>
      <c r="T587" s="246" t="e">
        <f>SUM(T583:V586)</f>
        <v>#REF!</v>
      </c>
      <c r="U587" s="246"/>
      <c r="V587" s="246"/>
      <c r="W587" s="74" t="s">
        <v>38</v>
      </c>
    </row>
    <row r="588" spans="1:24" ht="18.75" customHeight="1">
      <c r="A588" s="232" t="s">
        <v>40</v>
      </c>
      <c r="B588" s="233"/>
      <c r="C588" s="233"/>
      <c r="D588" s="233"/>
      <c r="E588" s="233"/>
      <c r="F588" s="233"/>
      <c r="G588" s="77" t="s">
        <v>39</v>
      </c>
      <c r="H588" s="234" t="e">
        <f>ROUND(H580-H587,-2)</f>
        <v>#REF!</v>
      </c>
      <c r="I588" s="234"/>
      <c r="J588" s="234"/>
      <c r="K588" s="74" t="s">
        <v>38</v>
      </c>
      <c r="M588" s="232" t="s">
        <v>40</v>
      </c>
      <c r="N588" s="233"/>
      <c r="O588" s="233"/>
      <c r="P588" s="233"/>
      <c r="Q588" s="233"/>
      <c r="R588" s="233"/>
      <c r="S588" s="77" t="s">
        <v>39</v>
      </c>
      <c r="T588" s="234" t="e">
        <f>ROUND(T580-T587,-2)</f>
        <v>#REF!</v>
      </c>
      <c r="U588" s="234"/>
      <c r="V588" s="234"/>
      <c r="W588" s="74" t="s">
        <v>38</v>
      </c>
    </row>
    <row r="589" spans="1:24" ht="18.75" customHeight="1">
      <c r="A589" s="91"/>
      <c r="B589" s="90"/>
      <c r="C589" s="90"/>
      <c r="D589" s="90"/>
      <c r="E589" s="90"/>
      <c r="F589" s="90"/>
      <c r="G589" s="90"/>
      <c r="H589" s="90"/>
      <c r="I589" s="90"/>
      <c r="J589" s="90"/>
      <c r="K589" s="89"/>
      <c r="M589" s="91"/>
      <c r="N589" s="90"/>
      <c r="O589" s="90"/>
      <c r="P589" s="90"/>
      <c r="Q589" s="90"/>
      <c r="R589" s="90"/>
      <c r="S589" s="90"/>
      <c r="T589" s="90"/>
      <c r="U589" s="90"/>
      <c r="V589" s="90"/>
      <c r="W589" s="89"/>
    </row>
    <row r="590" spans="1:24" ht="18.75" customHeight="1">
      <c r="A590" s="88"/>
      <c r="B590" s="77"/>
      <c r="C590" s="77"/>
      <c r="D590" s="77"/>
      <c r="E590" s="77"/>
      <c r="F590" s="77"/>
      <c r="G590" s="77"/>
      <c r="H590" s="77"/>
      <c r="I590" s="235" t="s">
        <v>37</v>
      </c>
      <c r="J590" s="235"/>
      <c r="K590" s="236"/>
      <c r="M590" s="88"/>
      <c r="N590" s="77"/>
      <c r="O590" s="77"/>
      <c r="P590" s="77"/>
      <c r="Q590" s="77"/>
      <c r="R590" s="77"/>
      <c r="S590" s="77"/>
      <c r="T590" s="77"/>
      <c r="U590" s="235" t="s">
        <v>37</v>
      </c>
      <c r="V590" s="235"/>
      <c r="W590" s="236"/>
    </row>
    <row r="591" spans="1:24" ht="18.75" customHeight="1">
      <c r="A591" s="88"/>
      <c r="B591" s="235"/>
      <c r="C591" s="235"/>
      <c r="D591" s="235"/>
      <c r="E591" s="235"/>
      <c r="F591" s="77"/>
      <c r="G591" s="77"/>
      <c r="H591" s="77"/>
      <c r="I591" s="77"/>
      <c r="J591" s="77"/>
      <c r="K591" s="82"/>
      <c r="M591" s="88"/>
      <c r="N591" s="235"/>
      <c r="O591" s="235"/>
      <c r="P591" s="235"/>
      <c r="Q591" s="235"/>
      <c r="R591" s="77"/>
      <c r="S591" s="77"/>
      <c r="T591" s="77"/>
      <c r="U591" s="77"/>
      <c r="V591" s="77"/>
      <c r="W591" s="82"/>
    </row>
    <row r="592" spans="1:24" ht="18.75" customHeight="1" thickBot="1">
      <c r="A592" s="87"/>
      <c r="B592" s="86"/>
      <c r="C592" s="86"/>
      <c r="D592" s="86"/>
      <c r="E592" s="86"/>
      <c r="F592" s="86"/>
      <c r="G592" s="86"/>
      <c r="H592" s="86"/>
      <c r="I592" s="237" t="s">
        <v>36</v>
      </c>
      <c r="J592" s="237"/>
      <c r="K592" s="238"/>
      <c r="M592" s="87"/>
      <c r="N592" s="86"/>
      <c r="O592" s="86"/>
      <c r="P592" s="86"/>
      <c r="Q592" s="86"/>
      <c r="R592" s="86"/>
      <c r="S592" s="86"/>
      <c r="T592" s="86"/>
      <c r="U592" s="237" t="s">
        <v>36</v>
      </c>
      <c r="V592" s="237"/>
      <c r="W592" s="238"/>
    </row>
    <row r="594" spans="1:24" ht="18.75" customHeight="1" thickTop="1">
      <c r="A594" s="239" t="s">
        <v>87</v>
      </c>
      <c r="B594" s="240"/>
      <c r="C594" s="240"/>
      <c r="D594" s="240"/>
      <c r="E594" s="240"/>
      <c r="F594" s="240"/>
      <c r="G594" s="240"/>
      <c r="H594" s="240"/>
      <c r="I594" s="240"/>
      <c r="J594" s="240"/>
      <c r="K594" s="241"/>
      <c r="L594" s="72">
        <v>25</v>
      </c>
      <c r="M594" s="239" t="s">
        <v>87</v>
      </c>
      <c r="N594" s="240"/>
      <c r="O594" s="240"/>
      <c r="P594" s="240"/>
      <c r="Q594" s="240"/>
      <c r="R594" s="240"/>
      <c r="S594" s="240"/>
      <c r="T594" s="240"/>
      <c r="U594" s="240"/>
      <c r="V594" s="240"/>
      <c r="W594" s="241"/>
      <c r="X594" s="72">
        <v>25</v>
      </c>
    </row>
    <row r="595" spans="1:24" ht="18.75" customHeight="1">
      <c r="A595" s="85" t="s">
        <v>117</v>
      </c>
      <c r="B595" s="84"/>
      <c r="C595" s="84"/>
      <c r="D595" s="84"/>
      <c r="E595" s="84"/>
      <c r="F595" s="84"/>
      <c r="G595" s="84"/>
      <c r="H595" s="84"/>
      <c r="I595" s="84"/>
      <c r="J595" s="84"/>
      <c r="K595" s="83"/>
      <c r="M595" s="85" t="s">
        <v>116</v>
      </c>
      <c r="N595" s="84"/>
      <c r="O595" s="84"/>
      <c r="P595" s="84"/>
      <c r="Q595" s="84"/>
      <c r="R595" s="84"/>
      <c r="S595" s="84"/>
      <c r="T595" s="84"/>
      <c r="U595" s="84"/>
      <c r="V595" s="84"/>
      <c r="W595" s="83"/>
    </row>
    <row r="596" spans="1:24" ht="18.75" customHeight="1">
      <c r="A596" s="227" t="s">
        <v>84</v>
      </c>
      <c r="B596" s="228"/>
      <c r="C596" s="228"/>
      <c r="D596" s="228"/>
      <c r="E596" s="228"/>
      <c r="F596" s="228"/>
      <c r="G596" s="228"/>
      <c r="H596" s="228"/>
      <c r="I596" s="228"/>
      <c r="J596" s="228"/>
      <c r="K596" s="229"/>
      <c r="M596" s="227" t="s">
        <v>84</v>
      </c>
      <c r="N596" s="228"/>
      <c r="O596" s="228"/>
      <c r="P596" s="228"/>
      <c r="Q596" s="228"/>
      <c r="R596" s="228"/>
      <c r="S596" s="228"/>
      <c r="T596" s="228"/>
      <c r="U596" s="228"/>
      <c r="V596" s="228"/>
      <c r="W596" s="229"/>
    </row>
    <row r="597" spans="1:24" ht="18.75" customHeight="1">
      <c r="A597" s="222" t="s">
        <v>83</v>
      </c>
      <c r="B597" s="223"/>
      <c r="C597" s="223"/>
      <c r="D597" s="223"/>
      <c r="E597" s="77" t="s">
        <v>39</v>
      </c>
      <c r="F597" s="224">
        <f>'[3]Bang TH nop'!B69</f>
        <v>0</v>
      </c>
      <c r="G597" s="223"/>
      <c r="H597" s="223"/>
      <c r="I597" s="223"/>
      <c r="J597" s="223"/>
      <c r="K597" s="226"/>
      <c r="M597" s="222" t="s">
        <v>83</v>
      </c>
      <c r="N597" s="223"/>
      <c r="O597" s="223"/>
      <c r="P597" s="223"/>
      <c r="Q597" s="77" t="s">
        <v>39</v>
      </c>
      <c r="R597" s="224">
        <f>'[3]Bang TH nop'!B71</f>
        <v>0</v>
      </c>
      <c r="S597" s="223"/>
      <c r="T597" s="223"/>
      <c r="U597" s="223"/>
      <c r="V597" s="223"/>
      <c r="W597" s="226"/>
    </row>
    <row r="598" spans="1:24" ht="18.75" customHeight="1">
      <c r="A598" s="222" t="s">
        <v>82</v>
      </c>
      <c r="B598" s="223"/>
      <c r="C598" s="223"/>
      <c r="D598" s="223"/>
      <c r="E598" s="77" t="s">
        <v>39</v>
      </c>
      <c r="F598" s="224">
        <f>'[3]Bang TH nop'!C69</f>
        <v>0</v>
      </c>
      <c r="G598" s="224"/>
      <c r="H598" s="224"/>
      <c r="I598" s="224"/>
      <c r="J598" s="224"/>
      <c r="K598" s="225"/>
      <c r="M598" s="222" t="s">
        <v>82</v>
      </c>
      <c r="N598" s="223"/>
      <c r="O598" s="223"/>
      <c r="P598" s="223"/>
      <c r="Q598" s="77" t="s">
        <v>39</v>
      </c>
      <c r="R598" s="224">
        <f>'[3]Bang TH nop'!C71</f>
        <v>0</v>
      </c>
      <c r="S598" s="224"/>
      <c r="T598" s="224"/>
      <c r="U598" s="224"/>
      <c r="V598" s="224"/>
      <c r="W598" s="225"/>
    </row>
    <row r="599" spans="1:24" ht="18.75" customHeight="1">
      <c r="A599" s="222" t="s">
        <v>81</v>
      </c>
      <c r="B599" s="223"/>
      <c r="C599" s="223"/>
      <c r="D599" s="223"/>
      <c r="E599" s="77" t="s">
        <v>39</v>
      </c>
      <c r="F599" s="223" t="s">
        <v>80</v>
      </c>
      <c r="G599" s="223"/>
      <c r="H599" s="223"/>
      <c r="I599" s="223"/>
      <c r="J599" s="223"/>
      <c r="K599" s="226"/>
      <c r="M599" s="222" t="s">
        <v>81</v>
      </c>
      <c r="N599" s="223"/>
      <c r="O599" s="223"/>
      <c r="P599" s="223"/>
      <c r="Q599" s="77" t="s">
        <v>39</v>
      </c>
      <c r="R599" s="223" t="s">
        <v>80</v>
      </c>
      <c r="S599" s="223"/>
      <c r="T599" s="223"/>
      <c r="U599" s="223"/>
      <c r="V599" s="223"/>
      <c r="W599" s="226"/>
    </row>
    <row r="600" spans="1:24" ht="18.75" customHeight="1">
      <c r="A600" s="227" t="s">
        <v>79</v>
      </c>
      <c r="B600" s="228"/>
      <c r="C600" s="228"/>
      <c r="D600" s="228"/>
      <c r="E600" s="228"/>
      <c r="F600" s="228"/>
      <c r="G600" s="228"/>
      <c r="H600" s="228"/>
      <c r="I600" s="228"/>
      <c r="J600" s="228"/>
      <c r="K600" s="229"/>
      <c r="M600" s="227" t="s">
        <v>79</v>
      </c>
      <c r="N600" s="228"/>
      <c r="O600" s="228"/>
      <c r="P600" s="228"/>
      <c r="Q600" s="228"/>
      <c r="R600" s="228"/>
      <c r="S600" s="228"/>
      <c r="T600" s="228"/>
      <c r="U600" s="228"/>
      <c r="V600" s="228"/>
      <c r="W600" s="229"/>
    </row>
    <row r="601" spans="1:24" ht="18.75" customHeight="1">
      <c r="A601" s="222" t="s">
        <v>78</v>
      </c>
      <c r="B601" s="223"/>
      <c r="C601" s="223"/>
      <c r="D601" s="223"/>
      <c r="E601" s="77" t="s">
        <v>39</v>
      </c>
      <c r="F601" s="230">
        <v>2915400</v>
      </c>
      <c r="G601" s="230"/>
      <c r="H601" s="230"/>
      <c r="I601" s="230"/>
      <c r="J601" s="77" t="s">
        <v>38</v>
      </c>
      <c r="K601" s="82"/>
      <c r="M601" s="222" t="s">
        <v>78</v>
      </c>
      <c r="N601" s="223"/>
      <c r="O601" s="223"/>
      <c r="P601" s="223"/>
      <c r="Q601" s="77" t="s">
        <v>39</v>
      </c>
      <c r="R601" s="230">
        <v>2915400</v>
      </c>
      <c r="S601" s="230"/>
      <c r="T601" s="230"/>
      <c r="U601" s="230"/>
      <c r="V601" s="77" t="s">
        <v>38</v>
      </c>
      <c r="W601" s="82"/>
    </row>
    <row r="602" spans="1:24" ht="18.75" customHeight="1">
      <c r="A602" s="81" t="s">
        <v>77</v>
      </c>
      <c r="B602" s="77"/>
      <c r="C602" s="80"/>
      <c r="D602" s="79"/>
      <c r="E602" s="78"/>
      <c r="F602" s="78"/>
      <c r="G602" s="78"/>
      <c r="H602" s="77"/>
      <c r="I602" s="76" t="e">
        <f>#REF!</f>
        <v>#REF!</v>
      </c>
      <c r="J602" s="75"/>
      <c r="K602" s="74"/>
      <c r="M602" s="81" t="s">
        <v>77</v>
      </c>
      <c r="N602" s="77"/>
      <c r="O602" s="80"/>
      <c r="P602" s="79"/>
      <c r="Q602" s="78"/>
      <c r="R602" s="78"/>
      <c r="S602" s="78"/>
      <c r="T602" s="77"/>
      <c r="U602" s="76" t="e">
        <f>#REF!</f>
        <v>#REF!</v>
      </c>
      <c r="V602" s="75"/>
      <c r="W602" s="74"/>
    </row>
    <row r="603" spans="1:24" ht="18.75" customHeight="1">
      <c r="A603" s="81" t="s">
        <v>76</v>
      </c>
      <c r="B603" s="77"/>
      <c r="C603" s="80"/>
      <c r="D603" s="79"/>
      <c r="E603" s="78"/>
      <c r="F603" s="78"/>
      <c r="G603" s="78"/>
      <c r="H603" s="77"/>
      <c r="I603" s="76" t="e">
        <f>I604/C604/8</f>
        <v>#REF!</v>
      </c>
      <c r="J603" s="75"/>
      <c r="K603" s="74"/>
      <c r="M603" s="81" t="s">
        <v>76</v>
      </c>
      <c r="N603" s="77"/>
      <c r="O603" s="80"/>
      <c r="P603" s="79"/>
      <c r="Q603" s="78"/>
      <c r="R603" s="78"/>
      <c r="S603" s="78"/>
      <c r="T603" s="77"/>
      <c r="U603" s="76" t="e">
        <f>U604/O604/8</f>
        <v>#REF!</v>
      </c>
      <c r="V603" s="75"/>
      <c r="W603" s="74"/>
    </row>
    <row r="604" spans="1:24" ht="18.75" customHeight="1">
      <c r="A604" s="81" t="s">
        <v>75</v>
      </c>
      <c r="B604" s="77" t="s">
        <v>39</v>
      </c>
      <c r="C604" s="80" t="e">
        <f>#REF!</f>
        <v>#REF!</v>
      </c>
      <c r="D604" s="79" t="s">
        <v>52</v>
      </c>
      <c r="E604" s="249" t="s">
        <v>74</v>
      </c>
      <c r="F604" s="249"/>
      <c r="G604" s="249"/>
      <c r="H604" s="77" t="s">
        <v>39</v>
      </c>
      <c r="I604" s="255" t="e">
        <f>#REF!</f>
        <v>#REF!</v>
      </c>
      <c r="J604" s="255"/>
      <c r="K604" s="74" t="s">
        <v>38</v>
      </c>
      <c r="L604" s="95" t="e">
        <f>F601/L594*C604</f>
        <v>#REF!</v>
      </c>
      <c r="M604" s="81" t="s">
        <v>75</v>
      </c>
      <c r="N604" s="77" t="s">
        <v>39</v>
      </c>
      <c r="O604" s="80" t="e">
        <f>#REF!</f>
        <v>#REF!</v>
      </c>
      <c r="P604" s="79" t="s">
        <v>52</v>
      </c>
      <c r="Q604" s="249" t="s">
        <v>74</v>
      </c>
      <c r="R604" s="249"/>
      <c r="S604" s="249"/>
      <c r="T604" s="77" t="s">
        <v>39</v>
      </c>
      <c r="U604" s="255" t="e">
        <f>#REF!</f>
        <v>#REF!</v>
      </c>
      <c r="V604" s="255"/>
      <c r="W604" s="74" t="s">
        <v>38</v>
      </c>
      <c r="X604" s="95" t="e">
        <f>R601/X594*O604</f>
        <v>#REF!</v>
      </c>
    </row>
    <row r="605" spans="1:24" ht="18.75" customHeight="1">
      <c r="A605" s="81" t="s">
        <v>73</v>
      </c>
      <c r="B605" s="77" t="s">
        <v>39</v>
      </c>
      <c r="C605" s="80" t="e">
        <f>#REF!</f>
        <v>#REF!</v>
      </c>
      <c r="D605" s="79" t="s">
        <v>52</v>
      </c>
      <c r="E605" s="223" t="s">
        <v>72</v>
      </c>
      <c r="F605" s="223"/>
      <c r="G605" s="223"/>
      <c r="H605" s="77" t="s">
        <v>39</v>
      </c>
      <c r="I605" s="247" t="e">
        <f>$F$8/$L$1*C605</f>
        <v>#REF!</v>
      </c>
      <c r="J605" s="247"/>
      <c r="K605" s="74" t="s">
        <v>38</v>
      </c>
      <c r="L605" s="95"/>
      <c r="M605" s="81" t="s">
        <v>73</v>
      </c>
      <c r="N605" s="77" t="s">
        <v>39</v>
      </c>
      <c r="O605" s="80" t="e">
        <f>#REF!</f>
        <v>#REF!</v>
      </c>
      <c r="P605" s="79" t="s">
        <v>52</v>
      </c>
      <c r="Q605" s="223" t="s">
        <v>72</v>
      </c>
      <c r="R605" s="223"/>
      <c r="S605" s="223"/>
      <c r="T605" s="77" t="s">
        <v>39</v>
      </c>
      <c r="U605" s="247" t="e">
        <f>$F$8/$L$1*O605</f>
        <v>#REF!</v>
      </c>
      <c r="V605" s="247"/>
      <c r="W605" s="74" t="s">
        <v>38</v>
      </c>
      <c r="X605" s="95"/>
    </row>
    <row r="606" spans="1:24" ht="18.75" customHeight="1">
      <c r="A606" s="81" t="s">
        <v>71</v>
      </c>
      <c r="B606" s="77" t="s">
        <v>39</v>
      </c>
      <c r="C606" s="80" t="e">
        <f>#REF!</f>
        <v>#REF!</v>
      </c>
      <c r="D606" s="79" t="s">
        <v>52</v>
      </c>
      <c r="E606" s="256" t="s">
        <v>70</v>
      </c>
      <c r="F606" s="256"/>
      <c r="G606" s="256"/>
      <c r="H606" s="77" t="s">
        <v>39</v>
      </c>
      <c r="I606" s="247" t="e">
        <f>$F$8/$L$1*C606</f>
        <v>#REF!</v>
      </c>
      <c r="J606" s="247"/>
      <c r="K606" s="74" t="s">
        <v>38</v>
      </c>
      <c r="L606" s="95"/>
      <c r="M606" s="81" t="s">
        <v>71</v>
      </c>
      <c r="N606" s="77" t="s">
        <v>39</v>
      </c>
      <c r="O606" s="80" t="e">
        <f>#REF!</f>
        <v>#REF!</v>
      </c>
      <c r="P606" s="79" t="s">
        <v>52</v>
      </c>
      <c r="Q606" s="256" t="s">
        <v>70</v>
      </c>
      <c r="R606" s="256"/>
      <c r="S606" s="256"/>
      <c r="T606" s="77" t="s">
        <v>39</v>
      </c>
      <c r="U606" s="247" t="e">
        <f>$F$8/$L$1*O606</f>
        <v>#REF!</v>
      </c>
      <c r="V606" s="247"/>
      <c r="W606" s="74" t="s">
        <v>38</v>
      </c>
      <c r="X606" s="95"/>
    </row>
    <row r="607" spans="1:24" ht="18.75" customHeight="1">
      <c r="A607" s="81" t="s">
        <v>69</v>
      </c>
      <c r="B607" s="77" t="s">
        <v>39</v>
      </c>
      <c r="C607" s="80" t="e">
        <f>#REF!</f>
        <v>#REF!</v>
      </c>
      <c r="D607" s="79" t="s">
        <v>52</v>
      </c>
      <c r="E607" s="256" t="s">
        <v>68</v>
      </c>
      <c r="F607" s="256"/>
      <c r="G607" s="256"/>
      <c r="H607" s="77" t="s">
        <v>39</v>
      </c>
      <c r="I607" s="247" t="e">
        <f>$F$8/$L$1*C607</f>
        <v>#REF!</v>
      </c>
      <c r="J607" s="247"/>
      <c r="K607" s="74" t="s">
        <v>38</v>
      </c>
      <c r="L607" s="95"/>
      <c r="M607" s="81" t="s">
        <v>69</v>
      </c>
      <c r="N607" s="77" t="s">
        <v>39</v>
      </c>
      <c r="O607" s="80" t="e">
        <f>#REF!</f>
        <v>#REF!</v>
      </c>
      <c r="P607" s="79" t="s">
        <v>52</v>
      </c>
      <c r="Q607" s="256" t="s">
        <v>68</v>
      </c>
      <c r="R607" s="256"/>
      <c r="S607" s="256"/>
      <c r="T607" s="77" t="s">
        <v>39</v>
      </c>
      <c r="U607" s="247" t="e">
        <f>$F$8/$L$1*O607</f>
        <v>#REF!</v>
      </c>
      <c r="V607" s="247"/>
      <c r="W607" s="74" t="s">
        <v>38</v>
      </c>
      <c r="X607" s="95"/>
    </row>
    <row r="608" spans="1:24" ht="18.75" customHeight="1">
      <c r="A608" s="81" t="s">
        <v>67</v>
      </c>
      <c r="B608" s="77" t="s">
        <v>39</v>
      </c>
      <c r="C608" s="80" t="e">
        <f>#REF!</f>
        <v>#REF!</v>
      </c>
      <c r="D608" s="79" t="s">
        <v>58</v>
      </c>
      <c r="E608" s="223" t="s">
        <v>66</v>
      </c>
      <c r="F608" s="223"/>
      <c r="G608" s="223"/>
      <c r="H608" s="77" t="s">
        <v>39</v>
      </c>
      <c r="I608" s="247" t="e">
        <f>#REF!</f>
        <v>#REF!</v>
      </c>
      <c r="J608" s="247"/>
      <c r="K608" s="74" t="s">
        <v>38</v>
      </c>
      <c r="L608" s="95" t="e">
        <f>F601*C608/L594/8*1.5</f>
        <v>#REF!</v>
      </c>
      <c r="M608" s="81" t="s">
        <v>67</v>
      </c>
      <c r="N608" s="77" t="s">
        <v>39</v>
      </c>
      <c r="O608" s="80" t="e">
        <f>#REF!</f>
        <v>#REF!</v>
      </c>
      <c r="P608" s="79" t="s">
        <v>58</v>
      </c>
      <c r="Q608" s="223" t="s">
        <v>66</v>
      </c>
      <c r="R608" s="223"/>
      <c r="S608" s="223"/>
      <c r="T608" s="77" t="s">
        <v>39</v>
      </c>
      <c r="U608" s="247" t="e">
        <f>#REF!</f>
        <v>#REF!</v>
      </c>
      <c r="V608" s="247"/>
      <c r="W608" s="74" t="s">
        <v>38</v>
      </c>
      <c r="X608" s="95" t="e">
        <f>R601*O608/X594/8*1.5</f>
        <v>#REF!</v>
      </c>
    </row>
    <row r="609" spans="1:24" ht="18.75" customHeight="1">
      <c r="A609" s="222" t="s">
        <v>65</v>
      </c>
      <c r="B609" s="223"/>
      <c r="C609" s="80"/>
      <c r="D609" s="79" t="s">
        <v>52</v>
      </c>
      <c r="E609" s="223" t="s">
        <v>64</v>
      </c>
      <c r="F609" s="223"/>
      <c r="G609" s="223"/>
      <c r="H609" s="100" t="s">
        <v>39</v>
      </c>
      <c r="I609" s="247"/>
      <c r="J609" s="247"/>
      <c r="K609" s="74" t="s">
        <v>38</v>
      </c>
      <c r="L609" s="95"/>
      <c r="M609" s="222" t="s">
        <v>65</v>
      </c>
      <c r="N609" s="223"/>
      <c r="O609" s="80"/>
      <c r="P609" s="79" t="s">
        <v>52</v>
      </c>
      <c r="Q609" s="223" t="s">
        <v>64</v>
      </c>
      <c r="R609" s="223"/>
      <c r="S609" s="223"/>
      <c r="T609" s="100" t="s">
        <v>39</v>
      </c>
      <c r="U609" s="247"/>
      <c r="V609" s="247"/>
      <c r="W609" s="74" t="s">
        <v>38</v>
      </c>
      <c r="X609" s="95"/>
    </row>
    <row r="610" spans="1:24" ht="18.75" customHeight="1">
      <c r="A610" s="81" t="s">
        <v>63</v>
      </c>
      <c r="B610" s="77" t="s">
        <v>39</v>
      </c>
      <c r="C610" s="80"/>
      <c r="D610" s="79" t="s">
        <v>52</v>
      </c>
      <c r="E610" s="223" t="s">
        <v>62</v>
      </c>
      <c r="F610" s="223"/>
      <c r="G610" s="223"/>
      <c r="H610" s="77" t="s">
        <v>39</v>
      </c>
      <c r="I610" s="247"/>
      <c r="J610" s="247"/>
      <c r="K610" s="74" t="s">
        <v>38</v>
      </c>
      <c r="L610" s="95"/>
      <c r="M610" s="81" t="s">
        <v>63</v>
      </c>
      <c r="N610" s="77" t="s">
        <v>39</v>
      </c>
      <c r="O610" s="80"/>
      <c r="P610" s="79" t="s">
        <v>52</v>
      </c>
      <c r="Q610" s="223" t="s">
        <v>62</v>
      </c>
      <c r="R610" s="223"/>
      <c r="S610" s="223"/>
      <c r="T610" s="77" t="s">
        <v>39</v>
      </c>
      <c r="U610" s="247"/>
      <c r="V610" s="247"/>
      <c r="W610" s="74" t="s">
        <v>38</v>
      </c>
      <c r="X610" s="95"/>
    </row>
    <row r="611" spans="1:24" ht="18.75" customHeight="1">
      <c r="A611" s="99" t="s">
        <v>61</v>
      </c>
      <c r="B611" s="77"/>
      <c r="C611" s="80" t="e">
        <f>#REF!</f>
        <v>#REF!</v>
      </c>
      <c r="D611" s="79" t="s">
        <v>58</v>
      </c>
      <c r="E611" s="223" t="s">
        <v>60</v>
      </c>
      <c r="F611" s="223"/>
      <c r="G611" s="223"/>
      <c r="H611" s="77" t="s">
        <v>39</v>
      </c>
      <c r="I611" s="247" t="e">
        <f>$F$8*C611/8/$L$1</f>
        <v>#REF!</v>
      </c>
      <c r="J611" s="247"/>
      <c r="K611" s="74" t="s">
        <v>38</v>
      </c>
      <c r="L611" s="95"/>
      <c r="M611" s="99" t="s">
        <v>61</v>
      </c>
      <c r="N611" s="77"/>
      <c r="O611" s="80" t="e">
        <f>#REF!</f>
        <v>#REF!</v>
      </c>
      <c r="P611" s="79" t="s">
        <v>58</v>
      </c>
      <c r="Q611" s="223" t="s">
        <v>60</v>
      </c>
      <c r="R611" s="223"/>
      <c r="S611" s="223"/>
      <c r="T611" s="77" t="s">
        <v>39</v>
      </c>
      <c r="U611" s="247" t="e">
        <f>$F$8*O611/8/$L$1</f>
        <v>#REF!</v>
      </c>
      <c r="V611" s="247"/>
      <c r="W611" s="74" t="s">
        <v>38</v>
      </c>
      <c r="X611" s="95"/>
    </row>
    <row r="612" spans="1:24" ht="18.75" customHeight="1">
      <c r="A612" s="81" t="s">
        <v>59</v>
      </c>
      <c r="B612" s="77" t="s">
        <v>39</v>
      </c>
      <c r="C612" s="80"/>
      <c r="D612" s="79" t="s">
        <v>58</v>
      </c>
      <c r="E612" s="223" t="s">
        <v>57</v>
      </c>
      <c r="F612" s="223"/>
      <c r="G612" s="223"/>
      <c r="H612" s="77" t="s">
        <v>39</v>
      </c>
      <c r="I612" s="255"/>
      <c r="J612" s="255"/>
      <c r="K612" s="74" t="s">
        <v>38</v>
      </c>
      <c r="L612" s="95"/>
      <c r="M612" s="81" t="s">
        <v>59</v>
      </c>
      <c r="N612" s="77" t="s">
        <v>39</v>
      </c>
      <c r="O612" s="80"/>
      <c r="P612" s="79" t="s">
        <v>58</v>
      </c>
      <c r="Q612" s="223" t="s">
        <v>57</v>
      </c>
      <c r="R612" s="223"/>
      <c r="S612" s="223"/>
      <c r="T612" s="77" t="s">
        <v>39</v>
      </c>
      <c r="U612" s="255"/>
      <c r="V612" s="255"/>
      <c r="W612" s="74" t="s">
        <v>38</v>
      </c>
      <c r="X612" s="95"/>
    </row>
    <row r="613" spans="1:24" ht="18.75" customHeight="1">
      <c r="A613" s="81" t="s">
        <v>56</v>
      </c>
      <c r="B613" s="77" t="s">
        <v>39</v>
      </c>
      <c r="C613" s="80"/>
      <c r="D613" s="79" t="s">
        <v>55</v>
      </c>
      <c r="E613" s="98" t="s">
        <v>54</v>
      </c>
      <c r="F613" s="98"/>
      <c r="G613" s="98"/>
      <c r="H613" s="77" t="s">
        <v>39</v>
      </c>
      <c r="I613" s="247"/>
      <c r="J613" s="247"/>
      <c r="K613" s="74" t="s">
        <v>38</v>
      </c>
      <c r="L613" s="95" t="e">
        <f>+IF(L604-I604&lt;0,0,L604-I604)+IF(L608-I608&lt;0,0,L608-I608)</f>
        <v>#REF!</v>
      </c>
      <c r="M613" s="81" t="s">
        <v>56</v>
      </c>
      <c r="N613" s="77" t="s">
        <v>39</v>
      </c>
      <c r="O613" s="80"/>
      <c r="P613" s="79" t="s">
        <v>55</v>
      </c>
      <c r="Q613" s="98" t="s">
        <v>54</v>
      </c>
      <c r="R613" s="98"/>
      <c r="S613" s="98"/>
      <c r="T613" s="77" t="s">
        <v>39</v>
      </c>
      <c r="U613" s="247"/>
      <c r="V613" s="247"/>
      <c r="W613" s="74" t="s">
        <v>38</v>
      </c>
      <c r="X613" s="95" t="e">
        <f>+IF(X604-U604&lt;0,0,X604-U604)+IF(X608-U608&lt;0,0,X608-U608)</f>
        <v>#REF!</v>
      </c>
    </row>
    <row r="614" spans="1:24" ht="18.75" customHeight="1">
      <c r="A614" s="97" t="s">
        <v>53</v>
      </c>
      <c r="B614" s="96"/>
      <c r="C614" s="80"/>
      <c r="D614" s="79" t="s">
        <v>52</v>
      </c>
      <c r="E614" s="223" t="s">
        <v>51</v>
      </c>
      <c r="F614" s="223"/>
      <c r="G614" s="223"/>
      <c r="H614" s="77" t="s">
        <v>39</v>
      </c>
      <c r="I614" s="247"/>
      <c r="J614" s="247"/>
      <c r="K614" s="74" t="s">
        <v>38</v>
      </c>
      <c r="L614" s="95"/>
      <c r="M614" s="97" t="s">
        <v>53</v>
      </c>
      <c r="N614" s="96"/>
      <c r="O614" s="80"/>
      <c r="P614" s="79" t="s">
        <v>52</v>
      </c>
      <c r="Q614" s="223" t="s">
        <v>51</v>
      </c>
      <c r="R614" s="223"/>
      <c r="S614" s="223"/>
      <c r="T614" s="77" t="s">
        <v>39</v>
      </c>
      <c r="U614" s="247"/>
      <c r="V614" s="247"/>
      <c r="W614" s="74" t="s">
        <v>38</v>
      </c>
      <c r="X614" s="95"/>
    </row>
    <row r="615" spans="1:24" ht="18.75" customHeight="1">
      <c r="A615" s="248" t="s">
        <v>50</v>
      </c>
      <c r="B615" s="249"/>
      <c r="C615" s="80"/>
      <c r="D615" s="79"/>
      <c r="E615" s="78"/>
      <c r="F615" s="78"/>
      <c r="G615" s="78"/>
      <c r="H615" s="77" t="s">
        <v>39</v>
      </c>
      <c r="I615" s="247" t="e">
        <f>#REF!</f>
        <v>#REF!</v>
      </c>
      <c r="J615" s="247"/>
      <c r="K615" s="74" t="s">
        <v>38</v>
      </c>
      <c r="L615" s="95"/>
      <c r="M615" s="248" t="s">
        <v>50</v>
      </c>
      <c r="N615" s="249"/>
      <c r="O615" s="80"/>
      <c r="P615" s="79"/>
      <c r="Q615" s="78"/>
      <c r="R615" s="78"/>
      <c r="S615" s="78"/>
      <c r="T615" s="77" t="s">
        <v>39</v>
      </c>
      <c r="U615" s="247" t="e">
        <f>#REF!</f>
        <v>#REF!</v>
      </c>
      <c r="V615" s="247"/>
      <c r="W615" s="74" t="s">
        <v>38</v>
      </c>
      <c r="X615" s="95"/>
    </row>
    <row r="616" spans="1:24" ht="18.75" customHeight="1">
      <c r="A616" s="81" t="s">
        <v>49</v>
      </c>
      <c r="B616" s="77" t="s">
        <v>39</v>
      </c>
      <c r="C616" s="80"/>
      <c r="D616" s="79"/>
      <c r="E616" s="78" t="s">
        <v>48</v>
      </c>
      <c r="F616" s="78"/>
      <c r="G616" s="78"/>
      <c r="H616" s="77" t="s">
        <v>39</v>
      </c>
      <c r="I616" s="247" t="e">
        <f>L613</f>
        <v>#REF!</v>
      </c>
      <c r="J616" s="247"/>
      <c r="K616" s="74" t="s">
        <v>38</v>
      </c>
      <c r="L616" s="95"/>
      <c r="M616" s="81" t="s">
        <v>49</v>
      </c>
      <c r="N616" s="77" t="s">
        <v>39</v>
      </c>
      <c r="O616" s="80"/>
      <c r="P616" s="79"/>
      <c r="Q616" s="78" t="s">
        <v>48</v>
      </c>
      <c r="R616" s="78"/>
      <c r="S616" s="78"/>
      <c r="T616" s="77" t="s">
        <v>39</v>
      </c>
      <c r="U616" s="247" t="e">
        <f>X613</f>
        <v>#REF!</v>
      </c>
      <c r="V616" s="247"/>
      <c r="W616" s="74" t="s">
        <v>38</v>
      </c>
      <c r="X616" s="95"/>
    </row>
    <row r="617" spans="1:24" ht="18.75" customHeight="1">
      <c r="A617" s="250" t="s">
        <v>47</v>
      </c>
      <c r="B617" s="251"/>
      <c r="C617" s="251"/>
      <c r="D617" s="251"/>
      <c r="E617" s="251"/>
      <c r="F617" s="251"/>
      <c r="G617" s="77" t="s">
        <v>39</v>
      </c>
      <c r="H617" s="252" t="e">
        <f>I604+I605+I606+I607+I608+I611+I615+I616</f>
        <v>#REF!</v>
      </c>
      <c r="I617" s="252"/>
      <c r="J617" s="252"/>
      <c r="K617" s="74" t="s">
        <v>38</v>
      </c>
      <c r="M617" s="250" t="s">
        <v>47</v>
      </c>
      <c r="N617" s="251"/>
      <c r="O617" s="251"/>
      <c r="P617" s="251"/>
      <c r="Q617" s="251"/>
      <c r="R617" s="251"/>
      <c r="S617" s="77" t="s">
        <v>39</v>
      </c>
      <c r="T617" s="252" t="e">
        <f>U604+U605+U606+U607+U608+U611+U615+U616</f>
        <v>#REF!</v>
      </c>
      <c r="U617" s="252"/>
      <c r="V617" s="252"/>
      <c r="W617" s="74" t="s">
        <v>38</v>
      </c>
    </row>
    <row r="618" spans="1:24" ht="18.75" customHeight="1">
      <c r="A618" s="94"/>
      <c r="B618" s="93"/>
      <c r="C618" s="93"/>
      <c r="D618" s="93"/>
      <c r="E618" s="93"/>
      <c r="F618" s="93"/>
      <c r="G618" s="93"/>
      <c r="H618" s="93"/>
      <c r="I618" s="93"/>
      <c r="J618" s="93"/>
      <c r="K618" s="92"/>
      <c r="M618" s="94"/>
      <c r="N618" s="93"/>
      <c r="O618" s="93"/>
      <c r="P618" s="93"/>
      <c r="Q618" s="93"/>
      <c r="R618" s="93"/>
      <c r="S618" s="93"/>
      <c r="T618" s="93"/>
      <c r="U618" s="93"/>
      <c r="V618" s="93"/>
      <c r="W618" s="92"/>
    </row>
    <row r="619" spans="1:24" ht="18.75" customHeight="1">
      <c r="A619" s="253" t="s">
        <v>46</v>
      </c>
      <c r="B619" s="254"/>
      <c r="C619" s="254"/>
      <c r="D619" s="254"/>
      <c r="E619" s="254"/>
      <c r="F619" s="254"/>
      <c r="G619" s="77"/>
      <c r="H619" s="77"/>
      <c r="I619" s="77"/>
      <c r="J619" s="77"/>
      <c r="K619" s="74"/>
      <c r="M619" s="253" t="s">
        <v>46</v>
      </c>
      <c r="N619" s="254"/>
      <c r="O619" s="254"/>
      <c r="P619" s="254"/>
      <c r="Q619" s="254"/>
      <c r="R619" s="254"/>
      <c r="S619" s="77"/>
      <c r="T619" s="77"/>
      <c r="U619" s="77"/>
      <c r="V619" s="77"/>
      <c r="W619" s="74"/>
    </row>
    <row r="620" spans="1:24" ht="18.75" customHeight="1">
      <c r="A620" s="232" t="s">
        <v>45</v>
      </c>
      <c r="B620" s="233"/>
      <c r="C620" s="233"/>
      <c r="D620" s="233"/>
      <c r="E620" s="233"/>
      <c r="F620" s="233"/>
      <c r="G620" s="77" t="s">
        <v>39</v>
      </c>
      <c r="H620" s="242" t="e">
        <f>IF(($L$1-(C604+C605+C606+C607))&gt;12,0,F601*8%)</f>
        <v>#REF!</v>
      </c>
      <c r="I620" s="242"/>
      <c r="J620" s="242"/>
      <c r="K620" s="74" t="s">
        <v>38</v>
      </c>
      <c r="M620" s="232" t="s">
        <v>45</v>
      </c>
      <c r="N620" s="233"/>
      <c r="O620" s="233"/>
      <c r="P620" s="233"/>
      <c r="Q620" s="233"/>
      <c r="R620" s="233"/>
      <c r="S620" s="77" t="s">
        <v>39</v>
      </c>
      <c r="T620" s="242" t="e">
        <f>IF(($L$1-(O604+O605+O606+O607))&gt;12,0,R601*8%)</f>
        <v>#REF!</v>
      </c>
      <c r="U620" s="242"/>
      <c r="V620" s="242"/>
      <c r="W620" s="74" t="s">
        <v>38</v>
      </c>
    </row>
    <row r="621" spans="1:24" ht="18.75" customHeight="1">
      <c r="A621" s="232" t="s">
        <v>44</v>
      </c>
      <c r="B621" s="233"/>
      <c r="C621" s="233"/>
      <c r="D621" s="233"/>
      <c r="E621" s="233"/>
      <c r="F621" s="233"/>
      <c r="G621" s="77" t="s">
        <v>39</v>
      </c>
      <c r="H621" s="243" t="e">
        <f>IF(($L$1-(C604+C605+C606+C607))&gt;12,0,F601*1.5%)</f>
        <v>#REF!</v>
      </c>
      <c r="I621" s="243"/>
      <c r="J621" s="243"/>
      <c r="K621" s="74" t="s">
        <v>38</v>
      </c>
      <c r="M621" s="232" t="s">
        <v>44</v>
      </c>
      <c r="N621" s="233"/>
      <c r="O621" s="233"/>
      <c r="P621" s="233"/>
      <c r="Q621" s="233"/>
      <c r="R621" s="233"/>
      <c r="S621" s="77" t="s">
        <v>39</v>
      </c>
      <c r="T621" s="243" t="e">
        <f>IF(($L$1-(O604+O605+O606+O607))&gt;12,0,R601*1.5%)</f>
        <v>#REF!</v>
      </c>
      <c r="U621" s="243"/>
      <c r="V621" s="243"/>
      <c r="W621" s="74" t="s">
        <v>38</v>
      </c>
    </row>
    <row r="622" spans="1:24" ht="18.75" customHeight="1">
      <c r="A622" s="232" t="s">
        <v>43</v>
      </c>
      <c r="B622" s="233"/>
      <c r="C622" s="233"/>
      <c r="D622" s="233"/>
      <c r="E622" s="233"/>
      <c r="F622" s="233"/>
      <c r="G622" s="77" t="s">
        <v>39</v>
      </c>
      <c r="H622" s="243" t="e">
        <f>IF(($L$1-(C604+C605+C606+C607))&gt;12,0,F601*1%)</f>
        <v>#REF!</v>
      </c>
      <c r="I622" s="243"/>
      <c r="J622" s="243"/>
      <c r="K622" s="74" t="s">
        <v>38</v>
      </c>
      <c r="M622" s="232" t="s">
        <v>43</v>
      </c>
      <c r="N622" s="233"/>
      <c r="O622" s="233"/>
      <c r="P622" s="233"/>
      <c r="Q622" s="233"/>
      <c r="R622" s="233"/>
      <c r="S622" s="77" t="s">
        <v>39</v>
      </c>
      <c r="T622" s="243" t="e">
        <f>IF(($L$1-(O604+O605+O606+O607))&gt;12,0,R601*1%)</f>
        <v>#REF!</v>
      </c>
      <c r="U622" s="243"/>
      <c r="V622" s="243"/>
      <c r="W622" s="74" t="s">
        <v>38</v>
      </c>
    </row>
    <row r="623" spans="1:24" ht="18.75" customHeight="1">
      <c r="A623" s="232" t="s">
        <v>42</v>
      </c>
      <c r="B623" s="233"/>
      <c r="C623" s="233"/>
      <c r="D623" s="233"/>
      <c r="E623" s="233"/>
      <c r="F623" s="233"/>
      <c r="G623" s="77" t="s">
        <v>39</v>
      </c>
      <c r="H623" s="243">
        <v>0</v>
      </c>
      <c r="I623" s="243"/>
      <c r="J623" s="243"/>
      <c r="K623" s="74" t="s">
        <v>38</v>
      </c>
      <c r="M623" s="232" t="s">
        <v>42</v>
      </c>
      <c r="N623" s="233"/>
      <c r="O623" s="233"/>
      <c r="P623" s="233"/>
      <c r="Q623" s="233"/>
      <c r="R623" s="233"/>
      <c r="S623" s="77" t="s">
        <v>39</v>
      </c>
      <c r="T623" s="243">
        <v>0</v>
      </c>
      <c r="U623" s="243"/>
      <c r="V623" s="243"/>
      <c r="W623" s="74" t="s">
        <v>38</v>
      </c>
    </row>
    <row r="624" spans="1:24" ht="18.75" customHeight="1">
      <c r="A624" s="244" t="s">
        <v>41</v>
      </c>
      <c r="B624" s="245"/>
      <c r="C624" s="245"/>
      <c r="D624" s="245"/>
      <c r="E624" s="245"/>
      <c r="F624" s="245"/>
      <c r="G624" s="77" t="s">
        <v>39</v>
      </c>
      <c r="H624" s="246" t="e">
        <f>SUM(H620:J623)</f>
        <v>#REF!</v>
      </c>
      <c r="I624" s="246"/>
      <c r="J624" s="246"/>
      <c r="K624" s="74" t="s">
        <v>38</v>
      </c>
      <c r="M624" s="244" t="s">
        <v>41</v>
      </c>
      <c r="N624" s="245"/>
      <c r="O624" s="245"/>
      <c r="P624" s="245"/>
      <c r="Q624" s="245"/>
      <c r="R624" s="245"/>
      <c r="S624" s="77" t="s">
        <v>39</v>
      </c>
      <c r="T624" s="246" t="e">
        <f>SUM(T620:V623)</f>
        <v>#REF!</v>
      </c>
      <c r="U624" s="246"/>
      <c r="V624" s="246"/>
      <c r="W624" s="74" t="s">
        <v>38</v>
      </c>
    </row>
    <row r="625" spans="1:24" ht="18.75" customHeight="1">
      <c r="A625" s="232" t="s">
        <v>40</v>
      </c>
      <c r="B625" s="233"/>
      <c r="C625" s="233"/>
      <c r="D625" s="233"/>
      <c r="E625" s="233"/>
      <c r="F625" s="233"/>
      <c r="G625" s="77" t="s">
        <v>39</v>
      </c>
      <c r="H625" s="234" t="e">
        <f>ROUND(H617-H624,-2)</f>
        <v>#REF!</v>
      </c>
      <c r="I625" s="234"/>
      <c r="J625" s="234"/>
      <c r="K625" s="74" t="s">
        <v>38</v>
      </c>
      <c r="M625" s="232" t="s">
        <v>40</v>
      </c>
      <c r="N625" s="233"/>
      <c r="O625" s="233"/>
      <c r="P625" s="233"/>
      <c r="Q625" s="233"/>
      <c r="R625" s="233"/>
      <c r="S625" s="77" t="s">
        <v>39</v>
      </c>
      <c r="T625" s="234" t="e">
        <f>ROUND(T617-T624,-2)</f>
        <v>#REF!</v>
      </c>
      <c r="U625" s="234"/>
      <c r="V625" s="234"/>
      <c r="W625" s="74" t="s">
        <v>38</v>
      </c>
    </row>
    <row r="626" spans="1:24" ht="18.75" customHeight="1">
      <c r="A626" s="91"/>
      <c r="B626" s="90"/>
      <c r="C626" s="90"/>
      <c r="D626" s="90"/>
      <c r="E626" s="90"/>
      <c r="F626" s="90"/>
      <c r="G626" s="90"/>
      <c r="H626" s="90"/>
      <c r="I626" s="90"/>
      <c r="J626" s="90"/>
      <c r="K626" s="89"/>
      <c r="M626" s="91"/>
      <c r="N626" s="90"/>
      <c r="O626" s="90"/>
      <c r="P626" s="90"/>
      <c r="Q626" s="90"/>
      <c r="R626" s="90"/>
      <c r="S626" s="90"/>
      <c r="T626" s="90"/>
      <c r="U626" s="90"/>
      <c r="V626" s="90"/>
      <c r="W626" s="89"/>
    </row>
    <row r="627" spans="1:24" ht="18.75" customHeight="1">
      <c r="A627" s="88"/>
      <c r="B627" s="77"/>
      <c r="C627" s="77"/>
      <c r="D627" s="77"/>
      <c r="E627" s="77"/>
      <c r="F627" s="77"/>
      <c r="G627" s="77"/>
      <c r="H627" s="77"/>
      <c r="I627" s="235" t="s">
        <v>37</v>
      </c>
      <c r="J627" s="235"/>
      <c r="K627" s="236"/>
      <c r="M627" s="88"/>
      <c r="N627" s="77"/>
      <c r="O627" s="77"/>
      <c r="P627" s="77"/>
      <c r="Q627" s="77"/>
      <c r="R627" s="77"/>
      <c r="S627" s="77"/>
      <c r="T627" s="77"/>
      <c r="U627" s="235" t="s">
        <v>37</v>
      </c>
      <c r="V627" s="235"/>
      <c r="W627" s="236"/>
    </row>
    <row r="628" spans="1:24" ht="18.75" customHeight="1">
      <c r="A628" s="88"/>
      <c r="B628" s="235"/>
      <c r="C628" s="235"/>
      <c r="D628" s="235"/>
      <c r="E628" s="235"/>
      <c r="F628" s="77"/>
      <c r="G628" s="77"/>
      <c r="H628" s="77"/>
      <c r="I628" s="77"/>
      <c r="J628" s="77"/>
      <c r="K628" s="82"/>
      <c r="M628" s="88"/>
      <c r="N628" s="235"/>
      <c r="O628" s="235"/>
      <c r="P628" s="235"/>
      <c r="Q628" s="235"/>
      <c r="R628" s="77"/>
      <c r="S628" s="77"/>
      <c r="T628" s="77"/>
      <c r="U628" s="77"/>
      <c r="V628" s="77"/>
      <c r="W628" s="82"/>
    </row>
    <row r="629" spans="1:24" ht="18.75" customHeight="1" thickBot="1">
      <c r="A629" s="87"/>
      <c r="B629" s="86"/>
      <c r="C629" s="86"/>
      <c r="D629" s="86"/>
      <c r="E629" s="86"/>
      <c r="F629" s="86"/>
      <c r="G629" s="86"/>
      <c r="H629" s="86"/>
      <c r="I629" s="237" t="s">
        <v>36</v>
      </c>
      <c r="J629" s="237"/>
      <c r="K629" s="238"/>
      <c r="M629" s="87"/>
      <c r="N629" s="86"/>
      <c r="O629" s="86"/>
      <c r="P629" s="86"/>
      <c r="Q629" s="86"/>
      <c r="R629" s="86"/>
      <c r="S629" s="86"/>
      <c r="T629" s="86"/>
      <c r="U629" s="237" t="s">
        <v>36</v>
      </c>
      <c r="V629" s="237"/>
      <c r="W629" s="238"/>
    </row>
    <row r="631" spans="1:24" ht="18.75" customHeight="1" thickTop="1">
      <c r="A631" s="239" t="s">
        <v>87</v>
      </c>
      <c r="B631" s="240"/>
      <c r="C631" s="240"/>
      <c r="D631" s="240"/>
      <c r="E631" s="240"/>
      <c r="F631" s="240"/>
      <c r="G631" s="240"/>
      <c r="H631" s="240"/>
      <c r="I631" s="240"/>
      <c r="J631" s="240"/>
      <c r="K631" s="241"/>
      <c r="L631" s="72">
        <v>25</v>
      </c>
      <c r="M631" s="239" t="s">
        <v>87</v>
      </c>
      <c r="N631" s="240"/>
      <c r="O631" s="240"/>
      <c r="P631" s="240"/>
      <c r="Q631" s="240"/>
      <c r="R631" s="240"/>
      <c r="S631" s="240"/>
      <c r="T631" s="240"/>
      <c r="U631" s="240"/>
      <c r="V631" s="240"/>
      <c r="W631" s="241"/>
      <c r="X631" s="72">
        <v>25</v>
      </c>
    </row>
    <row r="632" spans="1:24" ht="18.75" customHeight="1">
      <c r="A632" s="85" t="s">
        <v>115</v>
      </c>
      <c r="B632" s="84"/>
      <c r="C632" s="84"/>
      <c r="D632" s="84"/>
      <c r="E632" s="84"/>
      <c r="F632" s="84"/>
      <c r="G632" s="84"/>
      <c r="H632" s="84"/>
      <c r="I632" s="84"/>
      <c r="J632" s="84"/>
      <c r="K632" s="83"/>
      <c r="M632" s="85" t="s">
        <v>114</v>
      </c>
      <c r="N632" s="84"/>
      <c r="O632" s="84"/>
      <c r="P632" s="84"/>
      <c r="Q632" s="84"/>
      <c r="R632" s="84"/>
      <c r="S632" s="84"/>
      <c r="T632" s="84"/>
      <c r="U632" s="84"/>
      <c r="V632" s="84"/>
      <c r="W632" s="83"/>
    </row>
    <row r="633" spans="1:24" ht="18.75" customHeight="1">
      <c r="A633" s="227" t="s">
        <v>84</v>
      </c>
      <c r="B633" s="228"/>
      <c r="C633" s="228"/>
      <c r="D633" s="228"/>
      <c r="E633" s="228"/>
      <c r="F633" s="228"/>
      <c r="G633" s="228"/>
      <c r="H633" s="228"/>
      <c r="I633" s="228"/>
      <c r="J633" s="228"/>
      <c r="K633" s="229"/>
      <c r="M633" s="227" t="s">
        <v>84</v>
      </c>
      <c r="N633" s="228"/>
      <c r="O633" s="228"/>
      <c r="P633" s="228"/>
      <c r="Q633" s="228"/>
      <c r="R633" s="228"/>
      <c r="S633" s="228"/>
      <c r="T633" s="228"/>
      <c r="U633" s="228"/>
      <c r="V633" s="228"/>
      <c r="W633" s="229"/>
    </row>
    <row r="634" spans="1:24" ht="18.75" customHeight="1">
      <c r="A634" s="222" t="s">
        <v>83</v>
      </c>
      <c r="B634" s="223"/>
      <c r="C634" s="223"/>
      <c r="D634" s="223"/>
      <c r="E634" s="77" t="s">
        <v>39</v>
      </c>
      <c r="F634" s="224">
        <f>'[3]Bang TH nop'!B73</f>
        <v>0</v>
      </c>
      <c r="G634" s="223"/>
      <c r="H634" s="223"/>
      <c r="I634" s="223"/>
      <c r="J634" s="223"/>
      <c r="K634" s="226"/>
      <c r="M634" s="222" t="s">
        <v>83</v>
      </c>
      <c r="N634" s="223"/>
      <c r="O634" s="223"/>
      <c r="P634" s="223"/>
      <c r="Q634" s="77" t="s">
        <v>39</v>
      </c>
      <c r="R634" s="224">
        <f>'[3]Bang TH nop'!B75</f>
        <v>0</v>
      </c>
      <c r="S634" s="223"/>
      <c r="T634" s="223"/>
      <c r="U634" s="223"/>
      <c r="V634" s="223"/>
      <c r="W634" s="226"/>
    </row>
    <row r="635" spans="1:24" ht="18.75" customHeight="1">
      <c r="A635" s="222" t="s">
        <v>82</v>
      </c>
      <c r="B635" s="223"/>
      <c r="C635" s="223"/>
      <c r="D635" s="223"/>
      <c r="E635" s="77" t="s">
        <v>39</v>
      </c>
      <c r="F635" s="224">
        <f>'[3]Bang TH nop'!C73</f>
        <v>0</v>
      </c>
      <c r="G635" s="224"/>
      <c r="H635" s="224"/>
      <c r="I635" s="224"/>
      <c r="J635" s="224"/>
      <c r="K635" s="225"/>
      <c r="M635" s="222" t="s">
        <v>82</v>
      </c>
      <c r="N635" s="223"/>
      <c r="O635" s="223"/>
      <c r="P635" s="223"/>
      <c r="Q635" s="77" t="s">
        <v>39</v>
      </c>
      <c r="R635" s="224">
        <f>'[3]Bang TH nop'!C75</f>
        <v>0</v>
      </c>
      <c r="S635" s="224"/>
      <c r="T635" s="224"/>
      <c r="U635" s="224"/>
      <c r="V635" s="224"/>
      <c r="W635" s="225"/>
    </row>
    <row r="636" spans="1:24" ht="18.75" customHeight="1">
      <c r="A636" s="222" t="s">
        <v>81</v>
      </c>
      <c r="B636" s="223"/>
      <c r="C636" s="223"/>
      <c r="D636" s="223"/>
      <c r="E636" s="77" t="s">
        <v>39</v>
      </c>
      <c r="F636" s="223" t="s">
        <v>80</v>
      </c>
      <c r="G636" s="223"/>
      <c r="H636" s="223"/>
      <c r="I636" s="223"/>
      <c r="J636" s="223"/>
      <c r="K636" s="226"/>
      <c r="M636" s="222" t="s">
        <v>81</v>
      </c>
      <c r="N636" s="223"/>
      <c r="O636" s="223"/>
      <c r="P636" s="223"/>
      <c r="Q636" s="77" t="s">
        <v>39</v>
      </c>
      <c r="R636" s="223" t="s">
        <v>80</v>
      </c>
      <c r="S636" s="223"/>
      <c r="T636" s="223"/>
      <c r="U636" s="223"/>
      <c r="V636" s="223"/>
      <c r="W636" s="226"/>
    </row>
    <row r="637" spans="1:24" ht="18.75" customHeight="1">
      <c r="A637" s="227" t="s">
        <v>79</v>
      </c>
      <c r="B637" s="228"/>
      <c r="C637" s="228"/>
      <c r="D637" s="228"/>
      <c r="E637" s="228"/>
      <c r="F637" s="228"/>
      <c r="G637" s="228"/>
      <c r="H637" s="228"/>
      <c r="I637" s="228"/>
      <c r="J637" s="228"/>
      <c r="K637" s="229"/>
      <c r="M637" s="227" t="s">
        <v>79</v>
      </c>
      <c r="N637" s="228"/>
      <c r="O637" s="228"/>
      <c r="P637" s="228"/>
      <c r="Q637" s="228"/>
      <c r="R637" s="228"/>
      <c r="S637" s="228"/>
      <c r="T637" s="228"/>
      <c r="U637" s="228"/>
      <c r="V637" s="228"/>
      <c r="W637" s="229"/>
    </row>
    <row r="638" spans="1:24" ht="18.75" customHeight="1">
      <c r="A638" s="222" t="s">
        <v>78</v>
      </c>
      <c r="B638" s="223"/>
      <c r="C638" s="223"/>
      <c r="D638" s="223"/>
      <c r="E638" s="77" t="s">
        <v>39</v>
      </c>
      <c r="F638" s="230">
        <v>2915400</v>
      </c>
      <c r="G638" s="230"/>
      <c r="H638" s="230"/>
      <c r="I638" s="230"/>
      <c r="J638" s="77" t="s">
        <v>38</v>
      </c>
      <c r="K638" s="82"/>
      <c r="M638" s="222" t="s">
        <v>78</v>
      </c>
      <c r="N638" s="223"/>
      <c r="O638" s="223"/>
      <c r="P638" s="223"/>
      <c r="Q638" s="77" t="s">
        <v>39</v>
      </c>
      <c r="R638" s="230">
        <v>2915400</v>
      </c>
      <c r="S638" s="230"/>
      <c r="T638" s="230"/>
      <c r="U638" s="230"/>
      <c r="V638" s="77" t="s">
        <v>38</v>
      </c>
      <c r="W638" s="82"/>
    </row>
    <row r="639" spans="1:24" ht="18.75" customHeight="1">
      <c r="A639" s="81" t="s">
        <v>77</v>
      </c>
      <c r="B639" s="77"/>
      <c r="C639" s="80"/>
      <c r="D639" s="79"/>
      <c r="E639" s="78"/>
      <c r="F639" s="78"/>
      <c r="G639" s="78"/>
      <c r="H639" s="77"/>
      <c r="I639" s="76" t="e">
        <f>#REF!</f>
        <v>#REF!</v>
      </c>
      <c r="J639" s="75"/>
      <c r="K639" s="74"/>
      <c r="M639" s="81" t="s">
        <v>77</v>
      </c>
      <c r="N639" s="77"/>
      <c r="O639" s="80"/>
      <c r="P639" s="79"/>
      <c r="Q639" s="78"/>
      <c r="R639" s="78"/>
      <c r="S639" s="78"/>
      <c r="T639" s="77"/>
      <c r="U639" s="76" t="e">
        <f>#REF!</f>
        <v>#REF!</v>
      </c>
      <c r="V639" s="75"/>
      <c r="W639" s="74"/>
    </row>
    <row r="640" spans="1:24" ht="18.75" customHeight="1">
      <c r="A640" s="81" t="s">
        <v>76</v>
      </c>
      <c r="B640" s="77"/>
      <c r="C640" s="80"/>
      <c r="D640" s="79"/>
      <c r="E640" s="78"/>
      <c r="F640" s="78"/>
      <c r="G640" s="78"/>
      <c r="H640" s="77"/>
      <c r="I640" s="76" t="e">
        <f>I641/C641/8</f>
        <v>#REF!</v>
      </c>
      <c r="J640" s="75"/>
      <c r="K640" s="74"/>
      <c r="M640" s="81" t="s">
        <v>76</v>
      </c>
      <c r="N640" s="77"/>
      <c r="O640" s="80"/>
      <c r="P640" s="79"/>
      <c r="Q640" s="78"/>
      <c r="R640" s="78"/>
      <c r="S640" s="78"/>
      <c r="T640" s="77"/>
      <c r="U640" s="76" t="e">
        <f>U641/O641/8</f>
        <v>#REF!</v>
      </c>
      <c r="V640" s="75"/>
      <c r="W640" s="74"/>
    </row>
    <row r="641" spans="1:24" ht="18.75" customHeight="1">
      <c r="A641" s="81" t="s">
        <v>75</v>
      </c>
      <c r="B641" s="77" t="s">
        <v>39</v>
      </c>
      <c r="C641" s="80" t="e">
        <f>#REF!</f>
        <v>#REF!</v>
      </c>
      <c r="D641" s="79" t="s">
        <v>52</v>
      </c>
      <c r="E641" s="249" t="s">
        <v>74</v>
      </c>
      <c r="F641" s="249"/>
      <c r="G641" s="249"/>
      <c r="H641" s="77" t="s">
        <v>39</v>
      </c>
      <c r="I641" s="255" t="e">
        <f>#REF!</f>
        <v>#REF!</v>
      </c>
      <c r="J641" s="255"/>
      <c r="K641" s="74" t="s">
        <v>38</v>
      </c>
      <c r="L641" s="95" t="e">
        <f>F638/L631*C641</f>
        <v>#REF!</v>
      </c>
      <c r="M641" s="81" t="s">
        <v>75</v>
      </c>
      <c r="N641" s="77" t="s">
        <v>39</v>
      </c>
      <c r="O641" s="80" t="e">
        <f>#REF!</f>
        <v>#REF!</v>
      </c>
      <c r="P641" s="79" t="s">
        <v>52</v>
      </c>
      <c r="Q641" s="249" t="s">
        <v>74</v>
      </c>
      <c r="R641" s="249"/>
      <c r="S641" s="249"/>
      <c r="T641" s="77" t="s">
        <v>39</v>
      </c>
      <c r="U641" s="255" t="e">
        <f>#REF!</f>
        <v>#REF!</v>
      </c>
      <c r="V641" s="255"/>
      <c r="W641" s="74" t="s">
        <v>38</v>
      </c>
      <c r="X641" s="95" t="e">
        <f>R638/X631*O641</f>
        <v>#REF!</v>
      </c>
    </row>
    <row r="642" spans="1:24" ht="18.75" customHeight="1">
      <c r="A642" s="81" t="s">
        <v>73</v>
      </c>
      <c r="B642" s="77" t="s">
        <v>39</v>
      </c>
      <c r="C642" s="80" t="e">
        <f>#REF!</f>
        <v>#REF!</v>
      </c>
      <c r="D642" s="79" t="s">
        <v>52</v>
      </c>
      <c r="E642" s="223" t="s">
        <v>72</v>
      </c>
      <c r="F642" s="223"/>
      <c r="G642" s="223"/>
      <c r="H642" s="77" t="s">
        <v>39</v>
      </c>
      <c r="I642" s="247" t="e">
        <f>$F$8/$L$1*C642</f>
        <v>#REF!</v>
      </c>
      <c r="J642" s="247"/>
      <c r="K642" s="74" t="s">
        <v>38</v>
      </c>
      <c r="L642" s="95"/>
      <c r="M642" s="81" t="s">
        <v>73</v>
      </c>
      <c r="N642" s="77" t="s">
        <v>39</v>
      </c>
      <c r="O642" s="80" t="e">
        <f>#REF!</f>
        <v>#REF!</v>
      </c>
      <c r="P642" s="79" t="s">
        <v>52</v>
      </c>
      <c r="Q642" s="223" t="s">
        <v>72</v>
      </c>
      <c r="R642" s="223"/>
      <c r="S642" s="223"/>
      <c r="T642" s="77" t="s">
        <v>39</v>
      </c>
      <c r="U642" s="247" t="e">
        <f>$F$8/$L$1*O642</f>
        <v>#REF!</v>
      </c>
      <c r="V642" s="247"/>
      <c r="W642" s="74" t="s">
        <v>38</v>
      </c>
      <c r="X642" s="95"/>
    </row>
    <row r="643" spans="1:24" ht="18.75" customHeight="1">
      <c r="A643" s="81" t="s">
        <v>71</v>
      </c>
      <c r="B643" s="77" t="s">
        <v>39</v>
      </c>
      <c r="C643" s="80" t="e">
        <f>#REF!</f>
        <v>#REF!</v>
      </c>
      <c r="D643" s="79" t="s">
        <v>52</v>
      </c>
      <c r="E643" s="256" t="s">
        <v>70</v>
      </c>
      <c r="F643" s="256"/>
      <c r="G643" s="256"/>
      <c r="H643" s="77" t="s">
        <v>39</v>
      </c>
      <c r="I643" s="247" t="e">
        <f>$F$8/$L$1*C643</f>
        <v>#REF!</v>
      </c>
      <c r="J643" s="247"/>
      <c r="K643" s="74" t="s">
        <v>38</v>
      </c>
      <c r="L643" s="95"/>
      <c r="M643" s="81" t="s">
        <v>71</v>
      </c>
      <c r="N643" s="77" t="s">
        <v>39</v>
      </c>
      <c r="O643" s="80" t="e">
        <f>#REF!</f>
        <v>#REF!</v>
      </c>
      <c r="P643" s="79" t="s">
        <v>52</v>
      </c>
      <c r="Q643" s="256" t="s">
        <v>70</v>
      </c>
      <c r="R643" s="256"/>
      <c r="S643" s="256"/>
      <c r="T643" s="77" t="s">
        <v>39</v>
      </c>
      <c r="U643" s="247" t="e">
        <f>$F$8/$L$1*O643</f>
        <v>#REF!</v>
      </c>
      <c r="V643" s="247"/>
      <c r="W643" s="74" t="s">
        <v>38</v>
      </c>
      <c r="X643" s="95"/>
    </row>
    <row r="644" spans="1:24" ht="18.75" customHeight="1">
      <c r="A644" s="81" t="s">
        <v>69</v>
      </c>
      <c r="B644" s="77" t="s">
        <v>39</v>
      </c>
      <c r="C644" s="80" t="e">
        <f>#REF!</f>
        <v>#REF!</v>
      </c>
      <c r="D644" s="79" t="s">
        <v>52</v>
      </c>
      <c r="E644" s="256" t="s">
        <v>68</v>
      </c>
      <c r="F644" s="256"/>
      <c r="G644" s="256"/>
      <c r="H644" s="77" t="s">
        <v>39</v>
      </c>
      <c r="I644" s="247" t="e">
        <f>$F$8/$L$1*C644</f>
        <v>#REF!</v>
      </c>
      <c r="J644" s="247"/>
      <c r="K644" s="74" t="s">
        <v>38</v>
      </c>
      <c r="L644" s="95"/>
      <c r="M644" s="81" t="s">
        <v>69</v>
      </c>
      <c r="N644" s="77" t="s">
        <v>39</v>
      </c>
      <c r="O644" s="80" t="e">
        <f>#REF!</f>
        <v>#REF!</v>
      </c>
      <c r="P644" s="79" t="s">
        <v>52</v>
      </c>
      <c r="Q644" s="256" t="s">
        <v>68</v>
      </c>
      <c r="R644" s="256"/>
      <c r="S644" s="256"/>
      <c r="T644" s="77" t="s">
        <v>39</v>
      </c>
      <c r="U644" s="247" t="e">
        <f>$F$8/$L$1*O644</f>
        <v>#REF!</v>
      </c>
      <c r="V644" s="247"/>
      <c r="W644" s="74" t="s">
        <v>38</v>
      </c>
      <c r="X644" s="95"/>
    </row>
    <row r="645" spans="1:24" ht="18.75" customHeight="1">
      <c r="A645" s="81" t="s">
        <v>67</v>
      </c>
      <c r="B645" s="77" t="s">
        <v>39</v>
      </c>
      <c r="C645" s="80" t="e">
        <f>#REF!</f>
        <v>#REF!</v>
      </c>
      <c r="D645" s="79" t="s">
        <v>58</v>
      </c>
      <c r="E645" s="223" t="s">
        <v>66</v>
      </c>
      <c r="F645" s="223"/>
      <c r="G645" s="223"/>
      <c r="H645" s="77" t="s">
        <v>39</v>
      </c>
      <c r="I645" s="247" t="e">
        <f>#REF!</f>
        <v>#REF!</v>
      </c>
      <c r="J645" s="247"/>
      <c r="K645" s="74" t="s">
        <v>38</v>
      </c>
      <c r="L645" s="95" t="e">
        <f>F638*C645/L631/8*1.5</f>
        <v>#REF!</v>
      </c>
      <c r="M645" s="81" t="s">
        <v>67</v>
      </c>
      <c r="N645" s="77" t="s">
        <v>39</v>
      </c>
      <c r="O645" s="80" t="e">
        <f>#REF!</f>
        <v>#REF!</v>
      </c>
      <c r="P645" s="79" t="s">
        <v>58</v>
      </c>
      <c r="Q645" s="223" t="s">
        <v>66</v>
      </c>
      <c r="R645" s="223"/>
      <c r="S645" s="223"/>
      <c r="T645" s="77" t="s">
        <v>39</v>
      </c>
      <c r="U645" s="247" t="e">
        <f>#REF!</f>
        <v>#REF!</v>
      </c>
      <c r="V645" s="247"/>
      <c r="W645" s="74" t="s">
        <v>38</v>
      </c>
      <c r="X645" s="95" t="e">
        <f>R638*O645/X631/8*1.5</f>
        <v>#REF!</v>
      </c>
    </row>
    <row r="646" spans="1:24" ht="18.75" customHeight="1">
      <c r="A646" s="222" t="s">
        <v>65</v>
      </c>
      <c r="B646" s="223"/>
      <c r="C646" s="80"/>
      <c r="D646" s="79" t="s">
        <v>52</v>
      </c>
      <c r="E646" s="223" t="s">
        <v>64</v>
      </c>
      <c r="F646" s="223"/>
      <c r="G646" s="223"/>
      <c r="H646" s="100" t="s">
        <v>39</v>
      </c>
      <c r="I646" s="247"/>
      <c r="J646" s="247"/>
      <c r="K646" s="74" t="s">
        <v>38</v>
      </c>
      <c r="L646" s="95"/>
      <c r="M646" s="222" t="s">
        <v>65</v>
      </c>
      <c r="N646" s="223"/>
      <c r="O646" s="80"/>
      <c r="P646" s="79" t="s">
        <v>52</v>
      </c>
      <c r="Q646" s="223" t="s">
        <v>64</v>
      </c>
      <c r="R646" s="223"/>
      <c r="S646" s="223"/>
      <c r="T646" s="100" t="s">
        <v>39</v>
      </c>
      <c r="U646" s="247"/>
      <c r="V646" s="247"/>
      <c r="W646" s="74" t="s">
        <v>38</v>
      </c>
      <c r="X646" s="95"/>
    </row>
    <row r="647" spans="1:24" ht="18.75" customHeight="1">
      <c r="A647" s="81" t="s">
        <v>63</v>
      </c>
      <c r="B647" s="77" t="s">
        <v>39</v>
      </c>
      <c r="C647" s="80"/>
      <c r="D647" s="79" t="s">
        <v>52</v>
      </c>
      <c r="E647" s="223" t="s">
        <v>62</v>
      </c>
      <c r="F647" s="223"/>
      <c r="G647" s="223"/>
      <c r="H647" s="77" t="s">
        <v>39</v>
      </c>
      <c r="I647" s="247"/>
      <c r="J647" s="247"/>
      <c r="K647" s="74" t="s">
        <v>38</v>
      </c>
      <c r="L647" s="95"/>
      <c r="M647" s="81" t="s">
        <v>63</v>
      </c>
      <c r="N647" s="77" t="s">
        <v>39</v>
      </c>
      <c r="O647" s="80"/>
      <c r="P647" s="79" t="s">
        <v>52</v>
      </c>
      <c r="Q647" s="223" t="s">
        <v>62</v>
      </c>
      <c r="R647" s="223"/>
      <c r="S647" s="223"/>
      <c r="T647" s="77" t="s">
        <v>39</v>
      </c>
      <c r="U647" s="247"/>
      <c r="V647" s="247"/>
      <c r="W647" s="74" t="s">
        <v>38</v>
      </c>
      <c r="X647" s="95"/>
    </row>
    <row r="648" spans="1:24" ht="18.75" customHeight="1">
      <c r="A648" s="99" t="s">
        <v>61</v>
      </c>
      <c r="B648" s="77"/>
      <c r="C648" s="80" t="e">
        <f>#REF!</f>
        <v>#REF!</v>
      </c>
      <c r="D648" s="79" t="s">
        <v>58</v>
      </c>
      <c r="E648" s="223" t="s">
        <v>60</v>
      </c>
      <c r="F648" s="223"/>
      <c r="G648" s="223"/>
      <c r="H648" s="77" t="s">
        <v>39</v>
      </c>
      <c r="I648" s="247" t="e">
        <f>$F$8*C648/8/$L$1</f>
        <v>#REF!</v>
      </c>
      <c r="J648" s="247"/>
      <c r="K648" s="74" t="s">
        <v>38</v>
      </c>
      <c r="L648" s="95"/>
      <c r="M648" s="99" t="s">
        <v>61</v>
      </c>
      <c r="N648" s="77"/>
      <c r="O648" s="80" t="e">
        <f>#REF!</f>
        <v>#REF!</v>
      </c>
      <c r="P648" s="79" t="s">
        <v>58</v>
      </c>
      <c r="Q648" s="223" t="s">
        <v>60</v>
      </c>
      <c r="R648" s="223"/>
      <c r="S648" s="223"/>
      <c r="T648" s="77" t="s">
        <v>39</v>
      </c>
      <c r="U648" s="247" t="e">
        <f>$F$8*O648/8/$L$1</f>
        <v>#REF!</v>
      </c>
      <c r="V648" s="247"/>
      <c r="W648" s="74" t="s">
        <v>38</v>
      </c>
      <c r="X648" s="95"/>
    </row>
    <row r="649" spans="1:24" ht="18.75" customHeight="1">
      <c r="A649" s="81" t="s">
        <v>59</v>
      </c>
      <c r="B649" s="77" t="s">
        <v>39</v>
      </c>
      <c r="C649" s="80"/>
      <c r="D649" s="79" t="s">
        <v>58</v>
      </c>
      <c r="E649" s="223" t="s">
        <v>57</v>
      </c>
      <c r="F649" s="223"/>
      <c r="G649" s="223"/>
      <c r="H649" s="77" t="s">
        <v>39</v>
      </c>
      <c r="I649" s="255"/>
      <c r="J649" s="255"/>
      <c r="K649" s="74" t="s">
        <v>38</v>
      </c>
      <c r="L649" s="95"/>
      <c r="M649" s="81" t="s">
        <v>59</v>
      </c>
      <c r="N649" s="77" t="s">
        <v>39</v>
      </c>
      <c r="O649" s="80"/>
      <c r="P649" s="79" t="s">
        <v>58</v>
      </c>
      <c r="Q649" s="223" t="s">
        <v>57</v>
      </c>
      <c r="R649" s="223"/>
      <c r="S649" s="223"/>
      <c r="T649" s="77" t="s">
        <v>39</v>
      </c>
      <c r="U649" s="255"/>
      <c r="V649" s="255"/>
      <c r="W649" s="74" t="s">
        <v>38</v>
      </c>
      <c r="X649" s="95"/>
    </row>
    <row r="650" spans="1:24" ht="18.75" customHeight="1">
      <c r="A650" s="81" t="s">
        <v>56</v>
      </c>
      <c r="B650" s="77" t="s">
        <v>39</v>
      </c>
      <c r="C650" s="80"/>
      <c r="D650" s="79" t="s">
        <v>55</v>
      </c>
      <c r="E650" s="98" t="s">
        <v>54</v>
      </c>
      <c r="F650" s="98"/>
      <c r="G650" s="98"/>
      <c r="H650" s="77" t="s">
        <v>39</v>
      </c>
      <c r="I650" s="247"/>
      <c r="J650" s="247"/>
      <c r="K650" s="74" t="s">
        <v>38</v>
      </c>
      <c r="L650" s="95" t="e">
        <f>+IF(L641-I641&lt;0,0,L641-I641)+IF(L645-I645&lt;0,0,L645-I645)</f>
        <v>#REF!</v>
      </c>
      <c r="M650" s="81" t="s">
        <v>56</v>
      </c>
      <c r="N650" s="77" t="s">
        <v>39</v>
      </c>
      <c r="O650" s="80"/>
      <c r="P650" s="79" t="s">
        <v>55</v>
      </c>
      <c r="Q650" s="98" t="s">
        <v>54</v>
      </c>
      <c r="R650" s="98"/>
      <c r="S650" s="98"/>
      <c r="T650" s="77" t="s">
        <v>39</v>
      </c>
      <c r="U650" s="247"/>
      <c r="V650" s="247"/>
      <c r="W650" s="74" t="s">
        <v>38</v>
      </c>
      <c r="X650" s="95" t="e">
        <f>+IF(X641-U641&lt;0,0,X641-U641)+IF(X645-U645&lt;0,0,X645-U645)</f>
        <v>#REF!</v>
      </c>
    </row>
    <row r="651" spans="1:24" ht="18.75" customHeight="1">
      <c r="A651" s="97" t="s">
        <v>53</v>
      </c>
      <c r="B651" s="96"/>
      <c r="C651" s="80"/>
      <c r="D651" s="79" t="s">
        <v>52</v>
      </c>
      <c r="E651" s="223" t="s">
        <v>51</v>
      </c>
      <c r="F651" s="223"/>
      <c r="G651" s="223"/>
      <c r="H651" s="77" t="s">
        <v>39</v>
      </c>
      <c r="I651" s="247"/>
      <c r="J651" s="247"/>
      <c r="K651" s="74" t="s">
        <v>38</v>
      </c>
      <c r="L651" s="95"/>
      <c r="M651" s="97" t="s">
        <v>53</v>
      </c>
      <c r="N651" s="96"/>
      <c r="O651" s="80"/>
      <c r="P651" s="79" t="s">
        <v>52</v>
      </c>
      <c r="Q651" s="223" t="s">
        <v>51</v>
      </c>
      <c r="R651" s="223"/>
      <c r="S651" s="223"/>
      <c r="T651" s="77" t="s">
        <v>39</v>
      </c>
      <c r="U651" s="247"/>
      <c r="V651" s="247"/>
      <c r="W651" s="74" t="s">
        <v>38</v>
      </c>
      <c r="X651" s="95"/>
    </row>
    <row r="652" spans="1:24" ht="18.75" customHeight="1">
      <c r="A652" s="248" t="s">
        <v>50</v>
      </c>
      <c r="B652" s="249"/>
      <c r="C652" s="80"/>
      <c r="D652" s="79"/>
      <c r="E652" s="78"/>
      <c r="F652" s="78"/>
      <c r="G652" s="78"/>
      <c r="H652" s="77" t="s">
        <v>39</v>
      </c>
      <c r="I652" s="247" t="e">
        <f>#REF!</f>
        <v>#REF!</v>
      </c>
      <c r="J652" s="247"/>
      <c r="K652" s="74" t="s">
        <v>38</v>
      </c>
      <c r="L652" s="95"/>
      <c r="M652" s="248" t="s">
        <v>50</v>
      </c>
      <c r="N652" s="249"/>
      <c r="O652" s="80"/>
      <c r="P652" s="79"/>
      <c r="Q652" s="78"/>
      <c r="R652" s="78"/>
      <c r="S652" s="78"/>
      <c r="T652" s="77" t="s">
        <v>39</v>
      </c>
      <c r="U652" s="247" t="e">
        <f>#REF!</f>
        <v>#REF!</v>
      </c>
      <c r="V652" s="247"/>
      <c r="W652" s="74" t="s">
        <v>38</v>
      </c>
      <c r="X652" s="95"/>
    </row>
    <row r="653" spans="1:24" ht="18.75" customHeight="1">
      <c r="A653" s="81" t="s">
        <v>49</v>
      </c>
      <c r="B653" s="77" t="s">
        <v>39</v>
      </c>
      <c r="C653" s="80"/>
      <c r="D653" s="79"/>
      <c r="E653" s="78" t="s">
        <v>48</v>
      </c>
      <c r="F653" s="78"/>
      <c r="G653" s="78"/>
      <c r="H653" s="77" t="s">
        <v>39</v>
      </c>
      <c r="I653" s="247" t="e">
        <f>L650</f>
        <v>#REF!</v>
      </c>
      <c r="J653" s="247"/>
      <c r="K653" s="74" t="s">
        <v>38</v>
      </c>
      <c r="L653" s="95"/>
      <c r="M653" s="81" t="s">
        <v>49</v>
      </c>
      <c r="N653" s="77" t="s">
        <v>39</v>
      </c>
      <c r="O653" s="80"/>
      <c r="P653" s="79"/>
      <c r="Q653" s="78" t="s">
        <v>48</v>
      </c>
      <c r="R653" s="78"/>
      <c r="S653" s="78"/>
      <c r="T653" s="77" t="s">
        <v>39</v>
      </c>
      <c r="U653" s="247" t="e">
        <f>X650</f>
        <v>#REF!</v>
      </c>
      <c r="V653" s="247"/>
      <c r="W653" s="74" t="s">
        <v>38</v>
      </c>
      <c r="X653" s="95"/>
    </row>
    <row r="654" spans="1:24" ht="18.75" customHeight="1">
      <c r="A654" s="250" t="s">
        <v>47</v>
      </c>
      <c r="B654" s="251"/>
      <c r="C654" s="251"/>
      <c r="D654" s="251"/>
      <c r="E654" s="251"/>
      <c r="F654" s="251"/>
      <c r="G654" s="77" t="s">
        <v>39</v>
      </c>
      <c r="H654" s="252" t="e">
        <f>I641+I642+I643+I644+I645+I648+I652+I653</f>
        <v>#REF!</v>
      </c>
      <c r="I654" s="252"/>
      <c r="J654" s="252"/>
      <c r="K654" s="74" t="s">
        <v>38</v>
      </c>
      <c r="M654" s="250" t="s">
        <v>47</v>
      </c>
      <c r="N654" s="251"/>
      <c r="O654" s="251"/>
      <c r="P654" s="251"/>
      <c r="Q654" s="251"/>
      <c r="R654" s="251"/>
      <c r="S654" s="77" t="s">
        <v>39</v>
      </c>
      <c r="T654" s="252" t="e">
        <f>U641+U642+U643+U644+U645+U648+U652+U653</f>
        <v>#REF!</v>
      </c>
      <c r="U654" s="252"/>
      <c r="V654" s="252"/>
      <c r="W654" s="74" t="s">
        <v>38</v>
      </c>
    </row>
    <row r="655" spans="1:24" ht="18.75" customHeight="1">
      <c r="A655" s="94"/>
      <c r="B655" s="93"/>
      <c r="C655" s="93"/>
      <c r="D655" s="93"/>
      <c r="E655" s="93"/>
      <c r="F655" s="93"/>
      <c r="G655" s="93"/>
      <c r="H655" s="93"/>
      <c r="I655" s="93"/>
      <c r="J655" s="93"/>
      <c r="K655" s="92"/>
      <c r="M655" s="94"/>
      <c r="N655" s="93"/>
      <c r="O655" s="93"/>
      <c r="P655" s="93"/>
      <c r="Q655" s="93"/>
      <c r="R655" s="93"/>
      <c r="S655" s="93"/>
      <c r="T655" s="93"/>
      <c r="U655" s="93"/>
      <c r="V655" s="93"/>
      <c r="W655" s="92"/>
    </row>
    <row r="656" spans="1:24" ht="18.75" customHeight="1">
      <c r="A656" s="253" t="s">
        <v>46</v>
      </c>
      <c r="B656" s="254"/>
      <c r="C656" s="254"/>
      <c r="D656" s="254"/>
      <c r="E656" s="254"/>
      <c r="F656" s="254"/>
      <c r="G656" s="77"/>
      <c r="H656" s="77"/>
      <c r="I656" s="77"/>
      <c r="J656" s="77"/>
      <c r="K656" s="74"/>
      <c r="M656" s="253" t="s">
        <v>46</v>
      </c>
      <c r="N656" s="254"/>
      <c r="O656" s="254"/>
      <c r="P656" s="254"/>
      <c r="Q656" s="254"/>
      <c r="R656" s="254"/>
      <c r="S656" s="77"/>
      <c r="T656" s="77"/>
      <c r="U656" s="77"/>
      <c r="V656" s="77"/>
      <c r="W656" s="74"/>
    </row>
    <row r="657" spans="1:24" ht="18.75" customHeight="1">
      <c r="A657" s="232" t="s">
        <v>45</v>
      </c>
      <c r="B657" s="233"/>
      <c r="C657" s="233"/>
      <c r="D657" s="233"/>
      <c r="E657" s="233"/>
      <c r="F657" s="233"/>
      <c r="G657" s="77" t="s">
        <v>39</v>
      </c>
      <c r="H657" s="242" t="e">
        <f>IF(($L$1-(C641+C642+C643+C644))&gt;12,0,F638*8%)</f>
        <v>#REF!</v>
      </c>
      <c r="I657" s="242"/>
      <c r="J657" s="242"/>
      <c r="K657" s="74" t="s">
        <v>38</v>
      </c>
      <c r="M657" s="232" t="s">
        <v>45</v>
      </c>
      <c r="N657" s="233"/>
      <c r="O657" s="233"/>
      <c r="P657" s="233"/>
      <c r="Q657" s="233"/>
      <c r="R657" s="233"/>
      <c r="S657" s="77" t="s">
        <v>39</v>
      </c>
      <c r="T657" s="242" t="e">
        <f>IF(($L$1-(O641+O642+O643+O644))&gt;12,0,R638*8%)</f>
        <v>#REF!</v>
      </c>
      <c r="U657" s="242"/>
      <c r="V657" s="242"/>
      <c r="W657" s="74" t="s">
        <v>38</v>
      </c>
    </row>
    <row r="658" spans="1:24" ht="18.75" customHeight="1">
      <c r="A658" s="232" t="s">
        <v>44</v>
      </c>
      <c r="B658" s="233"/>
      <c r="C658" s="233"/>
      <c r="D658" s="233"/>
      <c r="E658" s="233"/>
      <c r="F658" s="233"/>
      <c r="G658" s="77" t="s">
        <v>39</v>
      </c>
      <c r="H658" s="243" t="e">
        <f>IF(($L$1-(C641+C642+C643+C644))&gt;12,0,F638*1.5%)</f>
        <v>#REF!</v>
      </c>
      <c r="I658" s="243"/>
      <c r="J658" s="243"/>
      <c r="K658" s="74" t="s">
        <v>38</v>
      </c>
      <c r="M658" s="232" t="s">
        <v>44</v>
      </c>
      <c r="N658" s="233"/>
      <c r="O658" s="233"/>
      <c r="P658" s="233"/>
      <c r="Q658" s="233"/>
      <c r="R658" s="233"/>
      <c r="S658" s="77" t="s">
        <v>39</v>
      </c>
      <c r="T658" s="243" t="e">
        <f>IF(($L$1-(O641+O642+O643+O644))&gt;12,0,R638*1.5%)</f>
        <v>#REF!</v>
      </c>
      <c r="U658" s="243"/>
      <c r="V658" s="243"/>
      <c r="W658" s="74" t="s">
        <v>38</v>
      </c>
    </row>
    <row r="659" spans="1:24" ht="18.75" customHeight="1">
      <c r="A659" s="232" t="s">
        <v>43</v>
      </c>
      <c r="B659" s="233"/>
      <c r="C659" s="233"/>
      <c r="D659" s="233"/>
      <c r="E659" s="233"/>
      <c r="F659" s="233"/>
      <c r="G659" s="77" t="s">
        <v>39</v>
      </c>
      <c r="H659" s="243" t="e">
        <f>IF(($L$1-(C641+C642+C643+C644))&gt;12,0,F638*1%)</f>
        <v>#REF!</v>
      </c>
      <c r="I659" s="243"/>
      <c r="J659" s="243"/>
      <c r="K659" s="74" t="s">
        <v>38</v>
      </c>
      <c r="M659" s="232" t="s">
        <v>43</v>
      </c>
      <c r="N659" s="233"/>
      <c r="O659" s="233"/>
      <c r="P659" s="233"/>
      <c r="Q659" s="233"/>
      <c r="R659" s="233"/>
      <c r="S659" s="77" t="s">
        <v>39</v>
      </c>
      <c r="T659" s="243" t="e">
        <f>IF(($L$1-(O641+O642+O643+O644))&gt;12,0,R638*1%)</f>
        <v>#REF!</v>
      </c>
      <c r="U659" s="243"/>
      <c r="V659" s="243"/>
      <c r="W659" s="74" t="s">
        <v>38</v>
      </c>
    </row>
    <row r="660" spans="1:24" ht="18.75" customHeight="1">
      <c r="A660" s="232" t="s">
        <v>42</v>
      </c>
      <c r="B660" s="233"/>
      <c r="C660" s="233"/>
      <c r="D660" s="233"/>
      <c r="E660" s="233"/>
      <c r="F660" s="233"/>
      <c r="G660" s="77" t="s">
        <v>39</v>
      </c>
      <c r="H660" s="243">
        <v>0</v>
      </c>
      <c r="I660" s="243"/>
      <c r="J660" s="243"/>
      <c r="K660" s="74" t="s">
        <v>38</v>
      </c>
      <c r="M660" s="232" t="s">
        <v>42</v>
      </c>
      <c r="N660" s="233"/>
      <c r="O660" s="233"/>
      <c r="P660" s="233"/>
      <c r="Q660" s="233"/>
      <c r="R660" s="233"/>
      <c r="S660" s="77" t="s">
        <v>39</v>
      </c>
      <c r="T660" s="243">
        <v>0</v>
      </c>
      <c r="U660" s="243"/>
      <c r="V660" s="243"/>
      <c r="W660" s="74" t="s">
        <v>38</v>
      </c>
    </row>
    <row r="661" spans="1:24" ht="18.75" customHeight="1">
      <c r="A661" s="244" t="s">
        <v>41</v>
      </c>
      <c r="B661" s="245"/>
      <c r="C661" s="245"/>
      <c r="D661" s="245"/>
      <c r="E661" s="245"/>
      <c r="F661" s="245"/>
      <c r="G661" s="77" t="s">
        <v>39</v>
      </c>
      <c r="H661" s="246" t="e">
        <f>SUM(H657:J660)</f>
        <v>#REF!</v>
      </c>
      <c r="I661" s="246"/>
      <c r="J661" s="246"/>
      <c r="K661" s="74" t="s">
        <v>38</v>
      </c>
      <c r="M661" s="244" t="s">
        <v>41</v>
      </c>
      <c r="N661" s="245"/>
      <c r="O661" s="245"/>
      <c r="P661" s="245"/>
      <c r="Q661" s="245"/>
      <c r="R661" s="245"/>
      <c r="S661" s="77" t="s">
        <v>39</v>
      </c>
      <c r="T661" s="246" t="e">
        <f>SUM(T657:V660)</f>
        <v>#REF!</v>
      </c>
      <c r="U661" s="246"/>
      <c r="V661" s="246"/>
      <c r="W661" s="74" t="s">
        <v>38</v>
      </c>
    </row>
    <row r="662" spans="1:24" ht="18.75" customHeight="1">
      <c r="A662" s="232" t="s">
        <v>40</v>
      </c>
      <c r="B662" s="233"/>
      <c r="C662" s="233"/>
      <c r="D662" s="233"/>
      <c r="E662" s="233"/>
      <c r="F662" s="233"/>
      <c r="G662" s="77" t="s">
        <v>39</v>
      </c>
      <c r="H662" s="234" t="e">
        <f>ROUND(H654-H661,-2)</f>
        <v>#REF!</v>
      </c>
      <c r="I662" s="234"/>
      <c r="J662" s="234"/>
      <c r="K662" s="74" t="s">
        <v>38</v>
      </c>
      <c r="M662" s="232" t="s">
        <v>40</v>
      </c>
      <c r="N662" s="233"/>
      <c r="O662" s="233"/>
      <c r="P662" s="233"/>
      <c r="Q662" s="233"/>
      <c r="R662" s="233"/>
      <c r="S662" s="77" t="s">
        <v>39</v>
      </c>
      <c r="T662" s="234" t="e">
        <f>ROUND(T654-T661,-2)</f>
        <v>#REF!</v>
      </c>
      <c r="U662" s="234"/>
      <c r="V662" s="234"/>
      <c r="W662" s="74" t="s">
        <v>38</v>
      </c>
    </row>
    <row r="663" spans="1:24" ht="18.75" customHeight="1">
      <c r="A663" s="91"/>
      <c r="B663" s="90"/>
      <c r="C663" s="90"/>
      <c r="D663" s="90"/>
      <c r="E663" s="90"/>
      <c r="F663" s="90"/>
      <c r="G663" s="90"/>
      <c r="H663" s="90"/>
      <c r="I663" s="90"/>
      <c r="J663" s="90"/>
      <c r="K663" s="89"/>
      <c r="M663" s="91"/>
      <c r="N663" s="90"/>
      <c r="O663" s="90"/>
      <c r="P663" s="90"/>
      <c r="Q663" s="90"/>
      <c r="R663" s="90"/>
      <c r="S663" s="90"/>
      <c r="T663" s="90"/>
      <c r="U663" s="90"/>
      <c r="V663" s="90"/>
      <c r="W663" s="89"/>
    </row>
    <row r="664" spans="1:24" ht="18.75" customHeight="1">
      <c r="A664" s="88"/>
      <c r="B664" s="77"/>
      <c r="C664" s="77"/>
      <c r="D664" s="77"/>
      <c r="E664" s="77"/>
      <c r="F664" s="77"/>
      <c r="G664" s="77"/>
      <c r="H664" s="77"/>
      <c r="I664" s="235" t="s">
        <v>37</v>
      </c>
      <c r="J664" s="235"/>
      <c r="K664" s="236"/>
      <c r="M664" s="88"/>
      <c r="N664" s="77"/>
      <c r="O664" s="77"/>
      <c r="P664" s="77"/>
      <c r="Q664" s="77"/>
      <c r="R664" s="77"/>
      <c r="S664" s="77"/>
      <c r="T664" s="77"/>
      <c r="U664" s="235" t="s">
        <v>37</v>
      </c>
      <c r="V664" s="235"/>
      <c r="W664" s="236"/>
    </row>
    <row r="665" spans="1:24" ht="18.75" customHeight="1">
      <c r="A665" s="88"/>
      <c r="B665" s="235"/>
      <c r="C665" s="235"/>
      <c r="D665" s="235"/>
      <c r="E665" s="235"/>
      <c r="F665" s="77"/>
      <c r="G665" s="77"/>
      <c r="H665" s="77"/>
      <c r="I665" s="77"/>
      <c r="J665" s="77"/>
      <c r="K665" s="82"/>
      <c r="M665" s="88"/>
      <c r="N665" s="235"/>
      <c r="O665" s="235"/>
      <c r="P665" s="235"/>
      <c r="Q665" s="235"/>
      <c r="R665" s="77"/>
      <c r="S665" s="77"/>
      <c r="T665" s="77"/>
      <c r="U665" s="77"/>
      <c r="V665" s="77"/>
      <c r="W665" s="82"/>
    </row>
    <row r="666" spans="1:24" ht="18.75" customHeight="1" thickBot="1">
      <c r="A666" s="87"/>
      <c r="B666" s="86"/>
      <c r="C666" s="86"/>
      <c r="D666" s="86"/>
      <c r="E666" s="86"/>
      <c r="F666" s="86"/>
      <c r="G666" s="86"/>
      <c r="H666" s="86"/>
      <c r="I666" s="237" t="s">
        <v>36</v>
      </c>
      <c r="J666" s="237"/>
      <c r="K666" s="238"/>
      <c r="M666" s="87"/>
      <c r="N666" s="86"/>
      <c r="O666" s="86"/>
      <c r="P666" s="86"/>
      <c r="Q666" s="86"/>
      <c r="R666" s="86"/>
      <c r="S666" s="86"/>
      <c r="T666" s="86"/>
      <c r="U666" s="237" t="s">
        <v>36</v>
      </c>
      <c r="V666" s="237"/>
      <c r="W666" s="238"/>
    </row>
    <row r="668" spans="1:24" ht="18.75" customHeight="1" thickTop="1">
      <c r="A668" s="239" t="s">
        <v>87</v>
      </c>
      <c r="B668" s="240"/>
      <c r="C668" s="240"/>
      <c r="D668" s="240"/>
      <c r="E668" s="240"/>
      <c r="F668" s="240"/>
      <c r="G668" s="240"/>
      <c r="H668" s="240"/>
      <c r="I668" s="240"/>
      <c r="J668" s="240"/>
      <c r="K668" s="241"/>
      <c r="L668" s="72">
        <v>25</v>
      </c>
      <c r="M668" s="239" t="s">
        <v>87</v>
      </c>
      <c r="N668" s="240"/>
      <c r="O668" s="240"/>
      <c r="P668" s="240"/>
      <c r="Q668" s="240"/>
      <c r="R668" s="240"/>
      <c r="S668" s="240"/>
      <c r="T668" s="240"/>
      <c r="U668" s="240"/>
      <c r="V668" s="240"/>
      <c r="W668" s="241"/>
      <c r="X668" s="72">
        <v>25</v>
      </c>
    </row>
    <row r="669" spans="1:24" ht="18.75" customHeight="1">
      <c r="A669" s="85" t="s">
        <v>113</v>
      </c>
      <c r="B669" s="84"/>
      <c r="C669" s="84"/>
      <c r="D669" s="84"/>
      <c r="E669" s="84"/>
      <c r="F669" s="84"/>
      <c r="G669" s="84"/>
      <c r="H669" s="84"/>
      <c r="I669" s="84"/>
      <c r="J669" s="84"/>
      <c r="K669" s="83"/>
      <c r="M669" s="85" t="s">
        <v>112</v>
      </c>
      <c r="N669" s="84"/>
      <c r="O669" s="84"/>
      <c r="P669" s="84"/>
      <c r="Q669" s="84"/>
      <c r="R669" s="84"/>
      <c r="S669" s="84"/>
      <c r="T669" s="84"/>
      <c r="U669" s="84"/>
      <c r="V669" s="84"/>
      <c r="W669" s="83"/>
    </row>
    <row r="670" spans="1:24" ht="18.75" customHeight="1">
      <c r="A670" s="227" t="s">
        <v>84</v>
      </c>
      <c r="B670" s="228"/>
      <c r="C670" s="228"/>
      <c r="D670" s="228"/>
      <c r="E670" s="228"/>
      <c r="F670" s="228"/>
      <c r="G670" s="228"/>
      <c r="H670" s="228"/>
      <c r="I670" s="228"/>
      <c r="J670" s="228"/>
      <c r="K670" s="229"/>
      <c r="M670" s="227" t="s">
        <v>84</v>
      </c>
      <c r="N670" s="228"/>
      <c r="O670" s="228"/>
      <c r="P670" s="228"/>
      <c r="Q670" s="228"/>
      <c r="R670" s="228"/>
      <c r="S670" s="228"/>
      <c r="T670" s="228"/>
      <c r="U670" s="228"/>
      <c r="V670" s="228"/>
      <c r="W670" s="229"/>
    </row>
    <row r="671" spans="1:24" ht="18.75" customHeight="1">
      <c r="A671" s="222" t="s">
        <v>83</v>
      </c>
      <c r="B671" s="223"/>
      <c r="C671" s="223"/>
      <c r="D671" s="223"/>
      <c r="E671" s="77" t="s">
        <v>39</v>
      </c>
      <c r="F671" s="224">
        <f>'[3]Bang TH nop'!B77</f>
        <v>0</v>
      </c>
      <c r="G671" s="223"/>
      <c r="H671" s="223"/>
      <c r="I671" s="223"/>
      <c r="J671" s="223"/>
      <c r="K671" s="226"/>
      <c r="M671" s="222" t="s">
        <v>83</v>
      </c>
      <c r="N671" s="223"/>
      <c r="O671" s="223"/>
      <c r="P671" s="223"/>
      <c r="Q671" s="77" t="s">
        <v>39</v>
      </c>
      <c r="R671" s="224">
        <f>'[3]Bang TH nop'!B79</f>
        <v>0</v>
      </c>
      <c r="S671" s="223"/>
      <c r="T671" s="223"/>
      <c r="U671" s="223"/>
      <c r="V671" s="223"/>
      <c r="W671" s="226"/>
    </row>
    <row r="672" spans="1:24" ht="18.75" customHeight="1">
      <c r="A672" s="222" t="s">
        <v>82</v>
      </c>
      <c r="B672" s="223"/>
      <c r="C672" s="223"/>
      <c r="D672" s="223"/>
      <c r="E672" s="77" t="s">
        <v>39</v>
      </c>
      <c r="F672" s="224">
        <f>'[3]Bang TH nop'!C77</f>
        <v>0</v>
      </c>
      <c r="G672" s="224"/>
      <c r="H672" s="224"/>
      <c r="I672" s="224"/>
      <c r="J672" s="224"/>
      <c r="K672" s="225"/>
      <c r="M672" s="222" t="s">
        <v>82</v>
      </c>
      <c r="N672" s="223"/>
      <c r="O672" s="223"/>
      <c r="P672" s="223"/>
      <c r="Q672" s="77" t="s">
        <v>39</v>
      </c>
      <c r="R672" s="224">
        <f>'[3]Bang TH nop'!C79</f>
        <v>0</v>
      </c>
      <c r="S672" s="224"/>
      <c r="T672" s="224"/>
      <c r="U672" s="224"/>
      <c r="V672" s="224"/>
      <c r="W672" s="225"/>
    </row>
    <row r="673" spans="1:24" ht="18.75" customHeight="1">
      <c r="A673" s="222" t="s">
        <v>81</v>
      </c>
      <c r="B673" s="223"/>
      <c r="C673" s="223"/>
      <c r="D673" s="223"/>
      <c r="E673" s="77" t="s">
        <v>39</v>
      </c>
      <c r="F673" s="223" t="s">
        <v>80</v>
      </c>
      <c r="G673" s="223"/>
      <c r="H673" s="223"/>
      <c r="I673" s="223"/>
      <c r="J673" s="223"/>
      <c r="K673" s="226"/>
      <c r="M673" s="222" t="s">
        <v>81</v>
      </c>
      <c r="N673" s="223"/>
      <c r="O673" s="223"/>
      <c r="P673" s="223"/>
      <c r="Q673" s="77" t="s">
        <v>39</v>
      </c>
      <c r="R673" s="223" t="s">
        <v>80</v>
      </c>
      <c r="S673" s="223"/>
      <c r="T673" s="223"/>
      <c r="U673" s="223"/>
      <c r="V673" s="223"/>
      <c r="W673" s="226"/>
    </row>
    <row r="674" spans="1:24" ht="18.75" customHeight="1">
      <c r="A674" s="227" t="s">
        <v>79</v>
      </c>
      <c r="B674" s="228"/>
      <c r="C674" s="228"/>
      <c r="D674" s="228"/>
      <c r="E674" s="228"/>
      <c r="F674" s="228"/>
      <c r="G674" s="228"/>
      <c r="H674" s="228"/>
      <c r="I674" s="228"/>
      <c r="J674" s="228"/>
      <c r="K674" s="229"/>
      <c r="M674" s="227" t="s">
        <v>79</v>
      </c>
      <c r="N674" s="228"/>
      <c r="O674" s="228"/>
      <c r="P674" s="228"/>
      <c r="Q674" s="228"/>
      <c r="R674" s="228"/>
      <c r="S674" s="228"/>
      <c r="T674" s="228"/>
      <c r="U674" s="228"/>
      <c r="V674" s="228"/>
      <c r="W674" s="229"/>
    </row>
    <row r="675" spans="1:24" ht="18.75" customHeight="1">
      <c r="A675" s="222" t="s">
        <v>78</v>
      </c>
      <c r="B675" s="223"/>
      <c r="C675" s="223"/>
      <c r="D675" s="223"/>
      <c r="E675" s="77" t="s">
        <v>39</v>
      </c>
      <c r="F675" s="230">
        <v>2915400</v>
      </c>
      <c r="G675" s="230"/>
      <c r="H675" s="230"/>
      <c r="I675" s="230"/>
      <c r="J675" s="77" t="s">
        <v>38</v>
      </c>
      <c r="K675" s="82"/>
      <c r="M675" s="222" t="s">
        <v>78</v>
      </c>
      <c r="N675" s="223"/>
      <c r="O675" s="223"/>
      <c r="P675" s="223"/>
      <c r="Q675" s="77" t="s">
        <v>39</v>
      </c>
      <c r="R675" s="230">
        <v>2915400</v>
      </c>
      <c r="S675" s="230"/>
      <c r="T675" s="230"/>
      <c r="U675" s="230"/>
      <c r="V675" s="77" t="s">
        <v>38</v>
      </c>
      <c r="W675" s="82"/>
    </row>
    <row r="676" spans="1:24" ht="18.75" customHeight="1">
      <c r="A676" s="81" t="s">
        <v>77</v>
      </c>
      <c r="B676" s="77"/>
      <c r="C676" s="80"/>
      <c r="D676" s="79"/>
      <c r="E676" s="78"/>
      <c r="F676" s="78"/>
      <c r="G676" s="78"/>
      <c r="H676" s="77"/>
      <c r="I676" s="76" t="e">
        <f>#REF!</f>
        <v>#REF!</v>
      </c>
      <c r="J676" s="75"/>
      <c r="K676" s="74"/>
      <c r="M676" s="81" t="s">
        <v>77</v>
      </c>
      <c r="N676" s="77"/>
      <c r="O676" s="80"/>
      <c r="P676" s="79"/>
      <c r="Q676" s="78"/>
      <c r="R676" s="78"/>
      <c r="S676" s="78"/>
      <c r="T676" s="77"/>
      <c r="U676" s="76" t="e">
        <f>#REF!</f>
        <v>#REF!</v>
      </c>
      <c r="V676" s="75"/>
      <c r="W676" s="74"/>
    </row>
    <row r="677" spans="1:24" ht="18.75" customHeight="1">
      <c r="A677" s="81" t="s">
        <v>76</v>
      </c>
      <c r="B677" s="77"/>
      <c r="C677" s="80"/>
      <c r="D677" s="79"/>
      <c r="E677" s="78"/>
      <c r="F677" s="78"/>
      <c r="G677" s="78"/>
      <c r="H677" s="77"/>
      <c r="I677" s="76" t="e">
        <f>I678/C678/8</f>
        <v>#REF!</v>
      </c>
      <c r="J677" s="75"/>
      <c r="K677" s="74"/>
      <c r="M677" s="81" t="s">
        <v>76</v>
      </c>
      <c r="N677" s="77"/>
      <c r="O677" s="80"/>
      <c r="P677" s="79"/>
      <c r="Q677" s="78"/>
      <c r="R677" s="78"/>
      <c r="S677" s="78"/>
      <c r="T677" s="77"/>
      <c r="U677" s="76" t="e">
        <f>U678/O678/8</f>
        <v>#REF!</v>
      </c>
      <c r="V677" s="75"/>
      <c r="W677" s="74"/>
    </row>
    <row r="678" spans="1:24" ht="18.75" customHeight="1">
      <c r="A678" s="81" t="s">
        <v>75</v>
      </c>
      <c r="B678" s="77" t="s">
        <v>39</v>
      </c>
      <c r="C678" s="80" t="e">
        <f>#REF!</f>
        <v>#REF!</v>
      </c>
      <c r="D678" s="79" t="s">
        <v>52</v>
      </c>
      <c r="E678" s="249" t="s">
        <v>74</v>
      </c>
      <c r="F678" s="249"/>
      <c r="G678" s="249"/>
      <c r="H678" s="77" t="s">
        <v>39</v>
      </c>
      <c r="I678" s="255" t="e">
        <f>#REF!</f>
        <v>#REF!</v>
      </c>
      <c r="J678" s="255"/>
      <c r="K678" s="74" t="s">
        <v>38</v>
      </c>
      <c r="L678" s="95" t="e">
        <f>F675/L668*C678</f>
        <v>#REF!</v>
      </c>
      <c r="M678" s="81" t="s">
        <v>75</v>
      </c>
      <c r="N678" s="77" t="s">
        <v>39</v>
      </c>
      <c r="O678" s="80" t="e">
        <f>#REF!</f>
        <v>#REF!</v>
      </c>
      <c r="P678" s="79" t="s">
        <v>52</v>
      </c>
      <c r="Q678" s="249" t="s">
        <v>74</v>
      </c>
      <c r="R678" s="249"/>
      <c r="S678" s="249"/>
      <c r="T678" s="77" t="s">
        <v>39</v>
      </c>
      <c r="U678" s="255" t="e">
        <f>#REF!</f>
        <v>#REF!</v>
      </c>
      <c r="V678" s="255"/>
      <c r="W678" s="74" t="s">
        <v>38</v>
      </c>
      <c r="X678" s="95" t="e">
        <f>R675/X668*O678</f>
        <v>#REF!</v>
      </c>
    </row>
    <row r="679" spans="1:24" ht="18.75" customHeight="1">
      <c r="A679" s="81" t="s">
        <v>73</v>
      </c>
      <c r="B679" s="77" t="s">
        <v>39</v>
      </c>
      <c r="C679" s="80" t="e">
        <f>#REF!</f>
        <v>#REF!</v>
      </c>
      <c r="D679" s="79" t="s">
        <v>52</v>
      </c>
      <c r="E679" s="223" t="s">
        <v>72</v>
      </c>
      <c r="F679" s="223"/>
      <c r="G679" s="223"/>
      <c r="H679" s="77" t="s">
        <v>39</v>
      </c>
      <c r="I679" s="247" t="e">
        <f>$F$8/$L$1*C679</f>
        <v>#REF!</v>
      </c>
      <c r="J679" s="247"/>
      <c r="K679" s="74" t="s">
        <v>38</v>
      </c>
      <c r="L679" s="95"/>
      <c r="M679" s="81" t="s">
        <v>73</v>
      </c>
      <c r="N679" s="77" t="s">
        <v>39</v>
      </c>
      <c r="O679" s="80" t="e">
        <f>#REF!</f>
        <v>#REF!</v>
      </c>
      <c r="P679" s="79" t="s">
        <v>52</v>
      </c>
      <c r="Q679" s="223" t="s">
        <v>72</v>
      </c>
      <c r="R679" s="223"/>
      <c r="S679" s="223"/>
      <c r="T679" s="77" t="s">
        <v>39</v>
      </c>
      <c r="U679" s="247" t="e">
        <f>$F$8/$L$1*O679</f>
        <v>#REF!</v>
      </c>
      <c r="V679" s="247"/>
      <c r="W679" s="74" t="s">
        <v>38</v>
      </c>
      <c r="X679" s="95"/>
    </row>
    <row r="680" spans="1:24" ht="18.75" customHeight="1">
      <c r="A680" s="81" t="s">
        <v>71</v>
      </c>
      <c r="B680" s="77" t="s">
        <v>39</v>
      </c>
      <c r="C680" s="80" t="e">
        <f>#REF!</f>
        <v>#REF!</v>
      </c>
      <c r="D680" s="79" t="s">
        <v>52</v>
      </c>
      <c r="E680" s="256" t="s">
        <v>70</v>
      </c>
      <c r="F680" s="256"/>
      <c r="G680" s="256"/>
      <c r="H680" s="77" t="s">
        <v>39</v>
      </c>
      <c r="I680" s="247" t="e">
        <f>$F$8/$L$1*C680</f>
        <v>#REF!</v>
      </c>
      <c r="J680" s="247"/>
      <c r="K680" s="74" t="s">
        <v>38</v>
      </c>
      <c r="L680" s="95"/>
      <c r="M680" s="81" t="s">
        <v>71</v>
      </c>
      <c r="N680" s="77" t="s">
        <v>39</v>
      </c>
      <c r="O680" s="80" t="e">
        <f>#REF!</f>
        <v>#REF!</v>
      </c>
      <c r="P680" s="79" t="s">
        <v>52</v>
      </c>
      <c r="Q680" s="256" t="s">
        <v>70</v>
      </c>
      <c r="R680" s="256"/>
      <c r="S680" s="256"/>
      <c r="T680" s="77" t="s">
        <v>39</v>
      </c>
      <c r="U680" s="247" t="e">
        <f>$F$8/$L$1*O680</f>
        <v>#REF!</v>
      </c>
      <c r="V680" s="247"/>
      <c r="W680" s="74" t="s">
        <v>38</v>
      </c>
      <c r="X680" s="95"/>
    </row>
    <row r="681" spans="1:24" ht="18.75" customHeight="1">
      <c r="A681" s="81" t="s">
        <v>69</v>
      </c>
      <c r="B681" s="77" t="s">
        <v>39</v>
      </c>
      <c r="C681" s="80" t="e">
        <f>#REF!</f>
        <v>#REF!</v>
      </c>
      <c r="D681" s="79" t="s">
        <v>52</v>
      </c>
      <c r="E681" s="256" t="s">
        <v>68</v>
      </c>
      <c r="F681" s="256"/>
      <c r="G681" s="256"/>
      <c r="H681" s="77" t="s">
        <v>39</v>
      </c>
      <c r="I681" s="247" t="e">
        <f>$F$8/$L$1*C681</f>
        <v>#REF!</v>
      </c>
      <c r="J681" s="247"/>
      <c r="K681" s="74" t="s">
        <v>38</v>
      </c>
      <c r="L681" s="95"/>
      <c r="M681" s="81" t="s">
        <v>69</v>
      </c>
      <c r="N681" s="77" t="s">
        <v>39</v>
      </c>
      <c r="O681" s="80" t="e">
        <f>#REF!</f>
        <v>#REF!</v>
      </c>
      <c r="P681" s="79" t="s">
        <v>52</v>
      </c>
      <c r="Q681" s="256" t="s">
        <v>68</v>
      </c>
      <c r="R681" s="256"/>
      <c r="S681" s="256"/>
      <c r="T681" s="77" t="s">
        <v>39</v>
      </c>
      <c r="U681" s="247" t="e">
        <f>$F$8/$L$1*O681</f>
        <v>#REF!</v>
      </c>
      <c r="V681" s="247"/>
      <c r="W681" s="74" t="s">
        <v>38</v>
      </c>
      <c r="X681" s="95"/>
    </row>
    <row r="682" spans="1:24" ht="18.75" customHeight="1">
      <c r="A682" s="81" t="s">
        <v>67</v>
      </c>
      <c r="B682" s="77" t="s">
        <v>39</v>
      </c>
      <c r="C682" s="80" t="e">
        <f>#REF!</f>
        <v>#REF!</v>
      </c>
      <c r="D682" s="79" t="s">
        <v>58</v>
      </c>
      <c r="E682" s="223" t="s">
        <v>66</v>
      </c>
      <c r="F682" s="223"/>
      <c r="G682" s="223"/>
      <c r="H682" s="77" t="s">
        <v>39</v>
      </c>
      <c r="I682" s="247" t="e">
        <f>#REF!</f>
        <v>#REF!</v>
      </c>
      <c r="J682" s="247"/>
      <c r="K682" s="74" t="s">
        <v>38</v>
      </c>
      <c r="L682" s="95" t="e">
        <f>F675*C682/L668/8*1.5</f>
        <v>#REF!</v>
      </c>
      <c r="M682" s="81" t="s">
        <v>67</v>
      </c>
      <c r="N682" s="77" t="s">
        <v>39</v>
      </c>
      <c r="O682" s="80" t="e">
        <f>#REF!</f>
        <v>#REF!</v>
      </c>
      <c r="P682" s="79" t="s">
        <v>58</v>
      </c>
      <c r="Q682" s="223" t="s">
        <v>66</v>
      </c>
      <c r="R682" s="223"/>
      <c r="S682" s="223"/>
      <c r="T682" s="77" t="s">
        <v>39</v>
      </c>
      <c r="U682" s="247" t="e">
        <f>#REF!</f>
        <v>#REF!</v>
      </c>
      <c r="V682" s="247"/>
      <c r="W682" s="74" t="s">
        <v>38</v>
      </c>
      <c r="X682" s="95" t="e">
        <f>R675*O682/X668/8*1.5</f>
        <v>#REF!</v>
      </c>
    </row>
    <row r="683" spans="1:24" ht="18.75" customHeight="1">
      <c r="A683" s="222" t="s">
        <v>65</v>
      </c>
      <c r="B683" s="223"/>
      <c r="C683" s="80"/>
      <c r="D683" s="79" t="s">
        <v>52</v>
      </c>
      <c r="E683" s="223" t="s">
        <v>64</v>
      </c>
      <c r="F683" s="223"/>
      <c r="G683" s="223"/>
      <c r="H683" s="100" t="s">
        <v>39</v>
      </c>
      <c r="I683" s="247"/>
      <c r="J683" s="247"/>
      <c r="K683" s="74" t="s">
        <v>38</v>
      </c>
      <c r="L683" s="95"/>
      <c r="M683" s="222" t="s">
        <v>65</v>
      </c>
      <c r="N683" s="223"/>
      <c r="O683" s="80"/>
      <c r="P683" s="79" t="s">
        <v>52</v>
      </c>
      <c r="Q683" s="223" t="s">
        <v>64</v>
      </c>
      <c r="R683" s="223"/>
      <c r="S683" s="223"/>
      <c r="T683" s="100" t="s">
        <v>39</v>
      </c>
      <c r="U683" s="247"/>
      <c r="V683" s="247"/>
      <c r="W683" s="74" t="s">
        <v>38</v>
      </c>
      <c r="X683" s="95"/>
    </row>
    <row r="684" spans="1:24" ht="18.75" customHeight="1">
      <c r="A684" s="81" t="s">
        <v>63</v>
      </c>
      <c r="B684" s="77" t="s">
        <v>39</v>
      </c>
      <c r="C684" s="80"/>
      <c r="D684" s="79" t="s">
        <v>52</v>
      </c>
      <c r="E684" s="223" t="s">
        <v>62</v>
      </c>
      <c r="F684" s="223"/>
      <c r="G684" s="223"/>
      <c r="H684" s="77" t="s">
        <v>39</v>
      </c>
      <c r="I684" s="247"/>
      <c r="J684" s="247"/>
      <c r="K684" s="74" t="s">
        <v>38</v>
      </c>
      <c r="L684" s="95"/>
      <c r="M684" s="81" t="s">
        <v>63</v>
      </c>
      <c r="N684" s="77" t="s">
        <v>39</v>
      </c>
      <c r="O684" s="80"/>
      <c r="P684" s="79" t="s">
        <v>52</v>
      </c>
      <c r="Q684" s="223" t="s">
        <v>62</v>
      </c>
      <c r="R684" s="223"/>
      <c r="S684" s="223"/>
      <c r="T684" s="77" t="s">
        <v>39</v>
      </c>
      <c r="U684" s="247"/>
      <c r="V684" s="247"/>
      <c r="W684" s="74" t="s">
        <v>38</v>
      </c>
      <c r="X684" s="95"/>
    </row>
    <row r="685" spans="1:24" ht="18.75" customHeight="1">
      <c r="A685" s="99" t="s">
        <v>61</v>
      </c>
      <c r="B685" s="77"/>
      <c r="C685" s="80" t="e">
        <f>#REF!</f>
        <v>#REF!</v>
      </c>
      <c r="D685" s="79" t="s">
        <v>58</v>
      </c>
      <c r="E685" s="223" t="s">
        <v>60</v>
      </c>
      <c r="F685" s="223"/>
      <c r="G685" s="223"/>
      <c r="H685" s="77" t="s">
        <v>39</v>
      </c>
      <c r="I685" s="247" t="e">
        <f>$F$8*C685/8/$L$1</f>
        <v>#REF!</v>
      </c>
      <c r="J685" s="247"/>
      <c r="K685" s="74" t="s">
        <v>38</v>
      </c>
      <c r="L685" s="95"/>
      <c r="M685" s="99" t="s">
        <v>61</v>
      </c>
      <c r="N685" s="77"/>
      <c r="O685" s="80" t="e">
        <f>#REF!</f>
        <v>#REF!</v>
      </c>
      <c r="P685" s="79" t="s">
        <v>58</v>
      </c>
      <c r="Q685" s="223" t="s">
        <v>60</v>
      </c>
      <c r="R685" s="223"/>
      <c r="S685" s="223"/>
      <c r="T685" s="77" t="s">
        <v>39</v>
      </c>
      <c r="U685" s="247" t="e">
        <f>$F$8*O685/8/$L$1</f>
        <v>#REF!</v>
      </c>
      <c r="V685" s="247"/>
      <c r="W685" s="74" t="s">
        <v>38</v>
      </c>
      <c r="X685" s="95"/>
    </row>
    <row r="686" spans="1:24" ht="18.75" customHeight="1">
      <c r="A686" s="81" t="s">
        <v>59</v>
      </c>
      <c r="B686" s="77" t="s">
        <v>39</v>
      </c>
      <c r="C686" s="80"/>
      <c r="D686" s="79" t="s">
        <v>58</v>
      </c>
      <c r="E686" s="223" t="s">
        <v>57</v>
      </c>
      <c r="F686" s="223"/>
      <c r="G686" s="223"/>
      <c r="H686" s="77" t="s">
        <v>39</v>
      </c>
      <c r="I686" s="255"/>
      <c r="J686" s="255"/>
      <c r="K686" s="74" t="s">
        <v>38</v>
      </c>
      <c r="L686" s="95"/>
      <c r="M686" s="81" t="s">
        <v>59</v>
      </c>
      <c r="N686" s="77" t="s">
        <v>39</v>
      </c>
      <c r="O686" s="80"/>
      <c r="P686" s="79" t="s">
        <v>58</v>
      </c>
      <c r="Q686" s="223" t="s">
        <v>57</v>
      </c>
      <c r="R686" s="223"/>
      <c r="S686" s="223"/>
      <c r="T686" s="77" t="s">
        <v>39</v>
      </c>
      <c r="U686" s="255"/>
      <c r="V686" s="255"/>
      <c r="W686" s="74" t="s">
        <v>38</v>
      </c>
      <c r="X686" s="95"/>
    </row>
    <row r="687" spans="1:24" ht="18.75" customHeight="1">
      <c r="A687" s="81" t="s">
        <v>56</v>
      </c>
      <c r="B687" s="77" t="s">
        <v>39</v>
      </c>
      <c r="C687" s="80"/>
      <c r="D687" s="79" t="s">
        <v>55</v>
      </c>
      <c r="E687" s="98" t="s">
        <v>54</v>
      </c>
      <c r="F687" s="98"/>
      <c r="G687" s="98"/>
      <c r="H687" s="77" t="s">
        <v>39</v>
      </c>
      <c r="I687" s="247"/>
      <c r="J687" s="247"/>
      <c r="K687" s="74" t="s">
        <v>38</v>
      </c>
      <c r="L687" s="95" t="e">
        <f>+IF(L678-I678&lt;0,0,L678-I678)+IF(L682-I682&lt;0,0,L682-I682)</f>
        <v>#REF!</v>
      </c>
      <c r="M687" s="81" t="s">
        <v>56</v>
      </c>
      <c r="N687" s="77" t="s">
        <v>39</v>
      </c>
      <c r="O687" s="80"/>
      <c r="P687" s="79" t="s">
        <v>55</v>
      </c>
      <c r="Q687" s="98" t="s">
        <v>54</v>
      </c>
      <c r="R687" s="98"/>
      <c r="S687" s="98"/>
      <c r="T687" s="77" t="s">
        <v>39</v>
      </c>
      <c r="U687" s="247"/>
      <c r="V687" s="247"/>
      <c r="W687" s="74" t="s">
        <v>38</v>
      </c>
      <c r="X687" s="95" t="e">
        <f>+IF(X678-U678&lt;0,0,X678-U678)+IF(X682-U682&lt;0,0,X682-U682)</f>
        <v>#REF!</v>
      </c>
    </row>
    <row r="688" spans="1:24" ht="18.75" customHeight="1">
      <c r="A688" s="97" t="s">
        <v>53</v>
      </c>
      <c r="B688" s="96"/>
      <c r="C688" s="80"/>
      <c r="D688" s="79" t="s">
        <v>52</v>
      </c>
      <c r="E688" s="223" t="s">
        <v>51</v>
      </c>
      <c r="F688" s="223"/>
      <c r="G688" s="223"/>
      <c r="H688" s="77" t="s">
        <v>39</v>
      </c>
      <c r="I688" s="247"/>
      <c r="J688" s="247"/>
      <c r="K688" s="74" t="s">
        <v>38</v>
      </c>
      <c r="L688" s="95"/>
      <c r="M688" s="97" t="s">
        <v>53</v>
      </c>
      <c r="N688" s="96"/>
      <c r="O688" s="80"/>
      <c r="P688" s="79" t="s">
        <v>52</v>
      </c>
      <c r="Q688" s="223" t="s">
        <v>51</v>
      </c>
      <c r="R688" s="223"/>
      <c r="S688" s="223"/>
      <c r="T688" s="77" t="s">
        <v>39</v>
      </c>
      <c r="U688" s="247"/>
      <c r="V688" s="247"/>
      <c r="W688" s="74" t="s">
        <v>38</v>
      </c>
      <c r="X688" s="95"/>
    </row>
    <row r="689" spans="1:24" ht="18.75" customHeight="1">
      <c r="A689" s="248" t="s">
        <v>50</v>
      </c>
      <c r="B689" s="249"/>
      <c r="C689" s="80"/>
      <c r="D689" s="79"/>
      <c r="E689" s="78"/>
      <c r="F689" s="78"/>
      <c r="G689" s="78"/>
      <c r="H689" s="77" t="s">
        <v>39</v>
      </c>
      <c r="I689" s="247" t="e">
        <f>#REF!</f>
        <v>#REF!</v>
      </c>
      <c r="J689" s="247"/>
      <c r="K689" s="74" t="s">
        <v>38</v>
      </c>
      <c r="L689" s="95"/>
      <c r="M689" s="248" t="s">
        <v>50</v>
      </c>
      <c r="N689" s="249"/>
      <c r="O689" s="80"/>
      <c r="P689" s="79"/>
      <c r="Q689" s="78"/>
      <c r="R689" s="78"/>
      <c r="S689" s="78"/>
      <c r="T689" s="77" t="s">
        <v>39</v>
      </c>
      <c r="U689" s="247" t="e">
        <f>#REF!</f>
        <v>#REF!</v>
      </c>
      <c r="V689" s="247"/>
      <c r="W689" s="74" t="s">
        <v>38</v>
      </c>
      <c r="X689" s="95"/>
    </row>
    <row r="690" spans="1:24" ht="18.75" customHeight="1">
      <c r="A690" s="81" t="s">
        <v>49</v>
      </c>
      <c r="B690" s="77" t="s">
        <v>39</v>
      </c>
      <c r="C690" s="80"/>
      <c r="D690" s="79"/>
      <c r="E690" s="78" t="s">
        <v>48</v>
      </c>
      <c r="F690" s="78"/>
      <c r="G690" s="78"/>
      <c r="H690" s="77" t="s">
        <v>39</v>
      </c>
      <c r="I690" s="247" t="e">
        <f>L687</f>
        <v>#REF!</v>
      </c>
      <c r="J690" s="247"/>
      <c r="K690" s="74" t="s">
        <v>38</v>
      </c>
      <c r="L690" s="95"/>
      <c r="M690" s="81" t="s">
        <v>49</v>
      </c>
      <c r="N690" s="77" t="s">
        <v>39</v>
      </c>
      <c r="O690" s="80"/>
      <c r="P690" s="79"/>
      <c r="Q690" s="78" t="s">
        <v>48</v>
      </c>
      <c r="R690" s="78"/>
      <c r="S690" s="78"/>
      <c r="T690" s="77" t="s">
        <v>39</v>
      </c>
      <c r="U690" s="247" t="e">
        <f>X687</f>
        <v>#REF!</v>
      </c>
      <c r="V690" s="247"/>
      <c r="W690" s="74" t="s">
        <v>38</v>
      </c>
      <c r="X690" s="95"/>
    </row>
    <row r="691" spans="1:24" ht="18.75" customHeight="1">
      <c r="A691" s="250" t="s">
        <v>47</v>
      </c>
      <c r="B691" s="251"/>
      <c r="C691" s="251"/>
      <c r="D691" s="251"/>
      <c r="E691" s="251"/>
      <c r="F691" s="251"/>
      <c r="G691" s="77" t="s">
        <v>39</v>
      </c>
      <c r="H691" s="252" t="e">
        <f>I678+I679+I680+I681+I682+I685+I689+I690</f>
        <v>#REF!</v>
      </c>
      <c r="I691" s="252"/>
      <c r="J691" s="252"/>
      <c r="K691" s="74" t="s">
        <v>38</v>
      </c>
      <c r="M691" s="250" t="s">
        <v>47</v>
      </c>
      <c r="N691" s="251"/>
      <c r="O691" s="251"/>
      <c r="P691" s="251"/>
      <c r="Q691" s="251"/>
      <c r="R691" s="251"/>
      <c r="S691" s="77" t="s">
        <v>39</v>
      </c>
      <c r="T691" s="252" t="e">
        <f>U678+U679+U680+U681+U682+U685+U689+U690</f>
        <v>#REF!</v>
      </c>
      <c r="U691" s="252"/>
      <c r="V691" s="252"/>
      <c r="W691" s="74" t="s">
        <v>38</v>
      </c>
    </row>
    <row r="692" spans="1:24" ht="18.75" customHeight="1">
      <c r="A692" s="94"/>
      <c r="B692" s="93"/>
      <c r="C692" s="93"/>
      <c r="D692" s="93"/>
      <c r="E692" s="93"/>
      <c r="F692" s="93"/>
      <c r="G692" s="93"/>
      <c r="H692" s="93"/>
      <c r="I692" s="93"/>
      <c r="J692" s="93"/>
      <c r="K692" s="92"/>
      <c r="M692" s="94"/>
      <c r="N692" s="93"/>
      <c r="O692" s="93"/>
      <c r="P692" s="93"/>
      <c r="Q692" s="93"/>
      <c r="R692" s="93"/>
      <c r="S692" s="93"/>
      <c r="T692" s="93"/>
      <c r="U692" s="93"/>
      <c r="V692" s="93"/>
      <c r="W692" s="92"/>
    </row>
    <row r="693" spans="1:24" ht="18.75" customHeight="1">
      <c r="A693" s="253" t="s">
        <v>46</v>
      </c>
      <c r="B693" s="254"/>
      <c r="C693" s="254"/>
      <c r="D693" s="254"/>
      <c r="E693" s="254"/>
      <c r="F693" s="254"/>
      <c r="G693" s="77"/>
      <c r="H693" s="77"/>
      <c r="I693" s="77"/>
      <c r="J693" s="77"/>
      <c r="K693" s="74"/>
      <c r="M693" s="253" t="s">
        <v>46</v>
      </c>
      <c r="N693" s="254"/>
      <c r="O693" s="254"/>
      <c r="P693" s="254"/>
      <c r="Q693" s="254"/>
      <c r="R693" s="254"/>
      <c r="S693" s="77"/>
      <c r="T693" s="77"/>
      <c r="U693" s="77"/>
      <c r="V693" s="77"/>
      <c r="W693" s="74"/>
    </row>
    <row r="694" spans="1:24" ht="18.75" customHeight="1">
      <c r="A694" s="232" t="s">
        <v>45</v>
      </c>
      <c r="B694" s="233"/>
      <c r="C694" s="233"/>
      <c r="D694" s="233"/>
      <c r="E694" s="233"/>
      <c r="F694" s="233"/>
      <c r="G694" s="77" t="s">
        <v>39</v>
      </c>
      <c r="H694" s="242" t="e">
        <f>IF(($L$1-(C678+C679+C680+C681))&gt;12,0,F675*8%)</f>
        <v>#REF!</v>
      </c>
      <c r="I694" s="242"/>
      <c r="J694" s="242"/>
      <c r="K694" s="74" t="s">
        <v>38</v>
      </c>
      <c r="M694" s="232" t="s">
        <v>45</v>
      </c>
      <c r="N694" s="233"/>
      <c r="O694" s="233"/>
      <c r="P694" s="233"/>
      <c r="Q694" s="233"/>
      <c r="R694" s="233"/>
      <c r="S694" s="77" t="s">
        <v>39</v>
      </c>
      <c r="T694" s="242" t="e">
        <f>IF(($L$1-(O678+O679+O680+O681))&gt;12,0,R675*8%)</f>
        <v>#REF!</v>
      </c>
      <c r="U694" s="242"/>
      <c r="V694" s="242"/>
      <c r="W694" s="74" t="s">
        <v>38</v>
      </c>
    </row>
    <row r="695" spans="1:24" ht="18.75" customHeight="1">
      <c r="A695" s="232" t="s">
        <v>44</v>
      </c>
      <c r="B695" s="233"/>
      <c r="C695" s="233"/>
      <c r="D695" s="233"/>
      <c r="E695" s="233"/>
      <c r="F695" s="233"/>
      <c r="G695" s="77" t="s">
        <v>39</v>
      </c>
      <c r="H695" s="243" t="e">
        <f>IF(($L$1-(C678+C679+C680+C681))&gt;12,0,F675*1.5%)</f>
        <v>#REF!</v>
      </c>
      <c r="I695" s="243"/>
      <c r="J695" s="243"/>
      <c r="K695" s="74" t="s">
        <v>38</v>
      </c>
      <c r="M695" s="232" t="s">
        <v>44</v>
      </c>
      <c r="N695" s="233"/>
      <c r="O695" s="233"/>
      <c r="P695" s="233"/>
      <c r="Q695" s="233"/>
      <c r="R695" s="233"/>
      <c r="S695" s="77" t="s">
        <v>39</v>
      </c>
      <c r="T695" s="243" t="e">
        <f>IF(($L$1-(O678+O679+O680+O681))&gt;12,0,R675*1.5%)</f>
        <v>#REF!</v>
      </c>
      <c r="U695" s="243"/>
      <c r="V695" s="243"/>
      <c r="W695" s="74" t="s">
        <v>38</v>
      </c>
    </row>
    <row r="696" spans="1:24" ht="18.75" customHeight="1">
      <c r="A696" s="232" t="s">
        <v>43</v>
      </c>
      <c r="B696" s="233"/>
      <c r="C696" s="233"/>
      <c r="D696" s="233"/>
      <c r="E696" s="233"/>
      <c r="F696" s="233"/>
      <c r="G696" s="77" t="s">
        <v>39</v>
      </c>
      <c r="H696" s="243" t="e">
        <f>IF(($L$1-(C678+C679+C680+C681))&gt;12,0,F675*1%)</f>
        <v>#REF!</v>
      </c>
      <c r="I696" s="243"/>
      <c r="J696" s="243"/>
      <c r="K696" s="74" t="s">
        <v>38</v>
      </c>
      <c r="M696" s="232" t="s">
        <v>43</v>
      </c>
      <c r="N696" s="233"/>
      <c r="O696" s="233"/>
      <c r="P696" s="233"/>
      <c r="Q696" s="233"/>
      <c r="R696" s="233"/>
      <c r="S696" s="77" t="s">
        <v>39</v>
      </c>
      <c r="T696" s="243" t="e">
        <f>IF(($L$1-(O678+O679+O680+O681))&gt;12,0,R675*1%)</f>
        <v>#REF!</v>
      </c>
      <c r="U696" s="243"/>
      <c r="V696" s="243"/>
      <c r="W696" s="74" t="s">
        <v>38</v>
      </c>
    </row>
    <row r="697" spans="1:24" ht="18.75" customHeight="1">
      <c r="A697" s="232" t="s">
        <v>42</v>
      </c>
      <c r="B697" s="233"/>
      <c r="C697" s="233"/>
      <c r="D697" s="233"/>
      <c r="E697" s="233"/>
      <c r="F697" s="233"/>
      <c r="G697" s="77" t="s">
        <v>39</v>
      </c>
      <c r="H697" s="243">
        <v>0</v>
      </c>
      <c r="I697" s="243"/>
      <c r="J697" s="243"/>
      <c r="K697" s="74" t="s">
        <v>38</v>
      </c>
      <c r="M697" s="232" t="s">
        <v>42</v>
      </c>
      <c r="N697" s="233"/>
      <c r="O697" s="233"/>
      <c r="P697" s="233"/>
      <c r="Q697" s="233"/>
      <c r="R697" s="233"/>
      <c r="S697" s="77" t="s">
        <v>39</v>
      </c>
      <c r="T697" s="243">
        <v>0</v>
      </c>
      <c r="U697" s="243"/>
      <c r="V697" s="243"/>
      <c r="W697" s="74" t="s">
        <v>38</v>
      </c>
    </row>
    <row r="698" spans="1:24" ht="18.75" customHeight="1">
      <c r="A698" s="244" t="s">
        <v>41</v>
      </c>
      <c r="B698" s="245"/>
      <c r="C698" s="245"/>
      <c r="D698" s="245"/>
      <c r="E698" s="245"/>
      <c r="F698" s="245"/>
      <c r="G698" s="77" t="s">
        <v>39</v>
      </c>
      <c r="H698" s="246" t="e">
        <f>SUM(H694:J697)</f>
        <v>#REF!</v>
      </c>
      <c r="I698" s="246"/>
      <c r="J698" s="246"/>
      <c r="K698" s="74" t="s">
        <v>38</v>
      </c>
      <c r="M698" s="244" t="s">
        <v>41</v>
      </c>
      <c r="N698" s="245"/>
      <c r="O698" s="245"/>
      <c r="P698" s="245"/>
      <c r="Q698" s="245"/>
      <c r="R698" s="245"/>
      <c r="S698" s="77" t="s">
        <v>39</v>
      </c>
      <c r="T698" s="246" t="e">
        <f>SUM(T694:V697)</f>
        <v>#REF!</v>
      </c>
      <c r="U698" s="246"/>
      <c r="V698" s="246"/>
      <c r="W698" s="74" t="s">
        <v>38</v>
      </c>
    </row>
    <row r="699" spans="1:24" ht="18.75" customHeight="1">
      <c r="A699" s="232" t="s">
        <v>40</v>
      </c>
      <c r="B699" s="233"/>
      <c r="C699" s="233"/>
      <c r="D699" s="233"/>
      <c r="E699" s="233"/>
      <c r="F699" s="233"/>
      <c r="G699" s="77" t="s">
        <v>39</v>
      </c>
      <c r="H699" s="234" t="e">
        <f>ROUND(H691-H698,-2)</f>
        <v>#REF!</v>
      </c>
      <c r="I699" s="234"/>
      <c r="J699" s="234"/>
      <c r="K699" s="74" t="s">
        <v>38</v>
      </c>
      <c r="M699" s="232" t="s">
        <v>40</v>
      </c>
      <c r="N699" s="233"/>
      <c r="O699" s="233"/>
      <c r="P699" s="233"/>
      <c r="Q699" s="233"/>
      <c r="R699" s="233"/>
      <c r="S699" s="77" t="s">
        <v>39</v>
      </c>
      <c r="T699" s="234" t="e">
        <f>ROUND(T691-T698,-2)</f>
        <v>#REF!</v>
      </c>
      <c r="U699" s="234"/>
      <c r="V699" s="234"/>
      <c r="W699" s="74" t="s">
        <v>38</v>
      </c>
    </row>
    <row r="700" spans="1:24" ht="18.75" customHeight="1">
      <c r="A700" s="91"/>
      <c r="B700" s="90"/>
      <c r="C700" s="90"/>
      <c r="D700" s="90"/>
      <c r="E700" s="90"/>
      <c r="F700" s="90"/>
      <c r="G700" s="90"/>
      <c r="H700" s="90"/>
      <c r="I700" s="90"/>
      <c r="J700" s="90"/>
      <c r="K700" s="89"/>
      <c r="M700" s="91"/>
      <c r="N700" s="90"/>
      <c r="O700" s="90"/>
      <c r="P700" s="90"/>
      <c r="Q700" s="90"/>
      <c r="R700" s="90"/>
      <c r="S700" s="90"/>
      <c r="T700" s="90"/>
      <c r="U700" s="90"/>
      <c r="V700" s="90"/>
      <c r="W700" s="89"/>
    </row>
    <row r="701" spans="1:24" ht="18.75" customHeight="1">
      <c r="A701" s="88"/>
      <c r="B701" s="77"/>
      <c r="C701" s="77"/>
      <c r="D701" s="77"/>
      <c r="E701" s="77"/>
      <c r="F701" s="77"/>
      <c r="G701" s="77"/>
      <c r="H701" s="77"/>
      <c r="I701" s="235" t="s">
        <v>37</v>
      </c>
      <c r="J701" s="235"/>
      <c r="K701" s="236"/>
      <c r="M701" s="88"/>
      <c r="N701" s="77"/>
      <c r="O701" s="77"/>
      <c r="P701" s="77"/>
      <c r="Q701" s="77"/>
      <c r="R701" s="77"/>
      <c r="S701" s="77"/>
      <c r="T701" s="77"/>
      <c r="U701" s="235" t="s">
        <v>37</v>
      </c>
      <c r="V701" s="235"/>
      <c r="W701" s="236"/>
    </row>
    <row r="702" spans="1:24" ht="18.75" customHeight="1">
      <c r="A702" s="88"/>
      <c r="B702" s="235"/>
      <c r="C702" s="235"/>
      <c r="D702" s="235"/>
      <c r="E702" s="235"/>
      <c r="F702" s="77"/>
      <c r="G702" s="77"/>
      <c r="H702" s="77"/>
      <c r="I702" s="77"/>
      <c r="J702" s="77"/>
      <c r="K702" s="82"/>
      <c r="M702" s="88"/>
      <c r="N702" s="235"/>
      <c r="O702" s="235"/>
      <c r="P702" s="235"/>
      <c r="Q702" s="235"/>
      <c r="R702" s="77"/>
      <c r="S702" s="77"/>
      <c r="T702" s="77"/>
      <c r="U702" s="77"/>
      <c r="V702" s="77"/>
      <c r="W702" s="82"/>
    </row>
    <row r="703" spans="1:24" ht="18.75" customHeight="1" thickBot="1">
      <c r="A703" s="87"/>
      <c r="B703" s="86"/>
      <c r="C703" s="86"/>
      <c r="D703" s="86"/>
      <c r="E703" s="86"/>
      <c r="F703" s="86"/>
      <c r="G703" s="86"/>
      <c r="H703" s="86"/>
      <c r="I703" s="237" t="s">
        <v>36</v>
      </c>
      <c r="J703" s="237"/>
      <c r="K703" s="238"/>
      <c r="M703" s="87"/>
      <c r="N703" s="86"/>
      <c r="O703" s="86"/>
      <c r="P703" s="86"/>
      <c r="Q703" s="86"/>
      <c r="R703" s="86"/>
      <c r="S703" s="86"/>
      <c r="T703" s="86"/>
      <c r="U703" s="237" t="s">
        <v>36</v>
      </c>
      <c r="V703" s="237"/>
      <c r="W703" s="238"/>
    </row>
    <row r="705" spans="1:24" ht="18.75" customHeight="1" thickTop="1">
      <c r="A705" s="239" t="s">
        <v>87</v>
      </c>
      <c r="B705" s="240"/>
      <c r="C705" s="240"/>
      <c r="D705" s="240"/>
      <c r="E705" s="240"/>
      <c r="F705" s="240"/>
      <c r="G705" s="240"/>
      <c r="H705" s="240"/>
      <c r="I705" s="240"/>
      <c r="J705" s="240"/>
      <c r="K705" s="241"/>
      <c r="L705" s="72">
        <v>25</v>
      </c>
      <c r="M705" s="239" t="s">
        <v>87</v>
      </c>
      <c r="N705" s="240"/>
      <c r="O705" s="240"/>
      <c r="P705" s="240"/>
      <c r="Q705" s="240"/>
      <c r="R705" s="240"/>
      <c r="S705" s="240"/>
      <c r="T705" s="240"/>
      <c r="U705" s="240"/>
      <c r="V705" s="240"/>
      <c r="W705" s="241"/>
      <c r="X705" s="72">
        <v>25</v>
      </c>
    </row>
    <row r="706" spans="1:24" ht="18.75" customHeight="1">
      <c r="A706" s="85" t="s">
        <v>111</v>
      </c>
      <c r="B706" s="84"/>
      <c r="C706" s="84"/>
      <c r="D706" s="84"/>
      <c r="E706" s="84"/>
      <c r="F706" s="84"/>
      <c r="G706" s="84"/>
      <c r="H706" s="84"/>
      <c r="I706" s="84"/>
      <c r="J706" s="84"/>
      <c r="K706" s="83"/>
      <c r="M706" s="85" t="s">
        <v>110</v>
      </c>
      <c r="N706" s="84"/>
      <c r="O706" s="84"/>
      <c r="P706" s="84"/>
      <c r="Q706" s="84"/>
      <c r="R706" s="84"/>
      <c r="S706" s="84"/>
      <c r="T706" s="84"/>
      <c r="U706" s="84"/>
      <c r="V706" s="84"/>
      <c r="W706" s="83"/>
    </row>
    <row r="707" spans="1:24" ht="18.75" customHeight="1">
      <c r="A707" s="227" t="s">
        <v>84</v>
      </c>
      <c r="B707" s="228"/>
      <c r="C707" s="228"/>
      <c r="D707" s="228"/>
      <c r="E707" s="228"/>
      <c r="F707" s="228"/>
      <c r="G707" s="228"/>
      <c r="H707" s="228"/>
      <c r="I707" s="228"/>
      <c r="J707" s="228"/>
      <c r="K707" s="229"/>
      <c r="M707" s="227" t="s">
        <v>84</v>
      </c>
      <c r="N707" s="228"/>
      <c r="O707" s="228"/>
      <c r="P707" s="228"/>
      <c r="Q707" s="228"/>
      <c r="R707" s="228"/>
      <c r="S707" s="228"/>
      <c r="T707" s="228"/>
      <c r="U707" s="228"/>
      <c r="V707" s="228"/>
      <c r="W707" s="229"/>
    </row>
    <row r="708" spans="1:24" ht="18.75" customHeight="1">
      <c r="A708" s="222" t="s">
        <v>83</v>
      </c>
      <c r="B708" s="223"/>
      <c r="C708" s="223"/>
      <c r="D708" s="223"/>
      <c r="E708" s="77" t="s">
        <v>39</v>
      </c>
      <c r="F708" s="224">
        <f>'[3]Bang TH nop'!B81</f>
        <v>0</v>
      </c>
      <c r="G708" s="223"/>
      <c r="H708" s="223"/>
      <c r="I708" s="223"/>
      <c r="J708" s="223"/>
      <c r="K708" s="226"/>
      <c r="M708" s="222" t="s">
        <v>83</v>
      </c>
      <c r="N708" s="223"/>
      <c r="O708" s="223"/>
      <c r="P708" s="223"/>
      <c r="Q708" s="77" t="s">
        <v>39</v>
      </c>
      <c r="R708" s="224">
        <f>'[3]Bang TH nop'!B83</f>
        <v>0</v>
      </c>
      <c r="S708" s="223"/>
      <c r="T708" s="223"/>
      <c r="U708" s="223"/>
      <c r="V708" s="223"/>
      <c r="W708" s="226"/>
    </row>
    <row r="709" spans="1:24" ht="18.75" customHeight="1">
      <c r="A709" s="222" t="s">
        <v>82</v>
      </c>
      <c r="B709" s="223"/>
      <c r="C709" s="223"/>
      <c r="D709" s="223"/>
      <c r="E709" s="77" t="s">
        <v>39</v>
      </c>
      <c r="F709" s="224">
        <f>'[3]Bang TH nop'!C81</f>
        <v>0</v>
      </c>
      <c r="G709" s="224"/>
      <c r="H709" s="224"/>
      <c r="I709" s="224"/>
      <c r="J709" s="224"/>
      <c r="K709" s="225"/>
      <c r="M709" s="222" t="s">
        <v>82</v>
      </c>
      <c r="N709" s="223"/>
      <c r="O709" s="223"/>
      <c r="P709" s="223"/>
      <c r="Q709" s="77" t="s">
        <v>39</v>
      </c>
      <c r="R709" s="224">
        <f>'[3]Bang TH nop'!C83</f>
        <v>0</v>
      </c>
      <c r="S709" s="224"/>
      <c r="T709" s="224"/>
      <c r="U709" s="224"/>
      <c r="V709" s="224"/>
      <c r="W709" s="225"/>
    </row>
    <row r="710" spans="1:24" ht="18.75" customHeight="1">
      <c r="A710" s="222" t="s">
        <v>81</v>
      </c>
      <c r="B710" s="223"/>
      <c r="C710" s="223"/>
      <c r="D710" s="223"/>
      <c r="E710" s="77" t="s">
        <v>39</v>
      </c>
      <c r="F710" s="223" t="s">
        <v>80</v>
      </c>
      <c r="G710" s="223"/>
      <c r="H710" s="223"/>
      <c r="I710" s="223"/>
      <c r="J710" s="223"/>
      <c r="K710" s="226"/>
      <c r="M710" s="222" t="s">
        <v>81</v>
      </c>
      <c r="N710" s="223"/>
      <c r="O710" s="223"/>
      <c r="P710" s="223"/>
      <c r="Q710" s="77" t="s">
        <v>39</v>
      </c>
      <c r="R710" s="223" t="s">
        <v>80</v>
      </c>
      <c r="S710" s="223"/>
      <c r="T710" s="223"/>
      <c r="U710" s="223"/>
      <c r="V710" s="223"/>
      <c r="W710" s="226"/>
    </row>
    <row r="711" spans="1:24" ht="18.75" customHeight="1">
      <c r="A711" s="227" t="s">
        <v>79</v>
      </c>
      <c r="B711" s="228"/>
      <c r="C711" s="228"/>
      <c r="D711" s="228"/>
      <c r="E711" s="228"/>
      <c r="F711" s="228"/>
      <c r="G711" s="228"/>
      <c r="H711" s="228"/>
      <c r="I711" s="228"/>
      <c r="J711" s="228"/>
      <c r="K711" s="229"/>
      <c r="M711" s="227" t="s">
        <v>79</v>
      </c>
      <c r="N711" s="228"/>
      <c r="O711" s="228"/>
      <c r="P711" s="228"/>
      <c r="Q711" s="228"/>
      <c r="R711" s="228"/>
      <c r="S711" s="228"/>
      <c r="T711" s="228"/>
      <c r="U711" s="228"/>
      <c r="V711" s="228"/>
      <c r="W711" s="229"/>
    </row>
    <row r="712" spans="1:24" ht="18.75" customHeight="1">
      <c r="A712" s="222" t="s">
        <v>78</v>
      </c>
      <c r="B712" s="223"/>
      <c r="C712" s="223"/>
      <c r="D712" s="223"/>
      <c r="E712" s="77" t="s">
        <v>39</v>
      </c>
      <c r="F712" s="230">
        <v>2915400</v>
      </c>
      <c r="G712" s="230"/>
      <c r="H712" s="230"/>
      <c r="I712" s="230"/>
      <c r="J712" s="77" t="s">
        <v>38</v>
      </c>
      <c r="K712" s="82"/>
      <c r="M712" s="222" t="s">
        <v>78</v>
      </c>
      <c r="N712" s="223"/>
      <c r="O712" s="223"/>
      <c r="P712" s="223"/>
      <c r="Q712" s="77" t="s">
        <v>39</v>
      </c>
      <c r="R712" s="230">
        <v>2915400</v>
      </c>
      <c r="S712" s="230"/>
      <c r="T712" s="230"/>
      <c r="U712" s="230"/>
      <c r="V712" s="77" t="s">
        <v>38</v>
      </c>
      <c r="W712" s="82"/>
    </row>
    <row r="713" spans="1:24" ht="18.75" customHeight="1">
      <c r="A713" s="81" t="s">
        <v>77</v>
      </c>
      <c r="B713" s="77"/>
      <c r="C713" s="80"/>
      <c r="D713" s="79"/>
      <c r="E713" s="78"/>
      <c r="F713" s="78"/>
      <c r="G713" s="78"/>
      <c r="H713" s="77"/>
      <c r="I713" s="76" t="e">
        <f>#REF!</f>
        <v>#REF!</v>
      </c>
      <c r="J713" s="75"/>
      <c r="K713" s="74"/>
      <c r="M713" s="81" t="s">
        <v>77</v>
      </c>
      <c r="N713" s="77"/>
      <c r="O713" s="80"/>
      <c r="P713" s="79"/>
      <c r="Q713" s="78"/>
      <c r="R713" s="78"/>
      <c r="S713" s="78"/>
      <c r="T713" s="77"/>
      <c r="U713" s="76" t="e">
        <f>#REF!</f>
        <v>#REF!</v>
      </c>
      <c r="V713" s="75"/>
      <c r="W713" s="74"/>
    </row>
    <row r="714" spans="1:24" ht="18.75" customHeight="1">
      <c r="A714" s="81" t="s">
        <v>76</v>
      </c>
      <c r="B714" s="77"/>
      <c r="C714" s="80"/>
      <c r="D714" s="79"/>
      <c r="E714" s="78"/>
      <c r="F714" s="78"/>
      <c r="G714" s="78"/>
      <c r="H714" s="77"/>
      <c r="I714" s="76" t="e">
        <f>I715/C715/8</f>
        <v>#REF!</v>
      </c>
      <c r="J714" s="75"/>
      <c r="K714" s="74"/>
      <c r="M714" s="81" t="s">
        <v>76</v>
      </c>
      <c r="N714" s="77"/>
      <c r="O714" s="80"/>
      <c r="P714" s="79"/>
      <c r="Q714" s="78"/>
      <c r="R714" s="78"/>
      <c r="S714" s="78"/>
      <c r="T714" s="77"/>
      <c r="U714" s="76" t="e">
        <f>U715/O715/8</f>
        <v>#REF!</v>
      </c>
      <c r="V714" s="75"/>
      <c r="W714" s="74"/>
    </row>
    <row r="715" spans="1:24" ht="18.75" customHeight="1">
      <c r="A715" s="81" t="s">
        <v>75</v>
      </c>
      <c r="B715" s="77" t="s">
        <v>39</v>
      </c>
      <c r="C715" s="80" t="e">
        <f>#REF!</f>
        <v>#REF!</v>
      </c>
      <c r="D715" s="79" t="s">
        <v>52</v>
      </c>
      <c r="E715" s="249" t="s">
        <v>74</v>
      </c>
      <c r="F715" s="249"/>
      <c r="G715" s="249"/>
      <c r="H715" s="77" t="s">
        <v>39</v>
      </c>
      <c r="I715" s="255" t="e">
        <f>#REF!</f>
        <v>#REF!</v>
      </c>
      <c r="J715" s="255"/>
      <c r="K715" s="74" t="s">
        <v>38</v>
      </c>
      <c r="L715" s="95" t="e">
        <f>F712/L705*C715</f>
        <v>#REF!</v>
      </c>
      <c r="M715" s="81" t="s">
        <v>75</v>
      </c>
      <c r="N715" s="77" t="s">
        <v>39</v>
      </c>
      <c r="O715" s="80" t="e">
        <f>#REF!</f>
        <v>#REF!</v>
      </c>
      <c r="P715" s="79" t="s">
        <v>52</v>
      </c>
      <c r="Q715" s="249" t="s">
        <v>74</v>
      </c>
      <c r="R715" s="249"/>
      <c r="S715" s="249"/>
      <c r="T715" s="77" t="s">
        <v>39</v>
      </c>
      <c r="U715" s="255" t="e">
        <f>#REF!</f>
        <v>#REF!</v>
      </c>
      <c r="V715" s="255"/>
      <c r="W715" s="74" t="s">
        <v>38</v>
      </c>
      <c r="X715" s="95" t="e">
        <f>R712/X705*O715</f>
        <v>#REF!</v>
      </c>
    </row>
    <row r="716" spans="1:24" ht="18.75" customHeight="1">
      <c r="A716" s="81" t="s">
        <v>73</v>
      </c>
      <c r="B716" s="77" t="s">
        <v>39</v>
      </c>
      <c r="C716" s="80" t="e">
        <f>#REF!</f>
        <v>#REF!</v>
      </c>
      <c r="D716" s="79" t="s">
        <v>52</v>
      </c>
      <c r="E716" s="223" t="s">
        <v>72</v>
      </c>
      <c r="F716" s="223"/>
      <c r="G716" s="223"/>
      <c r="H716" s="77" t="s">
        <v>39</v>
      </c>
      <c r="I716" s="247" t="e">
        <f>$F$8/$L$1*C716</f>
        <v>#REF!</v>
      </c>
      <c r="J716" s="247"/>
      <c r="K716" s="74" t="s">
        <v>38</v>
      </c>
      <c r="L716" s="95"/>
      <c r="M716" s="81" t="s">
        <v>73</v>
      </c>
      <c r="N716" s="77" t="s">
        <v>39</v>
      </c>
      <c r="O716" s="80" t="e">
        <f>#REF!</f>
        <v>#REF!</v>
      </c>
      <c r="P716" s="79" t="s">
        <v>52</v>
      </c>
      <c r="Q716" s="223" t="s">
        <v>72</v>
      </c>
      <c r="R716" s="223"/>
      <c r="S716" s="223"/>
      <c r="T716" s="77" t="s">
        <v>39</v>
      </c>
      <c r="U716" s="247" t="e">
        <f>$F$8/$L$1*O716</f>
        <v>#REF!</v>
      </c>
      <c r="V716" s="247"/>
      <c r="W716" s="74" t="s">
        <v>38</v>
      </c>
      <c r="X716" s="95"/>
    </row>
    <row r="717" spans="1:24" ht="18.75" customHeight="1">
      <c r="A717" s="81" t="s">
        <v>71</v>
      </c>
      <c r="B717" s="77" t="s">
        <v>39</v>
      </c>
      <c r="C717" s="80" t="e">
        <f>#REF!</f>
        <v>#REF!</v>
      </c>
      <c r="D717" s="79" t="s">
        <v>52</v>
      </c>
      <c r="E717" s="256" t="s">
        <v>70</v>
      </c>
      <c r="F717" s="256"/>
      <c r="G717" s="256"/>
      <c r="H717" s="77" t="s">
        <v>39</v>
      </c>
      <c r="I717" s="247" t="e">
        <f>$F$8/$L$1*C717</f>
        <v>#REF!</v>
      </c>
      <c r="J717" s="247"/>
      <c r="K717" s="74" t="s">
        <v>38</v>
      </c>
      <c r="L717" s="95"/>
      <c r="M717" s="81" t="s">
        <v>71</v>
      </c>
      <c r="N717" s="77" t="s">
        <v>39</v>
      </c>
      <c r="O717" s="80" t="e">
        <f>#REF!</f>
        <v>#REF!</v>
      </c>
      <c r="P717" s="79" t="s">
        <v>52</v>
      </c>
      <c r="Q717" s="256" t="s">
        <v>70</v>
      </c>
      <c r="R717" s="256"/>
      <c r="S717" s="256"/>
      <c r="T717" s="77" t="s">
        <v>39</v>
      </c>
      <c r="U717" s="247" t="e">
        <f>$F$8/$L$1*O717</f>
        <v>#REF!</v>
      </c>
      <c r="V717" s="247"/>
      <c r="W717" s="74" t="s">
        <v>38</v>
      </c>
      <c r="X717" s="95"/>
    </row>
    <row r="718" spans="1:24" ht="18.75" customHeight="1">
      <c r="A718" s="81" t="s">
        <v>69</v>
      </c>
      <c r="B718" s="77" t="s">
        <v>39</v>
      </c>
      <c r="C718" s="80" t="e">
        <f>#REF!</f>
        <v>#REF!</v>
      </c>
      <c r="D718" s="79" t="s">
        <v>52</v>
      </c>
      <c r="E718" s="256" t="s">
        <v>68</v>
      </c>
      <c r="F718" s="256"/>
      <c r="G718" s="256"/>
      <c r="H718" s="77" t="s">
        <v>39</v>
      </c>
      <c r="I718" s="247" t="e">
        <f>$F$8/$L$1*C718</f>
        <v>#REF!</v>
      </c>
      <c r="J718" s="247"/>
      <c r="K718" s="74" t="s">
        <v>38</v>
      </c>
      <c r="L718" s="95"/>
      <c r="M718" s="81" t="s">
        <v>69</v>
      </c>
      <c r="N718" s="77" t="s">
        <v>39</v>
      </c>
      <c r="O718" s="80" t="e">
        <f>#REF!</f>
        <v>#REF!</v>
      </c>
      <c r="P718" s="79" t="s">
        <v>52</v>
      </c>
      <c r="Q718" s="256" t="s">
        <v>68</v>
      </c>
      <c r="R718" s="256"/>
      <c r="S718" s="256"/>
      <c r="T718" s="77" t="s">
        <v>39</v>
      </c>
      <c r="U718" s="247" t="e">
        <f>$F$8/$L$1*O718</f>
        <v>#REF!</v>
      </c>
      <c r="V718" s="247"/>
      <c r="W718" s="74" t="s">
        <v>38</v>
      </c>
      <c r="X718" s="95"/>
    </row>
    <row r="719" spans="1:24" ht="18.75" customHeight="1">
      <c r="A719" s="81" t="s">
        <v>67</v>
      </c>
      <c r="B719" s="77" t="s">
        <v>39</v>
      </c>
      <c r="C719" s="80" t="e">
        <f>#REF!</f>
        <v>#REF!</v>
      </c>
      <c r="D719" s="79" t="s">
        <v>58</v>
      </c>
      <c r="E719" s="223" t="s">
        <v>66</v>
      </c>
      <c r="F719" s="223"/>
      <c r="G719" s="223"/>
      <c r="H719" s="77" t="s">
        <v>39</v>
      </c>
      <c r="I719" s="247" t="e">
        <f>#REF!</f>
        <v>#REF!</v>
      </c>
      <c r="J719" s="247"/>
      <c r="K719" s="74" t="s">
        <v>38</v>
      </c>
      <c r="L719" s="95" t="e">
        <f>F712*C719/L705/8*1.5</f>
        <v>#REF!</v>
      </c>
      <c r="M719" s="81" t="s">
        <v>67</v>
      </c>
      <c r="N719" s="77" t="s">
        <v>39</v>
      </c>
      <c r="O719" s="80" t="e">
        <f>#REF!</f>
        <v>#REF!</v>
      </c>
      <c r="P719" s="79" t="s">
        <v>58</v>
      </c>
      <c r="Q719" s="223" t="s">
        <v>66</v>
      </c>
      <c r="R719" s="223"/>
      <c r="S719" s="223"/>
      <c r="T719" s="77" t="s">
        <v>39</v>
      </c>
      <c r="U719" s="247" t="e">
        <f>#REF!</f>
        <v>#REF!</v>
      </c>
      <c r="V719" s="247"/>
      <c r="W719" s="74" t="s">
        <v>38</v>
      </c>
      <c r="X719" s="95" t="e">
        <f>R712*O719/X705/8*1.5</f>
        <v>#REF!</v>
      </c>
    </row>
    <row r="720" spans="1:24" ht="18.75" customHeight="1">
      <c r="A720" s="222" t="s">
        <v>65</v>
      </c>
      <c r="B720" s="223"/>
      <c r="C720" s="80"/>
      <c r="D720" s="79" t="s">
        <v>52</v>
      </c>
      <c r="E720" s="223" t="s">
        <v>64</v>
      </c>
      <c r="F720" s="223"/>
      <c r="G720" s="223"/>
      <c r="H720" s="100" t="s">
        <v>39</v>
      </c>
      <c r="I720" s="247"/>
      <c r="J720" s="247"/>
      <c r="K720" s="74" t="s">
        <v>38</v>
      </c>
      <c r="L720" s="95"/>
      <c r="M720" s="222" t="s">
        <v>65</v>
      </c>
      <c r="N720" s="223"/>
      <c r="O720" s="80"/>
      <c r="P720" s="79" t="s">
        <v>52</v>
      </c>
      <c r="Q720" s="223" t="s">
        <v>64</v>
      </c>
      <c r="R720" s="223"/>
      <c r="S720" s="223"/>
      <c r="T720" s="100" t="s">
        <v>39</v>
      </c>
      <c r="U720" s="247"/>
      <c r="V720" s="247"/>
      <c r="W720" s="74" t="s">
        <v>38</v>
      </c>
      <c r="X720" s="95"/>
    </row>
    <row r="721" spans="1:24" ht="18.75" customHeight="1">
      <c r="A721" s="81" t="s">
        <v>63</v>
      </c>
      <c r="B721" s="77" t="s">
        <v>39</v>
      </c>
      <c r="C721" s="80"/>
      <c r="D721" s="79" t="s">
        <v>52</v>
      </c>
      <c r="E721" s="223" t="s">
        <v>62</v>
      </c>
      <c r="F721" s="223"/>
      <c r="G721" s="223"/>
      <c r="H721" s="77" t="s">
        <v>39</v>
      </c>
      <c r="I721" s="247"/>
      <c r="J721" s="247"/>
      <c r="K721" s="74" t="s">
        <v>38</v>
      </c>
      <c r="L721" s="95"/>
      <c r="M721" s="81" t="s">
        <v>63</v>
      </c>
      <c r="N721" s="77" t="s">
        <v>39</v>
      </c>
      <c r="O721" s="80"/>
      <c r="P721" s="79" t="s">
        <v>52</v>
      </c>
      <c r="Q721" s="223" t="s">
        <v>62</v>
      </c>
      <c r="R721" s="223"/>
      <c r="S721" s="223"/>
      <c r="T721" s="77" t="s">
        <v>39</v>
      </c>
      <c r="U721" s="247"/>
      <c r="V721" s="247"/>
      <c r="W721" s="74" t="s">
        <v>38</v>
      </c>
      <c r="X721" s="95"/>
    </row>
    <row r="722" spans="1:24" ht="18.75" customHeight="1">
      <c r="A722" s="99" t="s">
        <v>61</v>
      </c>
      <c r="B722" s="77"/>
      <c r="C722" s="80" t="e">
        <f>#REF!</f>
        <v>#REF!</v>
      </c>
      <c r="D722" s="79" t="s">
        <v>58</v>
      </c>
      <c r="E722" s="223" t="s">
        <v>60</v>
      </c>
      <c r="F722" s="223"/>
      <c r="G722" s="223"/>
      <c r="H722" s="77" t="s">
        <v>39</v>
      </c>
      <c r="I722" s="247" t="e">
        <f>$F$8*C722/8/$L$1</f>
        <v>#REF!</v>
      </c>
      <c r="J722" s="247"/>
      <c r="K722" s="74" t="s">
        <v>38</v>
      </c>
      <c r="L722" s="95"/>
      <c r="M722" s="99" t="s">
        <v>61</v>
      </c>
      <c r="N722" s="77"/>
      <c r="O722" s="80" t="e">
        <f>#REF!</f>
        <v>#REF!</v>
      </c>
      <c r="P722" s="79" t="s">
        <v>58</v>
      </c>
      <c r="Q722" s="223" t="s">
        <v>60</v>
      </c>
      <c r="R722" s="223"/>
      <c r="S722" s="223"/>
      <c r="T722" s="77" t="s">
        <v>39</v>
      </c>
      <c r="U722" s="247" t="e">
        <f>$F$8*O722/8/$L$1</f>
        <v>#REF!</v>
      </c>
      <c r="V722" s="247"/>
      <c r="W722" s="74" t="s">
        <v>38</v>
      </c>
      <c r="X722" s="95"/>
    </row>
    <row r="723" spans="1:24" ht="18.75" customHeight="1">
      <c r="A723" s="81" t="s">
        <v>59</v>
      </c>
      <c r="B723" s="77" t="s">
        <v>39</v>
      </c>
      <c r="C723" s="80"/>
      <c r="D723" s="79" t="s">
        <v>58</v>
      </c>
      <c r="E723" s="223" t="s">
        <v>57</v>
      </c>
      <c r="F723" s="223"/>
      <c r="G723" s="223"/>
      <c r="H723" s="77" t="s">
        <v>39</v>
      </c>
      <c r="I723" s="255"/>
      <c r="J723" s="255"/>
      <c r="K723" s="74" t="s">
        <v>38</v>
      </c>
      <c r="L723" s="95"/>
      <c r="M723" s="81" t="s">
        <v>59</v>
      </c>
      <c r="N723" s="77" t="s">
        <v>39</v>
      </c>
      <c r="O723" s="80"/>
      <c r="P723" s="79" t="s">
        <v>58</v>
      </c>
      <c r="Q723" s="223" t="s">
        <v>57</v>
      </c>
      <c r="R723" s="223"/>
      <c r="S723" s="223"/>
      <c r="T723" s="77" t="s">
        <v>39</v>
      </c>
      <c r="U723" s="255"/>
      <c r="V723" s="255"/>
      <c r="W723" s="74" t="s">
        <v>38</v>
      </c>
      <c r="X723" s="95"/>
    </row>
    <row r="724" spans="1:24" ht="18.75" customHeight="1">
      <c r="A724" s="81" t="s">
        <v>56</v>
      </c>
      <c r="B724" s="77" t="s">
        <v>39</v>
      </c>
      <c r="C724" s="80"/>
      <c r="D724" s="79" t="s">
        <v>55</v>
      </c>
      <c r="E724" s="98" t="s">
        <v>54</v>
      </c>
      <c r="F724" s="98"/>
      <c r="G724" s="98"/>
      <c r="H724" s="77" t="s">
        <v>39</v>
      </c>
      <c r="I724" s="247"/>
      <c r="J724" s="247"/>
      <c r="K724" s="74" t="s">
        <v>38</v>
      </c>
      <c r="L724" s="95" t="e">
        <f>+IF(L715-I715&lt;0,0,L715-I715)+IF(L719-I719&lt;0,0,L719-I719)</f>
        <v>#REF!</v>
      </c>
      <c r="M724" s="81" t="s">
        <v>56</v>
      </c>
      <c r="N724" s="77" t="s">
        <v>39</v>
      </c>
      <c r="O724" s="80"/>
      <c r="P724" s="79" t="s">
        <v>55</v>
      </c>
      <c r="Q724" s="98" t="s">
        <v>54</v>
      </c>
      <c r="R724" s="98"/>
      <c r="S724" s="98"/>
      <c r="T724" s="77" t="s">
        <v>39</v>
      </c>
      <c r="U724" s="247"/>
      <c r="V724" s="247"/>
      <c r="W724" s="74" t="s">
        <v>38</v>
      </c>
      <c r="X724" s="95" t="e">
        <f>+IF(X715-U715&lt;0,0,X715-U715)+IF(X719-U719&lt;0,0,X719-U719)</f>
        <v>#REF!</v>
      </c>
    </row>
    <row r="725" spans="1:24" ht="18.75" customHeight="1">
      <c r="A725" s="97" t="s">
        <v>53</v>
      </c>
      <c r="B725" s="96"/>
      <c r="C725" s="80"/>
      <c r="D725" s="79" t="s">
        <v>52</v>
      </c>
      <c r="E725" s="223" t="s">
        <v>51</v>
      </c>
      <c r="F725" s="223"/>
      <c r="G725" s="223"/>
      <c r="H725" s="77" t="s">
        <v>39</v>
      </c>
      <c r="I725" s="247"/>
      <c r="J725" s="247"/>
      <c r="K725" s="74" t="s">
        <v>38</v>
      </c>
      <c r="L725" s="95"/>
      <c r="M725" s="97" t="s">
        <v>53</v>
      </c>
      <c r="N725" s="96"/>
      <c r="O725" s="80"/>
      <c r="P725" s="79" t="s">
        <v>52</v>
      </c>
      <c r="Q725" s="223" t="s">
        <v>51</v>
      </c>
      <c r="R725" s="223"/>
      <c r="S725" s="223"/>
      <c r="T725" s="77" t="s">
        <v>39</v>
      </c>
      <c r="U725" s="247"/>
      <c r="V725" s="247"/>
      <c r="W725" s="74" t="s">
        <v>38</v>
      </c>
      <c r="X725" s="95"/>
    </row>
    <row r="726" spans="1:24" ht="18.75" customHeight="1">
      <c r="A726" s="248" t="s">
        <v>50</v>
      </c>
      <c r="B726" s="249"/>
      <c r="C726" s="80"/>
      <c r="D726" s="79"/>
      <c r="E726" s="78"/>
      <c r="F726" s="78"/>
      <c r="G726" s="78"/>
      <c r="H726" s="77" t="s">
        <v>39</v>
      </c>
      <c r="I726" s="247" t="e">
        <f>#REF!</f>
        <v>#REF!</v>
      </c>
      <c r="J726" s="247"/>
      <c r="K726" s="74" t="s">
        <v>38</v>
      </c>
      <c r="L726" s="95"/>
      <c r="M726" s="248" t="s">
        <v>50</v>
      </c>
      <c r="N726" s="249"/>
      <c r="O726" s="80"/>
      <c r="P726" s="79"/>
      <c r="Q726" s="78"/>
      <c r="R726" s="78"/>
      <c r="S726" s="78"/>
      <c r="T726" s="77" t="s">
        <v>39</v>
      </c>
      <c r="U726" s="247" t="e">
        <f>#REF!</f>
        <v>#REF!</v>
      </c>
      <c r="V726" s="247"/>
      <c r="W726" s="74" t="s">
        <v>38</v>
      </c>
      <c r="X726" s="95"/>
    </row>
    <row r="727" spans="1:24" ht="18.75" customHeight="1">
      <c r="A727" s="81" t="s">
        <v>49</v>
      </c>
      <c r="B727" s="77" t="s">
        <v>39</v>
      </c>
      <c r="C727" s="80"/>
      <c r="D727" s="79"/>
      <c r="E727" s="78" t="s">
        <v>48</v>
      </c>
      <c r="F727" s="78"/>
      <c r="G727" s="78"/>
      <c r="H727" s="77" t="s">
        <v>39</v>
      </c>
      <c r="I727" s="247" t="e">
        <f>L724</f>
        <v>#REF!</v>
      </c>
      <c r="J727" s="247"/>
      <c r="K727" s="74" t="s">
        <v>38</v>
      </c>
      <c r="L727" s="95"/>
      <c r="M727" s="81" t="s">
        <v>49</v>
      </c>
      <c r="N727" s="77" t="s">
        <v>39</v>
      </c>
      <c r="O727" s="80"/>
      <c r="P727" s="79"/>
      <c r="Q727" s="78" t="s">
        <v>48</v>
      </c>
      <c r="R727" s="78"/>
      <c r="S727" s="78"/>
      <c r="T727" s="77" t="s">
        <v>39</v>
      </c>
      <c r="U727" s="247" t="e">
        <f>X724</f>
        <v>#REF!</v>
      </c>
      <c r="V727" s="247"/>
      <c r="W727" s="74" t="s">
        <v>38</v>
      </c>
      <c r="X727" s="95"/>
    </row>
    <row r="728" spans="1:24" ht="18.75" customHeight="1">
      <c r="A728" s="250" t="s">
        <v>47</v>
      </c>
      <c r="B728" s="251"/>
      <c r="C728" s="251"/>
      <c r="D728" s="251"/>
      <c r="E728" s="251"/>
      <c r="F728" s="251"/>
      <c r="G728" s="77" t="s">
        <v>39</v>
      </c>
      <c r="H728" s="252" t="e">
        <f>I715+I716+I717+I718+I719+I722+I726+I727</f>
        <v>#REF!</v>
      </c>
      <c r="I728" s="252"/>
      <c r="J728" s="252"/>
      <c r="K728" s="74" t="s">
        <v>38</v>
      </c>
      <c r="M728" s="250" t="s">
        <v>47</v>
      </c>
      <c r="N728" s="251"/>
      <c r="O728" s="251"/>
      <c r="P728" s="251"/>
      <c r="Q728" s="251"/>
      <c r="R728" s="251"/>
      <c r="S728" s="77" t="s">
        <v>39</v>
      </c>
      <c r="T728" s="252" t="e">
        <f>U715+U716+U717+U718+U719+U722+U726+U727</f>
        <v>#REF!</v>
      </c>
      <c r="U728" s="252"/>
      <c r="V728" s="252"/>
      <c r="W728" s="74" t="s">
        <v>38</v>
      </c>
    </row>
    <row r="729" spans="1:24" ht="18.75" customHeight="1">
      <c r="A729" s="94"/>
      <c r="B729" s="93"/>
      <c r="C729" s="93"/>
      <c r="D729" s="93"/>
      <c r="E729" s="93"/>
      <c r="F729" s="93"/>
      <c r="G729" s="93"/>
      <c r="H729" s="93"/>
      <c r="I729" s="93"/>
      <c r="J729" s="93"/>
      <c r="K729" s="92"/>
      <c r="M729" s="94"/>
      <c r="N729" s="93"/>
      <c r="O729" s="93"/>
      <c r="P729" s="93"/>
      <c r="Q729" s="93"/>
      <c r="R729" s="93"/>
      <c r="S729" s="93"/>
      <c r="T729" s="93"/>
      <c r="U729" s="93"/>
      <c r="V729" s="93"/>
      <c r="W729" s="92"/>
    </row>
    <row r="730" spans="1:24" ht="18.75" customHeight="1">
      <c r="A730" s="253" t="s">
        <v>46</v>
      </c>
      <c r="B730" s="254"/>
      <c r="C730" s="254"/>
      <c r="D730" s="254"/>
      <c r="E730" s="254"/>
      <c r="F730" s="254"/>
      <c r="G730" s="77"/>
      <c r="H730" s="77"/>
      <c r="I730" s="77"/>
      <c r="J730" s="77"/>
      <c r="K730" s="74"/>
      <c r="M730" s="253" t="s">
        <v>46</v>
      </c>
      <c r="N730" s="254"/>
      <c r="O730" s="254"/>
      <c r="P730" s="254"/>
      <c r="Q730" s="254"/>
      <c r="R730" s="254"/>
      <c r="S730" s="77"/>
      <c r="T730" s="77"/>
      <c r="U730" s="77"/>
      <c r="V730" s="77"/>
      <c r="W730" s="74"/>
    </row>
    <row r="731" spans="1:24" ht="18.75" customHeight="1">
      <c r="A731" s="232" t="s">
        <v>45</v>
      </c>
      <c r="B731" s="233"/>
      <c r="C731" s="233"/>
      <c r="D731" s="233"/>
      <c r="E731" s="233"/>
      <c r="F731" s="233"/>
      <c r="G731" s="77" t="s">
        <v>39</v>
      </c>
      <c r="H731" s="242" t="e">
        <f>IF(($L$1-(C715+C716+C717+C718))&gt;12,0,F712*8%)</f>
        <v>#REF!</v>
      </c>
      <c r="I731" s="242"/>
      <c r="J731" s="242"/>
      <c r="K731" s="74" t="s">
        <v>38</v>
      </c>
      <c r="M731" s="232" t="s">
        <v>45</v>
      </c>
      <c r="N731" s="233"/>
      <c r="O731" s="233"/>
      <c r="P731" s="233"/>
      <c r="Q731" s="233"/>
      <c r="R731" s="233"/>
      <c r="S731" s="77" t="s">
        <v>39</v>
      </c>
      <c r="T731" s="242" t="e">
        <f>IF(($L$1-(O715+O716+O717+O718))&gt;12,0,R712*8%)</f>
        <v>#REF!</v>
      </c>
      <c r="U731" s="242"/>
      <c r="V731" s="242"/>
      <c r="W731" s="74" t="s">
        <v>38</v>
      </c>
    </row>
    <row r="732" spans="1:24" ht="18.75" customHeight="1">
      <c r="A732" s="232" t="s">
        <v>44</v>
      </c>
      <c r="B732" s="233"/>
      <c r="C732" s="233"/>
      <c r="D732" s="233"/>
      <c r="E732" s="233"/>
      <c r="F732" s="233"/>
      <c r="G732" s="77" t="s">
        <v>39</v>
      </c>
      <c r="H732" s="243" t="e">
        <f>IF(($L$1-(C715+C716+C717+C718))&gt;12,0,F712*1.5%)</f>
        <v>#REF!</v>
      </c>
      <c r="I732" s="243"/>
      <c r="J732" s="243"/>
      <c r="K732" s="74" t="s">
        <v>38</v>
      </c>
      <c r="M732" s="232" t="s">
        <v>44</v>
      </c>
      <c r="N732" s="233"/>
      <c r="O732" s="233"/>
      <c r="P732" s="233"/>
      <c r="Q732" s="233"/>
      <c r="R732" s="233"/>
      <c r="S732" s="77" t="s">
        <v>39</v>
      </c>
      <c r="T732" s="243" t="e">
        <f>IF(($L$1-(O715+O716+O717+O718))&gt;12,0,R712*1.5%)</f>
        <v>#REF!</v>
      </c>
      <c r="U732" s="243"/>
      <c r="V732" s="243"/>
      <c r="W732" s="74" t="s">
        <v>38</v>
      </c>
    </row>
    <row r="733" spans="1:24" ht="18.75" customHeight="1">
      <c r="A733" s="232" t="s">
        <v>43</v>
      </c>
      <c r="B733" s="233"/>
      <c r="C733" s="233"/>
      <c r="D733" s="233"/>
      <c r="E733" s="233"/>
      <c r="F733" s="233"/>
      <c r="G733" s="77" t="s">
        <v>39</v>
      </c>
      <c r="H733" s="243" t="e">
        <f>IF(($L$1-(C715+C716+C717+C718))&gt;12,0,F712*1%)</f>
        <v>#REF!</v>
      </c>
      <c r="I733" s="243"/>
      <c r="J733" s="243"/>
      <c r="K733" s="74" t="s">
        <v>38</v>
      </c>
      <c r="M733" s="232" t="s">
        <v>43</v>
      </c>
      <c r="N733" s="233"/>
      <c r="O733" s="233"/>
      <c r="P733" s="233"/>
      <c r="Q733" s="233"/>
      <c r="R733" s="233"/>
      <c r="S733" s="77" t="s">
        <v>39</v>
      </c>
      <c r="T733" s="243" t="e">
        <f>IF(($L$1-(O715+O716+O717+O718))&gt;12,0,R712*1%)</f>
        <v>#REF!</v>
      </c>
      <c r="U733" s="243"/>
      <c r="V733" s="243"/>
      <c r="W733" s="74" t="s">
        <v>38</v>
      </c>
    </row>
    <row r="734" spans="1:24" ht="18.75" customHeight="1">
      <c r="A734" s="232" t="s">
        <v>42</v>
      </c>
      <c r="B734" s="233"/>
      <c r="C734" s="233"/>
      <c r="D734" s="233"/>
      <c r="E734" s="233"/>
      <c r="F734" s="233"/>
      <c r="G734" s="77" t="s">
        <v>39</v>
      </c>
      <c r="H734" s="243">
        <v>0</v>
      </c>
      <c r="I734" s="243"/>
      <c r="J734" s="243"/>
      <c r="K734" s="74" t="s">
        <v>38</v>
      </c>
      <c r="M734" s="232" t="s">
        <v>42</v>
      </c>
      <c r="N734" s="233"/>
      <c r="O734" s="233"/>
      <c r="P734" s="233"/>
      <c r="Q734" s="233"/>
      <c r="R734" s="233"/>
      <c r="S734" s="77" t="s">
        <v>39</v>
      </c>
      <c r="T734" s="243">
        <v>0</v>
      </c>
      <c r="U734" s="243"/>
      <c r="V734" s="243"/>
      <c r="W734" s="74" t="s">
        <v>38</v>
      </c>
    </row>
    <row r="735" spans="1:24" ht="18.75" customHeight="1">
      <c r="A735" s="244" t="s">
        <v>41</v>
      </c>
      <c r="B735" s="245"/>
      <c r="C735" s="245"/>
      <c r="D735" s="245"/>
      <c r="E735" s="245"/>
      <c r="F735" s="245"/>
      <c r="G735" s="77" t="s">
        <v>39</v>
      </c>
      <c r="H735" s="246" t="e">
        <f>SUM(H731:J734)</f>
        <v>#REF!</v>
      </c>
      <c r="I735" s="246"/>
      <c r="J735" s="246"/>
      <c r="K735" s="74" t="s">
        <v>38</v>
      </c>
      <c r="M735" s="244" t="s">
        <v>41</v>
      </c>
      <c r="N735" s="245"/>
      <c r="O735" s="245"/>
      <c r="P735" s="245"/>
      <c r="Q735" s="245"/>
      <c r="R735" s="245"/>
      <c r="S735" s="77" t="s">
        <v>39</v>
      </c>
      <c r="T735" s="246" t="e">
        <f>SUM(T731:V734)</f>
        <v>#REF!</v>
      </c>
      <c r="U735" s="246"/>
      <c r="V735" s="246"/>
      <c r="W735" s="74" t="s">
        <v>38</v>
      </c>
    </row>
    <row r="736" spans="1:24" ht="18.75" customHeight="1">
      <c r="A736" s="232" t="s">
        <v>40</v>
      </c>
      <c r="B736" s="233"/>
      <c r="C736" s="233"/>
      <c r="D736" s="233"/>
      <c r="E736" s="233"/>
      <c r="F736" s="233"/>
      <c r="G736" s="77" t="s">
        <v>39</v>
      </c>
      <c r="H736" s="234" t="e">
        <f>ROUND(H728-H735,-2)</f>
        <v>#REF!</v>
      </c>
      <c r="I736" s="234"/>
      <c r="J736" s="234"/>
      <c r="K736" s="74" t="s">
        <v>38</v>
      </c>
      <c r="M736" s="232" t="s">
        <v>40</v>
      </c>
      <c r="N736" s="233"/>
      <c r="O736" s="233"/>
      <c r="P736" s="233"/>
      <c r="Q736" s="233"/>
      <c r="R736" s="233"/>
      <c r="S736" s="77" t="s">
        <v>39</v>
      </c>
      <c r="T736" s="234" t="e">
        <f>ROUND(T728-T735,-2)</f>
        <v>#REF!</v>
      </c>
      <c r="U736" s="234"/>
      <c r="V736" s="234"/>
      <c r="W736" s="74" t="s">
        <v>38</v>
      </c>
    </row>
    <row r="737" spans="1:24" ht="18.75" customHeight="1">
      <c r="A737" s="91"/>
      <c r="B737" s="90"/>
      <c r="C737" s="90"/>
      <c r="D737" s="90"/>
      <c r="E737" s="90"/>
      <c r="F737" s="90"/>
      <c r="G737" s="90"/>
      <c r="H737" s="90"/>
      <c r="I737" s="90"/>
      <c r="J737" s="90"/>
      <c r="K737" s="89"/>
      <c r="M737" s="91"/>
      <c r="N737" s="90"/>
      <c r="O737" s="90"/>
      <c r="P737" s="90"/>
      <c r="Q737" s="90"/>
      <c r="R737" s="90"/>
      <c r="S737" s="90"/>
      <c r="T737" s="90"/>
      <c r="U737" s="90"/>
      <c r="V737" s="90"/>
      <c r="W737" s="89"/>
    </row>
    <row r="738" spans="1:24" ht="18.75" customHeight="1">
      <c r="A738" s="88"/>
      <c r="B738" s="77"/>
      <c r="C738" s="77"/>
      <c r="D738" s="77"/>
      <c r="E738" s="77"/>
      <c r="F738" s="77"/>
      <c r="G738" s="77"/>
      <c r="H738" s="77"/>
      <c r="I738" s="235" t="s">
        <v>37</v>
      </c>
      <c r="J738" s="235"/>
      <c r="K738" s="236"/>
      <c r="M738" s="88"/>
      <c r="N738" s="77"/>
      <c r="O738" s="77"/>
      <c r="P738" s="77"/>
      <c r="Q738" s="77"/>
      <c r="R738" s="77"/>
      <c r="S738" s="77"/>
      <c r="T738" s="77"/>
      <c r="U738" s="235" t="s">
        <v>37</v>
      </c>
      <c r="V738" s="235"/>
      <c r="W738" s="236"/>
    </row>
    <row r="739" spans="1:24" ht="18.75" customHeight="1">
      <c r="A739" s="88"/>
      <c r="B739" s="235"/>
      <c r="C739" s="235"/>
      <c r="D739" s="235"/>
      <c r="E739" s="235"/>
      <c r="F739" s="77"/>
      <c r="G739" s="77"/>
      <c r="H739" s="77"/>
      <c r="I739" s="77"/>
      <c r="J739" s="77"/>
      <c r="K739" s="82"/>
      <c r="M739" s="88"/>
      <c r="N739" s="235"/>
      <c r="O739" s="235"/>
      <c r="P739" s="235"/>
      <c r="Q739" s="235"/>
      <c r="R739" s="77"/>
      <c r="S739" s="77"/>
      <c r="T739" s="77"/>
      <c r="U739" s="77"/>
      <c r="V739" s="77"/>
      <c r="W739" s="82"/>
    </row>
    <row r="740" spans="1:24" ht="18.75" customHeight="1" thickBot="1">
      <c r="A740" s="87"/>
      <c r="B740" s="86"/>
      <c r="C740" s="86"/>
      <c r="D740" s="86"/>
      <c r="E740" s="86"/>
      <c r="F740" s="86"/>
      <c r="G740" s="86"/>
      <c r="H740" s="86"/>
      <c r="I740" s="237" t="s">
        <v>36</v>
      </c>
      <c r="J740" s="237"/>
      <c r="K740" s="238"/>
      <c r="M740" s="87"/>
      <c r="N740" s="86"/>
      <c r="O740" s="86"/>
      <c r="P740" s="86"/>
      <c r="Q740" s="86"/>
      <c r="R740" s="86"/>
      <c r="S740" s="86"/>
      <c r="T740" s="86"/>
      <c r="U740" s="237" t="s">
        <v>36</v>
      </c>
      <c r="V740" s="237"/>
      <c r="W740" s="238"/>
    </row>
    <row r="742" spans="1:24" ht="18.75" customHeight="1" thickTop="1">
      <c r="A742" s="239" t="s">
        <v>87</v>
      </c>
      <c r="B742" s="240"/>
      <c r="C742" s="240"/>
      <c r="D742" s="240"/>
      <c r="E742" s="240"/>
      <c r="F742" s="240"/>
      <c r="G742" s="240"/>
      <c r="H742" s="240"/>
      <c r="I742" s="240"/>
      <c r="J742" s="240"/>
      <c r="K742" s="241"/>
      <c r="L742" s="72">
        <v>25</v>
      </c>
      <c r="M742" s="239" t="s">
        <v>87</v>
      </c>
      <c r="N742" s="240"/>
      <c r="O742" s="240"/>
      <c r="P742" s="240"/>
      <c r="Q742" s="240"/>
      <c r="R742" s="240"/>
      <c r="S742" s="240"/>
      <c r="T742" s="240"/>
      <c r="U742" s="240"/>
      <c r="V742" s="240"/>
      <c r="W742" s="241"/>
      <c r="X742" s="72">
        <v>25</v>
      </c>
    </row>
    <row r="743" spans="1:24" ht="18.75" customHeight="1">
      <c r="A743" s="85" t="s">
        <v>109</v>
      </c>
      <c r="B743" s="84"/>
      <c r="C743" s="84"/>
      <c r="D743" s="84"/>
      <c r="E743" s="84"/>
      <c r="F743" s="84"/>
      <c r="G743" s="84"/>
      <c r="H743" s="84"/>
      <c r="I743" s="84"/>
      <c r="J743" s="84"/>
      <c r="K743" s="83"/>
      <c r="M743" s="85" t="s">
        <v>108</v>
      </c>
      <c r="N743" s="84"/>
      <c r="O743" s="84"/>
      <c r="P743" s="84"/>
      <c r="Q743" s="84"/>
      <c r="R743" s="84"/>
      <c r="S743" s="84"/>
      <c r="T743" s="84"/>
      <c r="U743" s="84"/>
      <c r="V743" s="84"/>
      <c r="W743" s="83"/>
    </row>
    <row r="744" spans="1:24" ht="18.75" customHeight="1">
      <c r="A744" s="227" t="s">
        <v>84</v>
      </c>
      <c r="B744" s="228"/>
      <c r="C744" s="228"/>
      <c r="D744" s="228"/>
      <c r="E744" s="228"/>
      <c r="F744" s="228"/>
      <c r="G744" s="228"/>
      <c r="H744" s="228"/>
      <c r="I744" s="228"/>
      <c r="J744" s="228"/>
      <c r="K744" s="229"/>
      <c r="M744" s="227" t="s">
        <v>84</v>
      </c>
      <c r="N744" s="228"/>
      <c r="O744" s="228"/>
      <c r="P744" s="228"/>
      <c r="Q744" s="228"/>
      <c r="R744" s="228"/>
      <c r="S744" s="228"/>
      <c r="T744" s="228"/>
      <c r="U744" s="228"/>
      <c r="V744" s="228"/>
      <c r="W744" s="229"/>
    </row>
    <row r="745" spans="1:24" ht="18.75" customHeight="1">
      <c r="A745" s="222" t="s">
        <v>83</v>
      </c>
      <c r="B745" s="223"/>
      <c r="C745" s="223"/>
      <c r="D745" s="223"/>
      <c r="E745" s="77" t="s">
        <v>39</v>
      </c>
      <c r="F745" s="224">
        <f>'[3]Bang TH nop'!B85</f>
        <v>0</v>
      </c>
      <c r="G745" s="223"/>
      <c r="H745" s="223"/>
      <c r="I745" s="223"/>
      <c r="J745" s="223"/>
      <c r="K745" s="226"/>
      <c r="M745" s="222" t="s">
        <v>83</v>
      </c>
      <c r="N745" s="223"/>
      <c r="O745" s="223"/>
      <c r="P745" s="223"/>
      <c r="Q745" s="77" t="s">
        <v>39</v>
      </c>
      <c r="R745" s="224">
        <f>'[3]Bang TH nop'!B87</f>
        <v>0</v>
      </c>
      <c r="S745" s="223"/>
      <c r="T745" s="223"/>
      <c r="U745" s="223"/>
      <c r="V745" s="223"/>
      <c r="W745" s="226"/>
    </row>
    <row r="746" spans="1:24" ht="18.75" customHeight="1">
      <c r="A746" s="222" t="s">
        <v>82</v>
      </c>
      <c r="B746" s="223"/>
      <c r="C746" s="223"/>
      <c r="D746" s="223"/>
      <c r="E746" s="77" t="s">
        <v>39</v>
      </c>
      <c r="F746" s="224">
        <f>'[3]Bang TH nop'!C85</f>
        <v>0</v>
      </c>
      <c r="G746" s="224"/>
      <c r="H746" s="224"/>
      <c r="I746" s="224"/>
      <c r="J746" s="224"/>
      <c r="K746" s="225"/>
      <c r="M746" s="222" t="s">
        <v>82</v>
      </c>
      <c r="N746" s="223"/>
      <c r="O746" s="223"/>
      <c r="P746" s="223"/>
      <c r="Q746" s="77" t="s">
        <v>39</v>
      </c>
      <c r="R746" s="224">
        <f>'[3]Bang TH nop'!C87</f>
        <v>0</v>
      </c>
      <c r="S746" s="224"/>
      <c r="T746" s="224"/>
      <c r="U746" s="224"/>
      <c r="V746" s="224"/>
      <c r="W746" s="225"/>
    </row>
    <row r="747" spans="1:24" ht="18.75" customHeight="1">
      <c r="A747" s="222" t="s">
        <v>81</v>
      </c>
      <c r="B747" s="223"/>
      <c r="C747" s="223"/>
      <c r="D747" s="223"/>
      <c r="E747" s="77" t="s">
        <v>39</v>
      </c>
      <c r="F747" s="223" t="s">
        <v>80</v>
      </c>
      <c r="G747" s="223"/>
      <c r="H747" s="223"/>
      <c r="I747" s="223"/>
      <c r="J747" s="223"/>
      <c r="K747" s="226"/>
      <c r="M747" s="222" t="s">
        <v>81</v>
      </c>
      <c r="N747" s="223"/>
      <c r="O747" s="223"/>
      <c r="P747" s="223"/>
      <c r="Q747" s="77" t="s">
        <v>39</v>
      </c>
      <c r="R747" s="223" t="s">
        <v>80</v>
      </c>
      <c r="S747" s="223"/>
      <c r="T747" s="223"/>
      <c r="U747" s="223"/>
      <c r="V747" s="223"/>
      <c r="W747" s="226"/>
    </row>
    <row r="748" spans="1:24" ht="18.75" customHeight="1">
      <c r="A748" s="227" t="s">
        <v>79</v>
      </c>
      <c r="B748" s="228"/>
      <c r="C748" s="228"/>
      <c r="D748" s="228"/>
      <c r="E748" s="228"/>
      <c r="F748" s="228"/>
      <c r="G748" s="228"/>
      <c r="H748" s="228"/>
      <c r="I748" s="228"/>
      <c r="J748" s="228"/>
      <c r="K748" s="229"/>
      <c r="M748" s="227" t="s">
        <v>79</v>
      </c>
      <c r="N748" s="228"/>
      <c r="O748" s="228"/>
      <c r="P748" s="228"/>
      <c r="Q748" s="228"/>
      <c r="R748" s="228"/>
      <c r="S748" s="228"/>
      <c r="T748" s="228"/>
      <c r="U748" s="228"/>
      <c r="V748" s="228"/>
      <c r="W748" s="229"/>
    </row>
    <row r="749" spans="1:24" ht="18.75" customHeight="1">
      <c r="A749" s="222" t="s">
        <v>78</v>
      </c>
      <c r="B749" s="223"/>
      <c r="C749" s="223"/>
      <c r="D749" s="223"/>
      <c r="E749" s="77" t="s">
        <v>39</v>
      </c>
      <c r="F749" s="230">
        <v>2915400</v>
      </c>
      <c r="G749" s="230"/>
      <c r="H749" s="230"/>
      <c r="I749" s="230"/>
      <c r="J749" s="77" t="s">
        <v>38</v>
      </c>
      <c r="K749" s="82"/>
      <c r="M749" s="222" t="s">
        <v>78</v>
      </c>
      <c r="N749" s="223"/>
      <c r="O749" s="223"/>
      <c r="P749" s="223"/>
      <c r="Q749" s="77" t="s">
        <v>39</v>
      </c>
      <c r="R749" s="230">
        <v>2915400</v>
      </c>
      <c r="S749" s="230"/>
      <c r="T749" s="230"/>
      <c r="U749" s="230"/>
      <c r="V749" s="77" t="s">
        <v>38</v>
      </c>
      <c r="W749" s="82"/>
    </row>
    <row r="750" spans="1:24" ht="18.75" customHeight="1">
      <c r="A750" s="81" t="s">
        <v>77</v>
      </c>
      <c r="B750" s="77"/>
      <c r="C750" s="80"/>
      <c r="D750" s="79"/>
      <c r="E750" s="78"/>
      <c r="F750" s="78"/>
      <c r="G750" s="78"/>
      <c r="H750" s="77"/>
      <c r="I750" s="76" t="e">
        <f>#REF!</f>
        <v>#REF!</v>
      </c>
      <c r="J750" s="75"/>
      <c r="K750" s="74"/>
      <c r="M750" s="81" t="s">
        <v>77</v>
      </c>
      <c r="N750" s="77"/>
      <c r="O750" s="80"/>
      <c r="P750" s="79"/>
      <c r="Q750" s="78"/>
      <c r="R750" s="78"/>
      <c r="S750" s="78"/>
      <c r="T750" s="77"/>
      <c r="U750" s="76" t="e">
        <f>#REF!</f>
        <v>#REF!</v>
      </c>
      <c r="V750" s="75"/>
      <c r="W750" s="74"/>
    </row>
    <row r="751" spans="1:24" ht="18.75" customHeight="1">
      <c r="A751" s="81" t="s">
        <v>76</v>
      </c>
      <c r="B751" s="77"/>
      <c r="C751" s="80"/>
      <c r="D751" s="79"/>
      <c r="E751" s="78"/>
      <c r="F751" s="78"/>
      <c r="G751" s="78"/>
      <c r="H751" s="77"/>
      <c r="I751" s="76" t="e">
        <f>I752/C752/8</f>
        <v>#REF!</v>
      </c>
      <c r="J751" s="75"/>
      <c r="K751" s="74"/>
      <c r="M751" s="81" t="s">
        <v>76</v>
      </c>
      <c r="N751" s="77"/>
      <c r="O751" s="80"/>
      <c r="P751" s="79"/>
      <c r="Q751" s="78"/>
      <c r="R751" s="78"/>
      <c r="S751" s="78"/>
      <c r="T751" s="77"/>
      <c r="U751" s="76" t="e">
        <f>U752/O752/8</f>
        <v>#REF!</v>
      </c>
      <c r="V751" s="75"/>
      <c r="W751" s="74"/>
    </row>
    <row r="752" spans="1:24" ht="18.75" customHeight="1">
      <c r="A752" s="81" t="s">
        <v>75</v>
      </c>
      <c r="B752" s="77" t="s">
        <v>39</v>
      </c>
      <c r="C752" s="80" t="e">
        <f>#REF!</f>
        <v>#REF!</v>
      </c>
      <c r="D752" s="79" t="s">
        <v>52</v>
      </c>
      <c r="E752" s="249" t="s">
        <v>74</v>
      </c>
      <c r="F752" s="249"/>
      <c r="G752" s="249"/>
      <c r="H752" s="77" t="s">
        <v>39</v>
      </c>
      <c r="I752" s="255" t="e">
        <f>#REF!</f>
        <v>#REF!</v>
      </c>
      <c r="J752" s="255"/>
      <c r="K752" s="74" t="s">
        <v>38</v>
      </c>
      <c r="L752" s="95" t="e">
        <f>F749/L742*C752</f>
        <v>#REF!</v>
      </c>
      <c r="M752" s="81" t="s">
        <v>75</v>
      </c>
      <c r="N752" s="77" t="s">
        <v>39</v>
      </c>
      <c r="O752" s="80" t="e">
        <f>#REF!</f>
        <v>#REF!</v>
      </c>
      <c r="P752" s="79" t="s">
        <v>52</v>
      </c>
      <c r="Q752" s="249" t="s">
        <v>74</v>
      </c>
      <c r="R752" s="249"/>
      <c r="S752" s="249"/>
      <c r="T752" s="77" t="s">
        <v>39</v>
      </c>
      <c r="U752" s="255" t="e">
        <f>#REF!</f>
        <v>#REF!</v>
      </c>
      <c r="V752" s="255"/>
      <c r="W752" s="74" t="s">
        <v>38</v>
      </c>
      <c r="X752" s="95" t="e">
        <f>R749/X742*O752</f>
        <v>#REF!</v>
      </c>
    </row>
    <row r="753" spans="1:24" ht="18.75" customHeight="1">
      <c r="A753" s="81" t="s">
        <v>73</v>
      </c>
      <c r="B753" s="77" t="s">
        <v>39</v>
      </c>
      <c r="C753" s="80" t="e">
        <f>#REF!</f>
        <v>#REF!</v>
      </c>
      <c r="D753" s="79" t="s">
        <v>52</v>
      </c>
      <c r="E753" s="223" t="s">
        <v>72</v>
      </c>
      <c r="F753" s="223"/>
      <c r="G753" s="223"/>
      <c r="H753" s="77" t="s">
        <v>39</v>
      </c>
      <c r="I753" s="247" t="e">
        <f>$F$8/$L$1*C753</f>
        <v>#REF!</v>
      </c>
      <c r="J753" s="247"/>
      <c r="K753" s="74" t="s">
        <v>38</v>
      </c>
      <c r="L753" s="95"/>
      <c r="M753" s="81" t="s">
        <v>73</v>
      </c>
      <c r="N753" s="77" t="s">
        <v>39</v>
      </c>
      <c r="O753" s="80" t="e">
        <f>#REF!</f>
        <v>#REF!</v>
      </c>
      <c r="P753" s="79" t="s">
        <v>52</v>
      </c>
      <c r="Q753" s="223" t="s">
        <v>72</v>
      </c>
      <c r="R753" s="223"/>
      <c r="S753" s="223"/>
      <c r="T753" s="77" t="s">
        <v>39</v>
      </c>
      <c r="U753" s="247" t="e">
        <f>$F$8/$L$1*O753</f>
        <v>#REF!</v>
      </c>
      <c r="V753" s="247"/>
      <c r="W753" s="74" t="s">
        <v>38</v>
      </c>
      <c r="X753" s="95"/>
    </row>
    <row r="754" spans="1:24" ht="18.75" customHeight="1">
      <c r="A754" s="81" t="s">
        <v>71</v>
      </c>
      <c r="B754" s="77" t="s">
        <v>39</v>
      </c>
      <c r="C754" s="80" t="e">
        <f>#REF!</f>
        <v>#REF!</v>
      </c>
      <c r="D754" s="79" t="s">
        <v>52</v>
      </c>
      <c r="E754" s="256" t="s">
        <v>70</v>
      </c>
      <c r="F754" s="256"/>
      <c r="G754" s="256"/>
      <c r="H754" s="77" t="s">
        <v>39</v>
      </c>
      <c r="I754" s="247" t="e">
        <f>$F$8/$L$1*C754</f>
        <v>#REF!</v>
      </c>
      <c r="J754" s="247"/>
      <c r="K754" s="74" t="s">
        <v>38</v>
      </c>
      <c r="L754" s="95"/>
      <c r="M754" s="81" t="s">
        <v>71</v>
      </c>
      <c r="N754" s="77" t="s">
        <v>39</v>
      </c>
      <c r="O754" s="80" t="e">
        <f>#REF!</f>
        <v>#REF!</v>
      </c>
      <c r="P754" s="79" t="s">
        <v>52</v>
      </c>
      <c r="Q754" s="256" t="s">
        <v>70</v>
      </c>
      <c r="R754" s="256"/>
      <c r="S754" s="256"/>
      <c r="T754" s="77" t="s">
        <v>39</v>
      </c>
      <c r="U754" s="247" t="e">
        <f>$F$8/$L$1*O754</f>
        <v>#REF!</v>
      </c>
      <c r="V754" s="247"/>
      <c r="W754" s="74" t="s">
        <v>38</v>
      </c>
      <c r="X754" s="95"/>
    </row>
    <row r="755" spans="1:24" ht="18.75" customHeight="1">
      <c r="A755" s="81" t="s">
        <v>69</v>
      </c>
      <c r="B755" s="77" t="s">
        <v>39</v>
      </c>
      <c r="C755" s="80" t="e">
        <f>#REF!</f>
        <v>#REF!</v>
      </c>
      <c r="D755" s="79" t="s">
        <v>52</v>
      </c>
      <c r="E755" s="256" t="s">
        <v>68</v>
      </c>
      <c r="F755" s="256"/>
      <c r="G755" s="256"/>
      <c r="H755" s="77" t="s">
        <v>39</v>
      </c>
      <c r="I755" s="247" t="e">
        <f>$F$8/$L$1*C755</f>
        <v>#REF!</v>
      </c>
      <c r="J755" s="247"/>
      <c r="K755" s="74" t="s">
        <v>38</v>
      </c>
      <c r="L755" s="95"/>
      <c r="M755" s="81" t="s">
        <v>69</v>
      </c>
      <c r="N755" s="77" t="s">
        <v>39</v>
      </c>
      <c r="O755" s="80" t="e">
        <f>#REF!</f>
        <v>#REF!</v>
      </c>
      <c r="P755" s="79" t="s">
        <v>52</v>
      </c>
      <c r="Q755" s="256" t="s">
        <v>68</v>
      </c>
      <c r="R755" s="256"/>
      <c r="S755" s="256"/>
      <c r="T755" s="77" t="s">
        <v>39</v>
      </c>
      <c r="U755" s="247" t="e">
        <f>$F$8/$L$1*O755</f>
        <v>#REF!</v>
      </c>
      <c r="V755" s="247"/>
      <c r="W755" s="74" t="s">
        <v>38</v>
      </c>
      <c r="X755" s="95"/>
    </row>
    <row r="756" spans="1:24" ht="18.75" customHeight="1">
      <c r="A756" s="81" t="s">
        <v>67</v>
      </c>
      <c r="B756" s="77" t="s">
        <v>39</v>
      </c>
      <c r="C756" s="80" t="e">
        <f>#REF!</f>
        <v>#REF!</v>
      </c>
      <c r="D756" s="79" t="s">
        <v>58</v>
      </c>
      <c r="E756" s="223" t="s">
        <v>66</v>
      </c>
      <c r="F756" s="223"/>
      <c r="G756" s="223"/>
      <c r="H756" s="77" t="s">
        <v>39</v>
      </c>
      <c r="I756" s="247" t="e">
        <f>#REF!</f>
        <v>#REF!</v>
      </c>
      <c r="J756" s="247"/>
      <c r="K756" s="74" t="s">
        <v>38</v>
      </c>
      <c r="L756" s="95" t="e">
        <f>F749*C756/L742/8*1.5</f>
        <v>#REF!</v>
      </c>
      <c r="M756" s="81" t="s">
        <v>67</v>
      </c>
      <c r="N756" s="77" t="s">
        <v>39</v>
      </c>
      <c r="O756" s="80" t="e">
        <f>#REF!</f>
        <v>#REF!</v>
      </c>
      <c r="P756" s="79" t="s">
        <v>58</v>
      </c>
      <c r="Q756" s="223" t="s">
        <v>66</v>
      </c>
      <c r="R756" s="223"/>
      <c r="S756" s="223"/>
      <c r="T756" s="77" t="s">
        <v>39</v>
      </c>
      <c r="U756" s="247" t="e">
        <f>#REF!</f>
        <v>#REF!</v>
      </c>
      <c r="V756" s="247"/>
      <c r="W756" s="74" t="s">
        <v>38</v>
      </c>
      <c r="X756" s="95" t="e">
        <f>R749*O756/X742/8*1.5</f>
        <v>#REF!</v>
      </c>
    </row>
    <row r="757" spans="1:24" ht="18.75" customHeight="1">
      <c r="A757" s="222" t="s">
        <v>65</v>
      </c>
      <c r="B757" s="223"/>
      <c r="C757" s="80"/>
      <c r="D757" s="79" t="s">
        <v>52</v>
      </c>
      <c r="E757" s="223" t="s">
        <v>64</v>
      </c>
      <c r="F757" s="223"/>
      <c r="G757" s="223"/>
      <c r="H757" s="100" t="s">
        <v>39</v>
      </c>
      <c r="I757" s="247"/>
      <c r="J757" s="247"/>
      <c r="K757" s="74" t="s">
        <v>38</v>
      </c>
      <c r="L757" s="95"/>
      <c r="M757" s="222" t="s">
        <v>65</v>
      </c>
      <c r="N757" s="223"/>
      <c r="O757" s="80"/>
      <c r="P757" s="79" t="s">
        <v>52</v>
      </c>
      <c r="Q757" s="223" t="s">
        <v>64</v>
      </c>
      <c r="R757" s="223"/>
      <c r="S757" s="223"/>
      <c r="T757" s="100" t="s">
        <v>39</v>
      </c>
      <c r="U757" s="247"/>
      <c r="V757" s="247"/>
      <c r="W757" s="74" t="s">
        <v>38</v>
      </c>
      <c r="X757" s="95"/>
    </row>
    <row r="758" spans="1:24" ht="18.75" customHeight="1">
      <c r="A758" s="81" t="s">
        <v>63</v>
      </c>
      <c r="B758" s="77" t="s">
        <v>39</v>
      </c>
      <c r="C758" s="80"/>
      <c r="D758" s="79" t="s">
        <v>52</v>
      </c>
      <c r="E758" s="223" t="s">
        <v>62</v>
      </c>
      <c r="F758" s="223"/>
      <c r="G758" s="223"/>
      <c r="H758" s="77" t="s">
        <v>39</v>
      </c>
      <c r="I758" s="247"/>
      <c r="J758" s="247"/>
      <c r="K758" s="74" t="s">
        <v>38</v>
      </c>
      <c r="L758" s="95"/>
      <c r="M758" s="81" t="s">
        <v>63</v>
      </c>
      <c r="N758" s="77" t="s">
        <v>39</v>
      </c>
      <c r="O758" s="80"/>
      <c r="P758" s="79" t="s">
        <v>52</v>
      </c>
      <c r="Q758" s="223" t="s">
        <v>62</v>
      </c>
      <c r="R758" s="223"/>
      <c r="S758" s="223"/>
      <c r="T758" s="77" t="s">
        <v>39</v>
      </c>
      <c r="U758" s="247"/>
      <c r="V758" s="247"/>
      <c r="W758" s="74" t="s">
        <v>38</v>
      </c>
      <c r="X758" s="95"/>
    </row>
    <row r="759" spans="1:24" ht="18.75" customHeight="1">
      <c r="A759" s="99" t="s">
        <v>61</v>
      </c>
      <c r="B759" s="77"/>
      <c r="C759" s="80" t="e">
        <f>#REF!</f>
        <v>#REF!</v>
      </c>
      <c r="D759" s="79" t="s">
        <v>58</v>
      </c>
      <c r="E759" s="223" t="s">
        <v>60</v>
      </c>
      <c r="F759" s="223"/>
      <c r="G759" s="223"/>
      <c r="H759" s="77" t="s">
        <v>39</v>
      </c>
      <c r="I759" s="247" t="e">
        <f>$F$8*C759/8/$L$1</f>
        <v>#REF!</v>
      </c>
      <c r="J759" s="247"/>
      <c r="K759" s="74" t="s">
        <v>38</v>
      </c>
      <c r="L759" s="95"/>
      <c r="M759" s="99" t="s">
        <v>61</v>
      </c>
      <c r="N759" s="77"/>
      <c r="O759" s="80" t="e">
        <f>#REF!</f>
        <v>#REF!</v>
      </c>
      <c r="P759" s="79" t="s">
        <v>58</v>
      </c>
      <c r="Q759" s="223" t="s">
        <v>60</v>
      </c>
      <c r="R759" s="223"/>
      <c r="S759" s="223"/>
      <c r="T759" s="77" t="s">
        <v>39</v>
      </c>
      <c r="U759" s="247" t="e">
        <f>$F$8*O759/8/$L$1</f>
        <v>#REF!</v>
      </c>
      <c r="V759" s="247"/>
      <c r="W759" s="74" t="s">
        <v>38</v>
      </c>
      <c r="X759" s="95"/>
    </row>
    <row r="760" spans="1:24" ht="18.75" customHeight="1">
      <c r="A760" s="81" t="s">
        <v>59</v>
      </c>
      <c r="B760" s="77" t="s">
        <v>39</v>
      </c>
      <c r="C760" s="80"/>
      <c r="D760" s="79" t="s">
        <v>58</v>
      </c>
      <c r="E760" s="223" t="s">
        <v>57</v>
      </c>
      <c r="F760" s="223"/>
      <c r="G760" s="223"/>
      <c r="H760" s="77" t="s">
        <v>39</v>
      </c>
      <c r="I760" s="255"/>
      <c r="J760" s="255"/>
      <c r="K760" s="74" t="s">
        <v>38</v>
      </c>
      <c r="L760" s="95"/>
      <c r="M760" s="81" t="s">
        <v>59</v>
      </c>
      <c r="N760" s="77" t="s">
        <v>39</v>
      </c>
      <c r="O760" s="80"/>
      <c r="P760" s="79" t="s">
        <v>58</v>
      </c>
      <c r="Q760" s="223" t="s">
        <v>57</v>
      </c>
      <c r="R760" s="223"/>
      <c r="S760" s="223"/>
      <c r="T760" s="77" t="s">
        <v>39</v>
      </c>
      <c r="U760" s="255"/>
      <c r="V760" s="255"/>
      <c r="W760" s="74" t="s">
        <v>38</v>
      </c>
      <c r="X760" s="95"/>
    </row>
    <row r="761" spans="1:24" ht="18.75" customHeight="1">
      <c r="A761" s="81" t="s">
        <v>56</v>
      </c>
      <c r="B761" s="77" t="s">
        <v>39</v>
      </c>
      <c r="C761" s="80"/>
      <c r="D761" s="79" t="s">
        <v>55</v>
      </c>
      <c r="E761" s="98" t="s">
        <v>54</v>
      </c>
      <c r="F761" s="98"/>
      <c r="G761" s="98"/>
      <c r="H761" s="77" t="s">
        <v>39</v>
      </c>
      <c r="I761" s="247"/>
      <c r="J761" s="247"/>
      <c r="K761" s="74" t="s">
        <v>38</v>
      </c>
      <c r="L761" s="95" t="e">
        <f>+IF(L752-I752&lt;0,0,L752-I752)+IF(L756-I756&lt;0,0,L756-I756)</f>
        <v>#REF!</v>
      </c>
      <c r="M761" s="81" t="s">
        <v>56</v>
      </c>
      <c r="N761" s="77" t="s">
        <v>39</v>
      </c>
      <c r="O761" s="80"/>
      <c r="P761" s="79" t="s">
        <v>55</v>
      </c>
      <c r="Q761" s="98" t="s">
        <v>54</v>
      </c>
      <c r="R761" s="98"/>
      <c r="S761" s="98"/>
      <c r="T761" s="77" t="s">
        <v>39</v>
      </c>
      <c r="U761" s="247"/>
      <c r="V761" s="247"/>
      <c r="W761" s="74" t="s">
        <v>38</v>
      </c>
      <c r="X761" s="95" t="e">
        <f>+IF(X752-U752&lt;0,0,X752-U752)+IF(X756-U756&lt;0,0,X756-U756)</f>
        <v>#REF!</v>
      </c>
    </row>
    <row r="762" spans="1:24" ht="18.75" customHeight="1">
      <c r="A762" s="97" t="s">
        <v>53</v>
      </c>
      <c r="B762" s="96"/>
      <c r="C762" s="80"/>
      <c r="D762" s="79" t="s">
        <v>52</v>
      </c>
      <c r="E762" s="223" t="s">
        <v>51</v>
      </c>
      <c r="F762" s="223"/>
      <c r="G762" s="223"/>
      <c r="H762" s="77" t="s">
        <v>39</v>
      </c>
      <c r="I762" s="247"/>
      <c r="J762" s="247"/>
      <c r="K762" s="74" t="s">
        <v>38</v>
      </c>
      <c r="L762" s="95"/>
      <c r="M762" s="97" t="s">
        <v>53</v>
      </c>
      <c r="N762" s="96"/>
      <c r="O762" s="80"/>
      <c r="P762" s="79" t="s">
        <v>52</v>
      </c>
      <c r="Q762" s="223" t="s">
        <v>51</v>
      </c>
      <c r="R762" s="223"/>
      <c r="S762" s="223"/>
      <c r="T762" s="77" t="s">
        <v>39</v>
      </c>
      <c r="U762" s="247"/>
      <c r="V762" s="247"/>
      <c r="W762" s="74" t="s">
        <v>38</v>
      </c>
      <c r="X762" s="95"/>
    </row>
    <row r="763" spans="1:24" ht="18.75" customHeight="1">
      <c r="A763" s="248" t="s">
        <v>50</v>
      </c>
      <c r="B763" s="249"/>
      <c r="C763" s="80"/>
      <c r="D763" s="79"/>
      <c r="E763" s="78"/>
      <c r="F763" s="78"/>
      <c r="G763" s="78"/>
      <c r="H763" s="77" t="s">
        <v>39</v>
      </c>
      <c r="I763" s="247" t="e">
        <f>#REF!</f>
        <v>#REF!</v>
      </c>
      <c r="J763" s="247"/>
      <c r="K763" s="74" t="s">
        <v>38</v>
      </c>
      <c r="L763" s="95"/>
      <c r="M763" s="248" t="s">
        <v>50</v>
      </c>
      <c r="N763" s="249"/>
      <c r="O763" s="80"/>
      <c r="P763" s="79"/>
      <c r="Q763" s="78"/>
      <c r="R763" s="78"/>
      <c r="S763" s="78"/>
      <c r="T763" s="77" t="s">
        <v>39</v>
      </c>
      <c r="U763" s="247" t="e">
        <f>#REF!</f>
        <v>#REF!</v>
      </c>
      <c r="V763" s="247"/>
      <c r="W763" s="74" t="s">
        <v>38</v>
      </c>
      <c r="X763" s="95"/>
    </row>
    <row r="764" spans="1:24" ht="18.75" customHeight="1">
      <c r="A764" s="81" t="s">
        <v>49</v>
      </c>
      <c r="B764" s="77" t="s">
        <v>39</v>
      </c>
      <c r="C764" s="80"/>
      <c r="D764" s="79"/>
      <c r="E764" s="78" t="s">
        <v>48</v>
      </c>
      <c r="F764" s="78"/>
      <c r="G764" s="78"/>
      <c r="H764" s="77" t="s">
        <v>39</v>
      </c>
      <c r="I764" s="247" t="e">
        <f>L761</f>
        <v>#REF!</v>
      </c>
      <c r="J764" s="247"/>
      <c r="K764" s="74" t="s">
        <v>38</v>
      </c>
      <c r="L764" s="95"/>
      <c r="M764" s="81" t="s">
        <v>49</v>
      </c>
      <c r="N764" s="77" t="s">
        <v>39</v>
      </c>
      <c r="O764" s="80"/>
      <c r="P764" s="79"/>
      <c r="Q764" s="78" t="s">
        <v>48</v>
      </c>
      <c r="R764" s="78"/>
      <c r="S764" s="78"/>
      <c r="T764" s="77" t="s">
        <v>39</v>
      </c>
      <c r="U764" s="247" t="e">
        <f>X761</f>
        <v>#REF!</v>
      </c>
      <c r="V764" s="247"/>
      <c r="W764" s="74" t="s">
        <v>38</v>
      </c>
      <c r="X764" s="95"/>
    </row>
    <row r="765" spans="1:24" ht="18.75" customHeight="1">
      <c r="A765" s="250" t="s">
        <v>47</v>
      </c>
      <c r="B765" s="251"/>
      <c r="C765" s="251"/>
      <c r="D765" s="251"/>
      <c r="E765" s="251"/>
      <c r="F765" s="251"/>
      <c r="G765" s="77" t="s">
        <v>39</v>
      </c>
      <c r="H765" s="252" t="e">
        <f>I752+I753+I754+I755+I756+I759+I763+I764</f>
        <v>#REF!</v>
      </c>
      <c r="I765" s="252"/>
      <c r="J765" s="252"/>
      <c r="K765" s="74" t="s">
        <v>38</v>
      </c>
      <c r="M765" s="250" t="s">
        <v>47</v>
      </c>
      <c r="N765" s="251"/>
      <c r="O765" s="251"/>
      <c r="P765" s="251"/>
      <c r="Q765" s="251"/>
      <c r="R765" s="251"/>
      <c r="S765" s="77" t="s">
        <v>39</v>
      </c>
      <c r="T765" s="252" t="e">
        <f>U752+U753+U754+U755+U756+U759+U763+U764</f>
        <v>#REF!</v>
      </c>
      <c r="U765" s="252"/>
      <c r="V765" s="252"/>
      <c r="W765" s="74" t="s">
        <v>38</v>
      </c>
    </row>
    <row r="766" spans="1:24" ht="18.75" customHeight="1">
      <c r="A766" s="94"/>
      <c r="B766" s="93"/>
      <c r="C766" s="93"/>
      <c r="D766" s="93"/>
      <c r="E766" s="93"/>
      <c r="F766" s="93"/>
      <c r="G766" s="93"/>
      <c r="H766" s="93"/>
      <c r="I766" s="93"/>
      <c r="J766" s="93"/>
      <c r="K766" s="92"/>
      <c r="M766" s="94"/>
      <c r="N766" s="93"/>
      <c r="O766" s="93"/>
      <c r="P766" s="93"/>
      <c r="Q766" s="93"/>
      <c r="R766" s="93"/>
      <c r="S766" s="93"/>
      <c r="T766" s="93"/>
      <c r="U766" s="93"/>
      <c r="V766" s="93"/>
      <c r="W766" s="92"/>
    </row>
    <row r="767" spans="1:24" ht="18.75" customHeight="1">
      <c r="A767" s="253" t="s">
        <v>46</v>
      </c>
      <c r="B767" s="254"/>
      <c r="C767" s="254"/>
      <c r="D767" s="254"/>
      <c r="E767" s="254"/>
      <c r="F767" s="254"/>
      <c r="G767" s="77"/>
      <c r="H767" s="77"/>
      <c r="I767" s="77"/>
      <c r="J767" s="77"/>
      <c r="K767" s="74"/>
      <c r="M767" s="253" t="s">
        <v>46</v>
      </c>
      <c r="N767" s="254"/>
      <c r="O767" s="254"/>
      <c r="P767" s="254"/>
      <c r="Q767" s="254"/>
      <c r="R767" s="254"/>
      <c r="S767" s="77"/>
      <c r="T767" s="77"/>
      <c r="U767" s="77"/>
      <c r="V767" s="77"/>
      <c r="W767" s="74"/>
    </row>
    <row r="768" spans="1:24" ht="18.75" customHeight="1">
      <c r="A768" s="232" t="s">
        <v>45</v>
      </c>
      <c r="B768" s="233"/>
      <c r="C768" s="233"/>
      <c r="D768" s="233"/>
      <c r="E768" s="233"/>
      <c r="F768" s="233"/>
      <c r="G768" s="77" t="s">
        <v>39</v>
      </c>
      <c r="H768" s="242" t="e">
        <f>IF(($L$1-(C752+C753+C754+C755))&gt;12,0,F749*8%)</f>
        <v>#REF!</v>
      </c>
      <c r="I768" s="242"/>
      <c r="J768" s="242"/>
      <c r="K768" s="74" t="s">
        <v>38</v>
      </c>
      <c r="M768" s="232" t="s">
        <v>45</v>
      </c>
      <c r="N768" s="233"/>
      <c r="O768" s="233"/>
      <c r="P768" s="233"/>
      <c r="Q768" s="233"/>
      <c r="R768" s="233"/>
      <c r="S768" s="77" t="s">
        <v>39</v>
      </c>
      <c r="T768" s="242" t="e">
        <f>IF(($L$1-(O752+O753+O754+O755))&gt;12,0,R749*8%)</f>
        <v>#REF!</v>
      </c>
      <c r="U768" s="242"/>
      <c r="V768" s="242"/>
      <c r="W768" s="74" t="s">
        <v>38</v>
      </c>
    </row>
    <row r="769" spans="1:24" ht="18.75" customHeight="1">
      <c r="A769" s="232" t="s">
        <v>44</v>
      </c>
      <c r="B769" s="233"/>
      <c r="C769" s="233"/>
      <c r="D769" s="233"/>
      <c r="E769" s="233"/>
      <c r="F769" s="233"/>
      <c r="G769" s="77" t="s">
        <v>39</v>
      </c>
      <c r="H769" s="243" t="e">
        <f>IF(($L$1-(C752+C753+C754+C755))&gt;12,0,F749*1.5%)</f>
        <v>#REF!</v>
      </c>
      <c r="I769" s="243"/>
      <c r="J769" s="243"/>
      <c r="K769" s="74" t="s">
        <v>38</v>
      </c>
      <c r="M769" s="232" t="s">
        <v>44</v>
      </c>
      <c r="N769" s="233"/>
      <c r="O769" s="233"/>
      <c r="P769" s="233"/>
      <c r="Q769" s="233"/>
      <c r="R769" s="233"/>
      <c r="S769" s="77" t="s">
        <v>39</v>
      </c>
      <c r="T769" s="243" t="e">
        <f>IF(($L$1-(O752+O753+O754+O755))&gt;12,0,R749*1.5%)</f>
        <v>#REF!</v>
      </c>
      <c r="U769" s="243"/>
      <c r="V769" s="243"/>
      <c r="W769" s="74" t="s">
        <v>38</v>
      </c>
    </row>
    <row r="770" spans="1:24" ht="18.75" customHeight="1">
      <c r="A770" s="232" t="s">
        <v>43</v>
      </c>
      <c r="B770" s="233"/>
      <c r="C770" s="233"/>
      <c r="D770" s="233"/>
      <c r="E770" s="233"/>
      <c r="F770" s="233"/>
      <c r="G770" s="77" t="s">
        <v>39</v>
      </c>
      <c r="H770" s="243" t="e">
        <f>IF(($L$1-(C752+C753+C754+C755))&gt;12,0,F749*1%)</f>
        <v>#REF!</v>
      </c>
      <c r="I770" s="243"/>
      <c r="J770" s="243"/>
      <c r="K770" s="74" t="s">
        <v>38</v>
      </c>
      <c r="M770" s="232" t="s">
        <v>43</v>
      </c>
      <c r="N770" s="233"/>
      <c r="O770" s="233"/>
      <c r="P770" s="233"/>
      <c r="Q770" s="233"/>
      <c r="R770" s="233"/>
      <c r="S770" s="77" t="s">
        <v>39</v>
      </c>
      <c r="T770" s="243" t="e">
        <f>IF(($L$1-(O752+O753+O754+O755))&gt;12,0,R749*1%)</f>
        <v>#REF!</v>
      </c>
      <c r="U770" s="243"/>
      <c r="V770" s="243"/>
      <c r="W770" s="74" t="s">
        <v>38</v>
      </c>
    </row>
    <row r="771" spans="1:24" ht="18.75" customHeight="1">
      <c r="A771" s="232" t="s">
        <v>42</v>
      </c>
      <c r="B771" s="233"/>
      <c r="C771" s="233"/>
      <c r="D771" s="233"/>
      <c r="E771" s="233"/>
      <c r="F771" s="233"/>
      <c r="G771" s="77" t="s">
        <v>39</v>
      </c>
      <c r="H771" s="243">
        <v>0</v>
      </c>
      <c r="I771" s="243"/>
      <c r="J771" s="243"/>
      <c r="K771" s="74" t="s">
        <v>38</v>
      </c>
      <c r="M771" s="232" t="s">
        <v>42</v>
      </c>
      <c r="N771" s="233"/>
      <c r="O771" s="233"/>
      <c r="P771" s="233"/>
      <c r="Q771" s="233"/>
      <c r="R771" s="233"/>
      <c r="S771" s="77" t="s">
        <v>39</v>
      </c>
      <c r="T771" s="243">
        <v>0</v>
      </c>
      <c r="U771" s="243"/>
      <c r="V771" s="243"/>
      <c r="W771" s="74" t="s">
        <v>38</v>
      </c>
    </row>
    <row r="772" spans="1:24" ht="18.75" customHeight="1">
      <c r="A772" s="244" t="s">
        <v>41</v>
      </c>
      <c r="B772" s="245"/>
      <c r="C772" s="245"/>
      <c r="D772" s="245"/>
      <c r="E772" s="245"/>
      <c r="F772" s="245"/>
      <c r="G772" s="77" t="s">
        <v>39</v>
      </c>
      <c r="H772" s="246" t="e">
        <f>SUM(H768:J771)</f>
        <v>#REF!</v>
      </c>
      <c r="I772" s="246"/>
      <c r="J772" s="246"/>
      <c r="K772" s="74" t="s">
        <v>38</v>
      </c>
      <c r="M772" s="244" t="s">
        <v>41</v>
      </c>
      <c r="N772" s="245"/>
      <c r="O772" s="245"/>
      <c r="P772" s="245"/>
      <c r="Q772" s="245"/>
      <c r="R772" s="245"/>
      <c r="S772" s="77" t="s">
        <v>39</v>
      </c>
      <c r="T772" s="246" t="e">
        <f>SUM(T768:V771)</f>
        <v>#REF!</v>
      </c>
      <c r="U772" s="246"/>
      <c r="V772" s="246"/>
      <c r="W772" s="74" t="s">
        <v>38</v>
      </c>
    </row>
    <row r="773" spans="1:24" ht="18.75" customHeight="1">
      <c r="A773" s="232" t="s">
        <v>40</v>
      </c>
      <c r="B773" s="233"/>
      <c r="C773" s="233"/>
      <c r="D773" s="233"/>
      <c r="E773" s="233"/>
      <c r="F773" s="233"/>
      <c r="G773" s="77" t="s">
        <v>39</v>
      </c>
      <c r="H773" s="234" t="e">
        <f>ROUND(H765-H772,-2)</f>
        <v>#REF!</v>
      </c>
      <c r="I773" s="234"/>
      <c r="J773" s="234"/>
      <c r="K773" s="74" t="s">
        <v>38</v>
      </c>
      <c r="M773" s="232" t="s">
        <v>40</v>
      </c>
      <c r="N773" s="233"/>
      <c r="O773" s="233"/>
      <c r="P773" s="233"/>
      <c r="Q773" s="233"/>
      <c r="R773" s="233"/>
      <c r="S773" s="77" t="s">
        <v>39</v>
      </c>
      <c r="T773" s="234" t="e">
        <f>ROUND(T765-T772,-2)</f>
        <v>#REF!</v>
      </c>
      <c r="U773" s="234"/>
      <c r="V773" s="234"/>
      <c r="W773" s="74" t="s">
        <v>38</v>
      </c>
    </row>
    <row r="774" spans="1:24" ht="18.75" customHeight="1">
      <c r="A774" s="91"/>
      <c r="B774" s="90"/>
      <c r="C774" s="90"/>
      <c r="D774" s="90"/>
      <c r="E774" s="90"/>
      <c r="F774" s="90"/>
      <c r="G774" s="90"/>
      <c r="H774" s="90"/>
      <c r="I774" s="90"/>
      <c r="J774" s="90"/>
      <c r="K774" s="89"/>
      <c r="M774" s="91"/>
      <c r="N774" s="90"/>
      <c r="O774" s="90"/>
      <c r="P774" s="90"/>
      <c r="Q774" s="90"/>
      <c r="R774" s="90"/>
      <c r="S774" s="90"/>
      <c r="T774" s="90"/>
      <c r="U774" s="90"/>
      <c r="V774" s="90"/>
      <c r="W774" s="89"/>
    </row>
    <row r="775" spans="1:24" ht="18.75" customHeight="1">
      <c r="A775" s="88"/>
      <c r="B775" s="77"/>
      <c r="C775" s="77"/>
      <c r="D775" s="77"/>
      <c r="E775" s="77"/>
      <c r="F775" s="77"/>
      <c r="G775" s="77"/>
      <c r="H775" s="77"/>
      <c r="I775" s="235" t="s">
        <v>37</v>
      </c>
      <c r="J775" s="235"/>
      <c r="K775" s="236"/>
      <c r="M775" s="88"/>
      <c r="N775" s="77"/>
      <c r="O775" s="77"/>
      <c r="P775" s="77"/>
      <c r="Q775" s="77"/>
      <c r="R775" s="77"/>
      <c r="S775" s="77"/>
      <c r="T775" s="77"/>
      <c r="U775" s="235" t="s">
        <v>37</v>
      </c>
      <c r="V775" s="235"/>
      <c r="W775" s="236"/>
    </row>
    <row r="776" spans="1:24" ht="18.75" customHeight="1">
      <c r="A776" s="88"/>
      <c r="B776" s="235"/>
      <c r="C776" s="235"/>
      <c r="D776" s="235"/>
      <c r="E776" s="235"/>
      <c r="F776" s="77"/>
      <c r="G776" s="77"/>
      <c r="H776" s="77"/>
      <c r="I776" s="77"/>
      <c r="J776" s="77"/>
      <c r="K776" s="82"/>
      <c r="M776" s="88"/>
      <c r="N776" s="235"/>
      <c r="O776" s="235"/>
      <c r="P776" s="235"/>
      <c r="Q776" s="235"/>
      <c r="R776" s="77"/>
      <c r="S776" s="77"/>
      <c r="T776" s="77"/>
      <c r="U776" s="77"/>
      <c r="V776" s="77"/>
      <c r="W776" s="82"/>
    </row>
    <row r="777" spans="1:24" ht="18.75" customHeight="1" thickBot="1">
      <c r="A777" s="87"/>
      <c r="B777" s="86"/>
      <c r="C777" s="86"/>
      <c r="D777" s="86"/>
      <c r="E777" s="86"/>
      <c r="F777" s="86"/>
      <c r="G777" s="86"/>
      <c r="H777" s="86"/>
      <c r="I777" s="237" t="s">
        <v>36</v>
      </c>
      <c r="J777" s="237"/>
      <c r="K777" s="238"/>
      <c r="M777" s="87"/>
      <c r="N777" s="86"/>
      <c r="O777" s="86"/>
      <c r="P777" s="86"/>
      <c r="Q777" s="86"/>
      <c r="R777" s="86"/>
      <c r="S777" s="86"/>
      <c r="T777" s="86"/>
      <c r="U777" s="237" t="s">
        <v>36</v>
      </c>
      <c r="V777" s="237"/>
      <c r="W777" s="238"/>
    </row>
    <row r="779" spans="1:24" ht="18.75" customHeight="1" thickTop="1">
      <c r="A779" s="239" t="s">
        <v>87</v>
      </c>
      <c r="B779" s="240"/>
      <c r="C779" s="240"/>
      <c r="D779" s="240"/>
      <c r="E779" s="240"/>
      <c r="F779" s="240"/>
      <c r="G779" s="240"/>
      <c r="H779" s="240"/>
      <c r="I779" s="240"/>
      <c r="J779" s="240"/>
      <c r="K779" s="241"/>
      <c r="L779" s="72">
        <v>25</v>
      </c>
      <c r="M779" s="239" t="s">
        <v>87</v>
      </c>
      <c r="N779" s="240"/>
      <c r="O779" s="240"/>
      <c r="P779" s="240"/>
      <c r="Q779" s="240"/>
      <c r="R779" s="240"/>
      <c r="S779" s="240"/>
      <c r="T779" s="240"/>
      <c r="U779" s="240"/>
      <c r="V779" s="240"/>
      <c r="W779" s="241"/>
      <c r="X779" s="72">
        <v>25</v>
      </c>
    </row>
    <row r="780" spans="1:24" ht="18.75" customHeight="1">
      <c r="A780" s="85" t="s">
        <v>107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83"/>
      <c r="M780" s="85" t="s">
        <v>106</v>
      </c>
      <c r="N780" s="84"/>
      <c r="O780" s="84"/>
      <c r="P780" s="84"/>
      <c r="Q780" s="84"/>
      <c r="R780" s="84"/>
      <c r="S780" s="84"/>
      <c r="T780" s="84"/>
      <c r="U780" s="84"/>
      <c r="V780" s="84"/>
      <c r="W780" s="83"/>
    </row>
    <row r="781" spans="1:24" ht="18.75" customHeight="1">
      <c r="A781" s="227" t="s">
        <v>84</v>
      </c>
      <c r="B781" s="228"/>
      <c r="C781" s="228"/>
      <c r="D781" s="228"/>
      <c r="E781" s="228"/>
      <c r="F781" s="228"/>
      <c r="G781" s="228"/>
      <c r="H781" s="228"/>
      <c r="I781" s="228"/>
      <c r="J781" s="228"/>
      <c r="K781" s="229"/>
      <c r="M781" s="227" t="s">
        <v>84</v>
      </c>
      <c r="N781" s="228"/>
      <c r="O781" s="228"/>
      <c r="P781" s="228"/>
      <c r="Q781" s="228"/>
      <c r="R781" s="228"/>
      <c r="S781" s="228"/>
      <c r="T781" s="228"/>
      <c r="U781" s="228"/>
      <c r="V781" s="228"/>
      <c r="W781" s="229"/>
    </row>
    <row r="782" spans="1:24" ht="18.75" customHeight="1">
      <c r="A782" s="222" t="s">
        <v>83</v>
      </c>
      <c r="B782" s="223"/>
      <c r="C782" s="223"/>
      <c r="D782" s="223"/>
      <c r="E782" s="77" t="s">
        <v>39</v>
      </c>
      <c r="F782" s="224">
        <f>'[3]Bang TH nop'!B89</f>
        <v>0</v>
      </c>
      <c r="G782" s="223"/>
      <c r="H782" s="223"/>
      <c r="I782" s="223"/>
      <c r="J782" s="223"/>
      <c r="K782" s="226"/>
      <c r="M782" s="222" t="s">
        <v>83</v>
      </c>
      <c r="N782" s="223"/>
      <c r="O782" s="223"/>
      <c r="P782" s="223"/>
      <c r="Q782" s="77" t="s">
        <v>39</v>
      </c>
      <c r="R782" s="224">
        <f>'[3]Bang TH nop'!B91</f>
        <v>0</v>
      </c>
      <c r="S782" s="223"/>
      <c r="T782" s="223"/>
      <c r="U782" s="223"/>
      <c r="V782" s="223"/>
      <c r="W782" s="226"/>
    </row>
    <row r="783" spans="1:24" ht="18.75" customHeight="1">
      <c r="A783" s="222" t="s">
        <v>82</v>
      </c>
      <c r="B783" s="223"/>
      <c r="C783" s="223"/>
      <c r="D783" s="223"/>
      <c r="E783" s="77" t="s">
        <v>39</v>
      </c>
      <c r="F783" s="224">
        <f>'[3]Bang TH nop'!C89</f>
        <v>0</v>
      </c>
      <c r="G783" s="224"/>
      <c r="H783" s="224"/>
      <c r="I783" s="224"/>
      <c r="J783" s="224"/>
      <c r="K783" s="225"/>
      <c r="M783" s="222" t="s">
        <v>82</v>
      </c>
      <c r="N783" s="223"/>
      <c r="O783" s="223"/>
      <c r="P783" s="223"/>
      <c r="Q783" s="77" t="s">
        <v>39</v>
      </c>
      <c r="R783" s="224">
        <f>'[3]Bang TH nop'!C91</f>
        <v>0</v>
      </c>
      <c r="S783" s="224"/>
      <c r="T783" s="224"/>
      <c r="U783" s="224"/>
      <c r="V783" s="224"/>
      <c r="W783" s="225"/>
    </row>
    <row r="784" spans="1:24" ht="18.75" customHeight="1">
      <c r="A784" s="222" t="s">
        <v>81</v>
      </c>
      <c r="B784" s="223"/>
      <c r="C784" s="223"/>
      <c r="D784" s="223"/>
      <c r="E784" s="77" t="s">
        <v>39</v>
      </c>
      <c r="F784" s="223" t="s">
        <v>80</v>
      </c>
      <c r="G784" s="223"/>
      <c r="H784" s="223"/>
      <c r="I784" s="223"/>
      <c r="J784" s="223"/>
      <c r="K784" s="226"/>
      <c r="M784" s="222" t="s">
        <v>81</v>
      </c>
      <c r="N784" s="223"/>
      <c r="O784" s="223"/>
      <c r="P784" s="223"/>
      <c r="Q784" s="77" t="s">
        <v>39</v>
      </c>
      <c r="R784" s="223" t="s">
        <v>80</v>
      </c>
      <c r="S784" s="223"/>
      <c r="T784" s="223"/>
      <c r="U784" s="223"/>
      <c r="V784" s="223"/>
      <c r="W784" s="226"/>
    </row>
    <row r="785" spans="1:24" ht="18.75" customHeight="1">
      <c r="A785" s="227" t="s">
        <v>79</v>
      </c>
      <c r="B785" s="228"/>
      <c r="C785" s="228"/>
      <c r="D785" s="228"/>
      <c r="E785" s="228"/>
      <c r="F785" s="228"/>
      <c r="G785" s="228"/>
      <c r="H785" s="228"/>
      <c r="I785" s="228"/>
      <c r="J785" s="228"/>
      <c r="K785" s="229"/>
      <c r="M785" s="227" t="s">
        <v>79</v>
      </c>
      <c r="N785" s="228"/>
      <c r="O785" s="228"/>
      <c r="P785" s="228"/>
      <c r="Q785" s="228"/>
      <c r="R785" s="228"/>
      <c r="S785" s="228"/>
      <c r="T785" s="228"/>
      <c r="U785" s="228"/>
      <c r="V785" s="228"/>
      <c r="W785" s="229"/>
    </row>
    <row r="786" spans="1:24" ht="18.75" customHeight="1">
      <c r="A786" s="222" t="s">
        <v>78</v>
      </c>
      <c r="B786" s="223"/>
      <c r="C786" s="223"/>
      <c r="D786" s="223"/>
      <c r="E786" s="77" t="s">
        <v>39</v>
      </c>
      <c r="F786" s="230">
        <v>2915400</v>
      </c>
      <c r="G786" s="230"/>
      <c r="H786" s="230"/>
      <c r="I786" s="230"/>
      <c r="J786" s="77" t="s">
        <v>38</v>
      </c>
      <c r="K786" s="82"/>
      <c r="M786" s="222" t="s">
        <v>78</v>
      </c>
      <c r="N786" s="223"/>
      <c r="O786" s="223"/>
      <c r="P786" s="223"/>
      <c r="Q786" s="77" t="s">
        <v>39</v>
      </c>
      <c r="R786" s="230">
        <v>2915400</v>
      </c>
      <c r="S786" s="230"/>
      <c r="T786" s="230"/>
      <c r="U786" s="230"/>
      <c r="V786" s="77" t="s">
        <v>38</v>
      </c>
      <c r="W786" s="82"/>
    </row>
    <row r="787" spans="1:24" ht="18.75" customHeight="1">
      <c r="A787" s="81" t="s">
        <v>77</v>
      </c>
      <c r="B787" s="77"/>
      <c r="C787" s="80"/>
      <c r="D787" s="79"/>
      <c r="E787" s="78"/>
      <c r="F787" s="78"/>
      <c r="G787" s="78"/>
      <c r="H787" s="77"/>
      <c r="I787" s="76" t="e">
        <f>#REF!</f>
        <v>#REF!</v>
      </c>
      <c r="J787" s="75"/>
      <c r="K787" s="74"/>
      <c r="M787" s="81" t="s">
        <v>77</v>
      </c>
      <c r="N787" s="77"/>
      <c r="O787" s="80"/>
      <c r="P787" s="79"/>
      <c r="Q787" s="78"/>
      <c r="R787" s="78"/>
      <c r="S787" s="78"/>
      <c r="T787" s="77"/>
      <c r="U787" s="76" t="e">
        <f>#REF!</f>
        <v>#REF!</v>
      </c>
      <c r="V787" s="75"/>
      <c r="W787" s="74"/>
    </row>
    <row r="788" spans="1:24" ht="18.75" customHeight="1">
      <c r="A788" s="81" t="s">
        <v>76</v>
      </c>
      <c r="B788" s="77"/>
      <c r="C788" s="80"/>
      <c r="D788" s="79"/>
      <c r="E788" s="78"/>
      <c r="F788" s="78"/>
      <c r="G788" s="78"/>
      <c r="H788" s="77"/>
      <c r="I788" s="76" t="e">
        <f>I789/C789/8</f>
        <v>#REF!</v>
      </c>
      <c r="J788" s="75"/>
      <c r="K788" s="74"/>
      <c r="M788" s="81" t="s">
        <v>76</v>
      </c>
      <c r="N788" s="77"/>
      <c r="O788" s="80"/>
      <c r="P788" s="79"/>
      <c r="Q788" s="78"/>
      <c r="R788" s="78"/>
      <c r="S788" s="78"/>
      <c r="T788" s="77"/>
      <c r="U788" s="76" t="e">
        <f>U789/O789/8</f>
        <v>#REF!</v>
      </c>
      <c r="V788" s="75"/>
      <c r="W788" s="74"/>
    </row>
    <row r="789" spans="1:24" ht="18.75" customHeight="1">
      <c r="A789" s="81" t="s">
        <v>75</v>
      </c>
      <c r="B789" s="77" t="s">
        <v>39</v>
      </c>
      <c r="C789" s="80" t="e">
        <f>#REF!</f>
        <v>#REF!</v>
      </c>
      <c r="D789" s="79" t="s">
        <v>52</v>
      </c>
      <c r="E789" s="249" t="s">
        <v>74</v>
      </c>
      <c r="F789" s="249"/>
      <c r="G789" s="249"/>
      <c r="H789" s="77" t="s">
        <v>39</v>
      </c>
      <c r="I789" s="255" t="e">
        <f>#REF!</f>
        <v>#REF!</v>
      </c>
      <c r="J789" s="255"/>
      <c r="K789" s="74" t="s">
        <v>38</v>
      </c>
      <c r="L789" s="95" t="e">
        <f>F786/L779*C789</f>
        <v>#REF!</v>
      </c>
      <c r="M789" s="81" t="s">
        <v>75</v>
      </c>
      <c r="N789" s="77" t="s">
        <v>39</v>
      </c>
      <c r="O789" s="80" t="e">
        <f>#REF!</f>
        <v>#REF!</v>
      </c>
      <c r="P789" s="79" t="s">
        <v>52</v>
      </c>
      <c r="Q789" s="249" t="s">
        <v>74</v>
      </c>
      <c r="R789" s="249"/>
      <c r="S789" s="249"/>
      <c r="T789" s="77" t="s">
        <v>39</v>
      </c>
      <c r="U789" s="255" t="e">
        <f>U787*680/((O789-O796)*8+O796*7+O793)*((O789-O796)*8+O796*7)</f>
        <v>#REF!</v>
      </c>
      <c r="V789" s="255"/>
      <c r="W789" s="74" t="s">
        <v>38</v>
      </c>
      <c r="X789" s="95" t="e">
        <f>R786/X779*O789</f>
        <v>#REF!</v>
      </c>
    </row>
    <row r="790" spans="1:24" ht="18.75" customHeight="1">
      <c r="A790" s="81" t="s">
        <v>73</v>
      </c>
      <c r="B790" s="77" t="s">
        <v>39</v>
      </c>
      <c r="C790" s="80" t="e">
        <f>#REF!</f>
        <v>#REF!</v>
      </c>
      <c r="D790" s="79" t="s">
        <v>52</v>
      </c>
      <c r="E790" s="223" t="s">
        <v>72</v>
      </c>
      <c r="F790" s="223"/>
      <c r="G790" s="223"/>
      <c r="H790" s="77" t="s">
        <v>39</v>
      </c>
      <c r="I790" s="247" t="e">
        <f>$F$8/$L$1*C790</f>
        <v>#REF!</v>
      </c>
      <c r="J790" s="247"/>
      <c r="K790" s="74" t="s">
        <v>38</v>
      </c>
      <c r="L790" s="95"/>
      <c r="M790" s="81" t="s">
        <v>73</v>
      </c>
      <c r="N790" s="77" t="s">
        <v>39</v>
      </c>
      <c r="O790" s="80" t="e">
        <f>#REF!</f>
        <v>#REF!</v>
      </c>
      <c r="P790" s="79" t="s">
        <v>52</v>
      </c>
      <c r="Q790" s="223" t="s">
        <v>72</v>
      </c>
      <c r="R790" s="223"/>
      <c r="S790" s="223"/>
      <c r="T790" s="77" t="s">
        <v>39</v>
      </c>
      <c r="U790" s="247" t="e">
        <f>$F$8/$L$1*O790</f>
        <v>#REF!</v>
      </c>
      <c r="V790" s="247"/>
      <c r="W790" s="74" t="s">
        <v>38</v>
      </c>
      <c r="X790" s="95"/>
    </row>
    <row r="791" spans="1:24" ht="18.75" customHeight="1">
      <c r="A791" s="81" t="s">
        <v>71</v>
      </c>
      <c r="B791" s="77" t="s">
        <v>39</v>
      </c>
      <c r="C791" s="80" t="e">
        <f>#REF!</f>
        <v>#REF!</v>
      </c>
      <c r="D791" s="79" t="s">
        <v>52</v>
      </c>
      <c r="E791" s="256" t="s">
        <v>70</v>
      </c>
      <c r="F791" s="256"/>
      <c r="G791" s="256"/>
      <c r="H791" s="77" t="s">
        <v>39</v>
      </c>
      <c r="I791" s="247" t="e">
        <f>$F$8/$L$1*C791</f>
        <v>#REF!</v>
      </c>
      <c r="J791" s="247"/>
      <c r="K791" s="74" t="s">
        <v>38</v>
      </c>
      <c r="L791" s="95"/>
      <c r="M791" s="81" t="s">
        <v>71</v>
      </c>
      <c r="N791" s="77" t="s">
        <v>39</v>
      </c>
      <c r="O791" s="80" t="e">
        <f>#REF!</f>
        <v>#REF!</v>
      </c>
      <c r="P791" s="79" t="s">
        <v>52</v>
      </c>
      <c r="Q791" s="256" t="s">
        <v>70</v>
      </c>
      <c r="R791" s="256"/>
      <c r="S791" s="256"/>
      <c r="T791" s="77" t="s">
        <v>39</v>
      </c>
      <c r="U791" s="247" t="e">
        <f>$F$8/$L$1*O791</f>
        <v>#REF!</v>
      </c>
      <c r="V791" s="247"/>
      <c r="W791" s="74" t="s">
        <v>38</v>
      </c>
      <c r="X791" s="95"/>
    </row>
    <row r="792" spans="1:24" ht="18.75" customHeight="1">
      <c r="A792" s="81" t="s">
        <v>69</v>
      </c>
      <c r="B792" s="77" t="s">
        <v>39</v>
      </c>
      <c r="C792" s="80" t="e">
        <f>#REF!</f>
        <v>#REF!</v>
      </c>
      <c r="D792" s="79" t="s">
        <v>52</v>
      </c>
      <c r="E792" s="256" t="s">
        <v>68</v>
      </c>
      <c r="F792" s="256"/>
      <c r="G792" s="256"/>
      <c r="H792" s="77" t="s">
        <v>39</v>
      </c>
      <c r="I792" s="247" t="e">
        <f>$F$8/$L$1*C792</f>
        <v>#REF!</v>
      </c>
      <c r="J792" s="247"/>
      <c r="K792" s="74" t="s">
        <v>38</v>
      </c>
      <c r="L792" s="95"/>
      <c r="M792" s="81" t="s">
        <v>69</v>
      </c>
      <c r="N792" s="77" t="s">
        <v>39</v>
      </c>
      <c r="O792" s="80" t="e">
        <f>#REF!</f>
        <v>#REF!</v>
      </c>
      <c r="P792" s="79" t="s">
        <v>52</v>
      </c>
      <c r="Q792" s="256" t="s">
        <v>68</v>
      </c>
      <c r="R792" s="256"/>
      <c r="S792" s="256"/>
      <c r="T792" s="77" t="s">
        <v>39</v>
      </c>
      <c r="U792" s="247" t="e">
        <f>$F$8/$L$1*O792</f>
        <v>#REF!</v>
      </c>
      <c r="V792" s="247"/>
      <c r="W792" s="74" t="s">
        <v>38</v>
      </c>
      <c r="X792" s="95"/>
    </row>
    <row r="793" spans="1:24" ht="18.75" customHeight="1">
      <c r="A793" s="81" t="s">
        <v>67</v>
      </c>
      <c r="B793" s="77" t="s">
        <v>39</v>
      </c>
      <c r="C793" s="80" t="e">
        <f>#REF!</f>
        <v>#REF!</v>
      </c>
      <c r="D793" s="79" t="s">
        <v>58</v>
      </c>
      <c r="E793" s="223" t="s">
        <v>66</v>
      </c>
      <c r="F793" s="223"/>
      <c r="G793" s="223"/>
      <c r="H793" s="77" t="s">
        <v>39</v>
      </c>
      <c r="I793" s="247" t="e">
        <f>#REF!</f>
        <v>#REF!</v>
      </c>
      <c r="J793" s="247"/>
      <c r="K793" s="74" t="s">
        <v>38</v>
      </c>
      <c r="L793" s="95" t="e">
        <f>F786*C793/L779/8*1.5</f>
        <v>#REF!</v>
      </c>
      <c r="M793" s="81" t="s">
        <v>67</v>
      </c>
      <c r="N793" s="77" t="s">
        <v>39</v>
      </c>
      <c r="O793" s="80" t="e">
        <f>#REF!</f>
        <v>#REF!</v>
      </c>
      <c r="P793" s="79" t="s">
        <v>58</v>
      </c>
      <c r="Q793" s="223" t="s">
        <v>66</v>
      </c>
      <c r="R793" s="223"/>
      <c r="S793" s="223"/>
      <c r="T793" s="77" t="s">
        <v>39</v>
      </c>
      <c r="U793" s="247" t="e">
        <f>U789/O789/8*O793</f>
        <v>#REF!</v>
      </c>
      <c r="V793" s="247"/>
      <c r="W793" s="74" t="s">
        <v>38</v>
      </c>
      <c r="X793" s="95" t="e">
        <f>R786*O793/X779/8*1.5</f>
        <v>#REF!</v>
      </c>
    </row>
    <row r="794" spans="1:24" ht="18.75" customHeight="1">
      <c r="A794" s="222" t="s">
        <v>65</v>
      </c>
      <c r="B794" s="223"/>
      <c r="C794" s="80"/>
      <c r="D794" s="79" t="s">
        <v>52</v>
      </c>
      <c r="E794" s="223" t="s">
        <v>64</v>
      </c>
      <c r="F794" s="223"/>
      <c r="G794" s="223"/>
      <c r="H794" s="100" t="s">
        <v>39</v>
      </c>
      <c r="I794" s="247"/>
      <c r="J794" s="247"/>
      <c r="K794" s="74" t="s">
        <v>38</v>
      </c>
      <c r="L794" s="95"/>
      <c r="M794" s="222" t="s">
        <v>65</v>
      </c>
      <c r="N794" s="223"/>
      <c r="O794" s="80"/>
      <c r="P794" s="79" t="s">
        <v>52</v>
      </c>
      <c r="Q794" s="223" t="s">
        <v>64</v>
      </c>
      <c r="R794" s="223"/>
      <c r="S794" s="223"/>
      <c r="T794" s="100" t="s">
        <v>39</v>
      </c>
      <c r="U794" s="247"/>
      <c r="V794" s="247"/>
      <c r="W794" s="74" t="s">
        <v>38</v>
      </c>
      <c r="X794" s="95"/>
    </row>
    <row r="795" spans="1:24" ht="18.75" customHeight="1">
      <c r="A795" s="81" t="s">
        <v>63</v>
      </c>
      <c r="B795" s="77" t="s">
        <v>39</v>
      </c>
      <c r="C795" s="80"/>
      <c r="D795" s="79" t="s">
        <v>52</v>
      </c>
      <c r="E795" s="223" t="s">
        <v>62</v>
      </c>
      <c r="F795" s="223"/>
      <c r="G795" s="223"/>
      <c r="H795" s="77" t="s">
        <v>39</v>
      </c>
      <c r="I795" s="247"/>
      <c r="J795" s="247"/>
      <c r="K795" s="74" t="s">
        <v>38</v>
      </c>
      <c r="L795" s="95"/>
      <c r="M795" s="81" t="s">
        <v>63</v>
      </c>
      <c r="N795" s="77" t="s">
        <v>39</v>
      </c>
      <c r="O795" s="80"/>
      <c r="P795" s="79" t="s">
        <v>52</v>
      </c>
      <c r="Q795" s="223" t="s">
        <v>62</v>
      </c>
      <c r="R795" s="223"/>
      <c r="S795" s="223"/>
      <c r="T795" s="77" t="s">
        <v>39</v>
      </c>
      <c r="U795" s="247"/>
      <c r="V795" s="247"/>
      <c r="W795" s="74" t="s">
        <v>38</v>
      </c>
      <c r="X795" s="95"/>
    </row>
    <row r="796" spans="1:24" ht="18.75" customHeight="1">
      <c r="A796" s="99" t="s">
        <v>61</v>
      </c>
      <c r="B796" s="77"/>
      <c r="C796" s="80" t="e">
        <f>#REF!</f>
        <v>#REF!</v>
      </c>
      <c r="D796" s="79" t="s">
        <v>58</v>
      </c>
      <c r="E796" s="223" t="s">
        <v>60</v>
      </c>
      <c r="F796" s="223"/>
      <c r="G796" s="223"/>
      <c r="H796" s="77" t="s">
        <v>39</v>
      </c>
      <c r="I796" s="247" t="e">
        <f>$F$8*C796/8/$L$1</f>
        <v>#REF!</v>
      </c>
      <c r="J796" s="247"/>
      <c r="K796" s="74" t="s">
        <v>38</v>
      </c>
      <c r="L796" s="95"/>
      <c r="M796" s="99" t="s">
        <v>61</v>
      </c>
      <c r="N796" s="77"/>
      <c r="O796" s="80" t="e">
        <f>#REF!</f>
        <v>#REF!</v>
      </c>
      <c r="P796" s="79" t="s">
        <v>58</v>
      </c>
      <c r="Q796" s="223" t="s">
        <v>60</v>
      </c>
      <c r="R796" s="223"/>
      <c r="S796" s="223"/>
      <c r="T796" s="77" t="s">
        <v>39</v>
      </c>
      <c r="U796" s="247" t="e">
        <f>$F$8*O796/8/$L$1</f>
        <v>#REF!</v>
      </c>
      <c r="V796" s="247"/>
      <c r="W796" s="74" t="s">
        <v>38</v>
      </c>
      <c r="X796" s="95"/>
    </row>
    <row r="797" spans="1:24" ht="18.75" customHeight="1">
      <c r="A797" s="81" t="s">
        <v>59</v>
      </c>
      <c r="B797" s="77" t="s">
        <v>39</v>
      </c>
      <c r="C797" s="80"/>
      <c r="D797" s="79" t="s">
        <v>58</v>
      </c>
      <c r="E797" s="223" t="s">
        <v>57</v>
      </c>
      <c r="F797" s="223"/>
      <c r="G797" s="223"/>
      <c r="H797" s="77" t="s">
        <v>39</v>
      </c>
      <c r="I797" s="255"/>
      <c r="J797" s="255"/>
      <c r="K797" s="74" t="s">
        <v>38</v>
      </c>
      <c r="L797" s="95"/>
      <c r="M797" s="81" t="s">
        <v>59</v>
      </c>
      <c r="N797" s="77" t="s">
        <v>39</v>
      </c>
      <c r="O797" s="80"/>
      <c r="P797" s="79" t="s">
        <v>58</v>
      </c>
      <c r="Q797" s="223" t="s">
        <v>57</v>
      </c>
      <c r="R797" s="223"/>
      <c r="S797" s="223"/>
      <c r="T797" s="77" t="s">
        <v>39</v>
      </c>
      <c r="U797" s="255"/>
      <c r="V797" s="255"/>
      <c r="W797" s="74" t="s">
        <v>38</v>
      </c>
      <c r="X797" s="95"/>
    </row>
    <row r="798" spans="1:24" ht="18.75" customHeight="1">
      <c r="A798" s="81" t="s">
        <v>56</v>
      </c>
      <c r="B798" s="77" t="s">
        <v>39</v>
      </c>
      <c r="C798" s="80"/>
      <c r="D798" s="79" t="s">
        <v>55</v>
      </c>
      <c r="E798" s="98" t="s">
        <v>54</v>
      </c>
      <c r="F798" s="98"/>
      <c r="G798" s="98"/>
      <c r="H798" s="77" t="s">
        <v>39</v>
      </c>
      <c r="I798" s="247"/>
      <c r="J798" s="247"/>
      <c r="K798" s="74" t="s">
        <v>38</v>
      </c>
      <c r="L798" s="95" t="e">
        <f>+IF(L789-I789&lt;0,0,L789-I789)+IF(L793-I793&lt;0,0,L793-I793)</f>
        <v>#REF!</v>
      </c>
      <c r="M798" s="81" t="s">
        <v>56</v>
      </c>
      <c r="N798" s="77" t="s">
        <v>39</v>
      </c>
      <c r="O798" s="80"/>
      <c r="P798" s="79" t="s">
        <v>55</v>
      </c>
      <c r="Q798" s="98" t="s">
        <v>54</v>
      </c>
      <c r="R798" s="98"/>
      <c r="S798" s="98"/>
      <c r="T798" s="77" t="s">
        <v>39</v>
      </c>
      <c r="U798" s="247"/>
      <c r="V798" s="247"/>
      <c r="W798" s="74" t="s">
        <v>38</v>
      </c>
      <c r="X798" s="95" t="e">
        <f>+IF(X789-U789&lt;0,0,X789-U789)+IF(X793-U793&lt;0,0,X793-U793)</f>
        <v>#REF!</v>
      </c>
    </row>
    <row r="799" spans="1:24" ht="18.75" customHeight="1">
      <c r="A799" s="97" t="s">
        <v>53</v>
      </c>
      <c r="B799" s="96"/>
      <c r="C799" s="80"/>
      <c r="D799" s="79" t="s">
        <v>52</v>
      </c>
      <c r="E799" s="223" t="s">
        <v>51</v>
      </c>
      <c r="F799" s="223"/>
      <c r="G799" s="223"/>
      <c r="H799" s="77" t="s">
        <v>39</v>
      </c>
      <c r="I799" s="247"/>
      <c r="J799" s="247"/>
      <c r="K799" s="74" t="s">
        <v>38</v>
      </c>
      <c r="L799" s="95"/>
      <c r="M799" s="97" t="s">
        <v>53</v>
      </c>
      <c r="N799" s="96"/>
      <c r="O799" s="80"/>
      <c r="P799" s="79" t="s">
        <v>52</v>
      </c>
      <c r="Q799" s="223" t="s">
        <v>51</v>
      </c>
      <c r="R799" s="223"/>
      <c r="S799" s="223"/>
      <c r="T799" s="77" t="s">
        <v>39</v>
      </c>
      <c r="U799" s="247"/>
      <c r="V799" s="247"/>
      <c r="W799" s="74" t="s">
        <v>38</v>
      </c>
      <c r="X799" s="95"/>
    </row>
    <row r="800" spans="1:24" ht="18.75" customHeight="1">
      <c r="A800" s="248" t="s">
        <v>50</v>
      </c>
      <c r="B800" s="249"/>
      <c r="C800" s="80"/>
      <c r="D800" s="79"/>
      <c r="E800" s="78"/>
      <c r="F800" s="78"/>
      <c r="G800" s="78"/>
      <c r="H800" s="77" t="s">
        <v>39</v>
      </c>
      <c r="I800" s="247" t="e">
        <f>#REF!</f>
        <v>#REF!</v>
      </c>
      <c r="J800" s="247"/>
      <c r="K800" s="74" t="s">
        <v>38</v>
      </c>
      <c r="L800" s="95"/>
      <c r="M800" s="248" t="s">
        <v>50</v>
      </c>
      <c r="N800" s="249"/>
      <c r="O800" s="80"/>
      <c r="P800" s="79"/>
      <c r="Q800" s="78"/>
      <c r="R800" s="78"/>
      <c r="S800" s="78"/>
      <c r="T800" s="77" t="s">
        <v>39</v>
      </c>
      <c r="U800" s="247" t="e">
        <f>#REF!</f>
        <v>#REF!</v>
      </c>
      <c r="V800" s="247"/>
      <c r="W800" s="74" t="s">
        <v>38</v>
      </c>
      <c r="X800" s="95"/>
    </row>
    <row r="801" spans="1:24" ht="18.75" customHeight="1">
      <c r="A801" s="81" t="s">
        <v>49</v>
      </c>
      <c r="B801" s="77" t="s">
        <v>39</v>
      </c>
      <c r="C801" s="80"/>
      <c r="D801" s="79"/>
      <c r="E801" s="78" t="s">
        <v>48</v>
      </c>
      <c r="F801" s="78"/>
      <c r="G801" s="78"/>
      <c r="H801" s="77" t="s">
        <v>39</v>
      </c>
      <c r="I801" s="247" t="e">
        <f>L798</f>
        <v>#REF!</v>
      </c>
      <c r="J801" s="247"/>
      <c r="K801" s="74" t="s">
        <v>38</v>
      </c>
      <c r="L801" s="95"/>
      <c r="M801" s="81" t="s">
        <v>49</v>
      </c>
      <c r="N801" s="77" t="s">
        <v>39</v>
      </c>
      <c r="O801" s="80"/>
      <c r="P801" s="79"/>
      <c r="Q801" s="78" t="s">
        <v>48</v>
      </c>
      <c r="R801" s="78"/>
      <c r="S801" s="78"/>
      <c r="T801" s="77" t="s">
        <v>39</v>
      </c>
      <c r="U801" s="247" t="e">
        <f>X798</f>
        <v>#REF!</v>
      </c>
      <c r="V801" s="247"/>
      <c r="W801" s="74" t="s">
        <v>38</v>
      </c>
      <c r="X801" s="95"/>
    </row>
    <row r="802" spans="1:24" ht="18.75" customHeight="1">
      <c r="A802" s="250" t="s">
        <v>47</v>
      </c>
      <c r="B802" s="251"/>
      <c r="C802" s="251"/>
      <c r="D802" s="251"/>
      <c r="E802" s="251"/>
      <c r="F802" s="251"/>
      <c r="G802" s="77" t="s">
        <v>39</v>
      </c>
      <c r="H802" s="252" t="e">
        <f>I789+I790+I791+I792+I793+I796+I800+I801</f>
        <v>#REF!</v>
      </c>
      <c r="I802" s="252"/>
      <c r="J802" s="252"/>
      <c r="K802" s="74" t="s">
        <v>38</v>
      </c>
      <c r="M802" s="250" t="s">
        <v>47</v>
      </c>
      <c r="N802" s="251"/>
      <c r="O802" s="251"/>
      <c r="P802" s="251"/>
      <c r="Q802" s="251"/>
      <c r="R802" s="251"/>
      <c r="S802" s="77" t="s">
        <v>39</v>
      </c>
      <c r="T802" s="252" t="e">
        <f>U789+U790+U791+U792+U793+U796+U800+U801</f>
        <v>#REF!</v>
      </c>
      <c r="U802" s="252"/>
      <c r="V802" s="252"/>
      <c r="W802" s="74" t="s">
        <v>38</v>
      </c>
    </row>
    <row r="803" spans="1:24" ht="18.75" customHeight="1">
      <c r="A803" s="94"/>
      <c r="B803" s="93"/>
      <c r="C803" s="93"/>
      <c r="D803" s="93"/>
      <c r="E803" s="93"/>
      <c r="F803" s="93"/>
      <c r="G803" s="93"/>
      <c r="H803" s="93"/>
      <c r="I803" s="93"/>
      <c r="J803" s="93"/>
      <c r="K803" s="92"/>
      <c r="M803" s="94"/>
      <c r="N803" s="93"/>
      <c r="O803" s="93"/>
      <c r="P803" s="93"/>
      <c r="Q803" s="93"/>
      <c r="R803" s="93"/>
      <c r="S803" s="93"/>
      <c r="T803" s="93"/>
      <c r="U803" s="93"/>
      <c r="V803" s="93"/>
      <c r="W803" s="92"/>
    </row>
    <row r="804" spans="1:24" ht="18.75" customHeight="1">
      <c r="A804" s="253" t="s">
        <v>46</v>
      </c>
      <c r="B804" s="254"/>
      <c r="C804" s="254"/>
      <c r="D804" s="254"/>
      <c r="E804" s="254"/>
      <c r="F804" s="254"/>
      <c r="G804" s="77"/>
      <c r="H804" s="77"/>
      <c r="I804" s="77"/>
      <c r="J804" s="77"/>
      <c r="K804" s="74"/>
      <c r="M804" s="253" t="s">
        <v>46</v>
      </c>
      <c r="N804" s="254"/>
      <c r="O804" s="254"/>
      <c r="P804" s="254"/>
      <c r="Q804" s="254"/>
      <c r="R804" s="254"/>
      <c r="S804" s="77"/>
      <c r="T804" s="77"/>
      <c r="U804" s="77"/>
      <c r="V804" s="77"/>
      <c r="W804" s="74"/>
    </row>
    <row r="805" spans="1:24" ht="18.75" customHeight="1">
      <c r="A805" s="232" t="s">
        <v>45</v>
      </c>
      <c r="B805" s="233"/>
      <c r="C805" s="233"/>
      <c r="D805" s="233"/>
      <c r="E805" s="233"/>
      <c r="F805" s="233"/>
      <c r="G805" s="77" t="s">
        <v>39</v>
      </c>
      <c r="H805" s="242" t="e">
        <f>IF(($L$1-(C789+C790+C791+C792))&gt;12,0,F786*8%)</f>
        <v>#REF!</v>
      </c>
      <c r="I805" s="242"/>
      <c r="J805" s="242"/>
      <c r="K805" s="74" t="s">
        <v>38</v>
      </c>
      <c r="M805" s="232" t="s">
        <v>45</v>
      </c>
      <c r="N805" s="233"/>
      <c r="O805" s="233"/>
      <c r="P805" s="233"/>
      <c r="Q805" s="233"/>
      <c r="R805" s="233"/>
      <c r="S805" s="77" t="s">
        <v>39</v>
      </c>
      <c r="T805" s="242" t="e">
        <f>IF(($L$1-(O789+O790+O791+O792))&gt;12,0,R786*8%)</f>
        <v>#REF!</v>
      </c>
      <c r="U805" s="242"/>
      <c r="V805" s="242"/>
      <c r="W805" s="74" t="s">
        <v>38</v>
      </c>
    </row>
    <row r="806" spans="1:24" ht="18.75" customHeight="1">
      <c r="A806" s="232" t="s">
        <v>44</v>
      </c>
      <c r="B806" s="233"/>
      <c r="C806" s="233"/>
      <c r="D806" s="233"/>
      <c r="E806" s="233"/>
      <c r="F806" s="233"/>
      <c r="G806" s="77" t="s">
        <v>39</v>
      </c>
      <c r="H806" s="243" t="e">
        <f>IF(($L$1-(C789+C790+C791+C792))&gt;12,0,F786*1.5%)</f>
        <v>#REF!</v>
      </c>
      <c r="I806" s="243"/>
      <c r="J806" s="243"/>
      <c r="K806" s="74" t="s">
        <v>38</v>
      </c>
      <c r="M806" s="232" t="s">
        <v>44</v>
      </c>
      <c r="N806" s="233"/>
      <c r="O806" s="233"/>
      <c r="P806" s="233"/>
      <c r="Q806" s="233"/>
      <c r="R806" s="233"/>
      <c r="S806" s="77" t="s">
        <v>39</v>
      </c>
      <c r="T806" s="243" t="e">
        <f>IF(($L$1-(O789+O790+O791+O792))&gt;12,0,R786*1.5%)</f>
        <v>#REF!</v>
      </c>
      <c r="U806" s="243"/>
      <c r="V806" s="243"/>
      <c r="W806" s="74" t="s">
        <v>38</v>
      </c>
    </row>
    <row r="807" spans="1:24" ht="18.75" customHeight="1">
      <c r="A807" s="232" t="s">
        <v>43</v>
      </c>
      <c r="B807" s="233"/>
      <c r="C807" s="233"/>
      <c r="D807" s="233"/>
      <c r="E807" s="233"/>
      <c r="F807" s="233"/>
      <c r="G807" s="77" t="s">
        <v>39</v>
      </c>
      <c r="H807" s="243" t="e">
        <f>IF(($L$1-(C789+C790+C791+C792))&gt;12,0,F786*1%)</f>
        <v>#REF!</v>
      </c>
      <c r="I807" s="243"/>
      <c r="J807" s="243"/>
      <c r="K807" s="74" t="s">
        <v>38</v>
      </c>
      <c r="M807" s="232" t="s">
        <v>43</v>
      </c>
      <c r="N807" s="233"/>
      <c r="O807" s="233"/>
      <c r="P807" s="233"/>
      <c r="Q807" s="233"/>
      <c r="R807" s="233"/>
      <c r="S807" s="77" t="s">
        <v>39</v>
      </c>
      <c r="T807" s="243" t="e">
        <f>IF(($L$1-(O789+O790+O791+O792))&gt;12,0,R786*1%)</f>
        <v>#REF!</v>
      </c>
      <c r="U807" s="243"/>
      <c r="V807" s="243"/>
      <c r="W807" s="74" t="s">
        <v>38</v>
      </c>
    </row>
    <row r="808" spans="1:24" ht="18.75" customHeight="1">
      <c r="A808" s="232" t="s">
        <v>42</v>
      </c>
      <c r="B808" s="233"/>
      <c r="C808" s="233"/>
      <c r="D808" s="233"/>
      <c r="E808" s="233"/>
      <c r="F808" s="233"/>
      <c r="G808" s="77" t="s">
        <v>39</v>
      </c>
      <c r="H808" s="243">
        <v>0</v>
      </c>
      <c r="I808" s="243"/>
      <c r="J808" s="243"/>
      <c r="K808" s="74" t="s">
        <v>38</v>
      </c>
      <c r="M808" s="232" t="s">
        <v>42</v>
      </c>
      <c r="N808" s="233"/>
      <c r="O808" s="233"/>
      <c r="P808" s="233"/>
      <c r="Q808" s="233"/>
      <c r="R808" s="233"/>
      <c r="S808" s="77" t="s">
        <v>39</v>
      </c>
      <c r="T808" s="243">
        <v>0</v>
      </c>
      <c r="U808" s="243"/>
      <c r="V808" s="243"/>
      <c r="W808" s="74" t="s">
        <v>38</v>
      </c>
    </row>
    <row r="809" spans="1:24" ht="18.75" customHeight="1">
      <c r="A809" s="244" t="s">
        <v>41</v>
      </c>
      <c r="B809" s="245"/>
      <c r="C809" s="245"/>
      <c r="D809" s="245"/>
      <c r="E809" s="245"/>
      <c r="F809" s="245"/>
      <c r="G809" s="77" t="s">
        <v>39</v>
      </c>
      <c r="H809" s="246" t="e">
        <f>SUM(H805:J808)</f>
        <v>#REF!</v>
      </c>
      <c r="I809" s="246"/>
      <c r="J809" s="246"/>
      <c r="K809" s="74" t="s">
        <v>38</v>
      </c>
      <c r="M809" s="244" t="s">
        <v>41</v>
      </c>
      <c r="N809" s="245"/>
      <c r="O809" s="245"/>
      <c r="P809" s="245"/>
      <c r="Q809" s="245"/>
      <c r="R809" s="245"/>
      <c r="S809" s="77" t="s">
        <v>39</v>
      </c>
      <c r="T809" s="246" t="e">
        <f>SUM(T805:V808)</f>
        <v>#REF!</v>
      </c>
      <c r="U809" s="246"/>
      <c r="V809" s="246"/>
      <c r="W809" s="74" t="s">
        <v>38</v>
      </c>
    </row>
    <row r="810" spans="1:24" ht="18.75" customHeight="1">
      <c r="A810" s="232" t="s">
        <v>40</v>
      </c>
      <c r="B810" s="233"/>
      <c r="C810" s="233"/>
      <c r="D810" s="233"/>
      <c r="E810" s="233"/>
      <c r="F810" s="233"/>
      <c r="G810" s="77" t="s">
        <v>39</v>
      </c>
      <c r="H810" s="234" t="e">
        <f>ROUND(H802-H809,-2)</f>
        <v>#REF!</v>
      </c>
      <c r="I810" s="234"/>
      <c r="J810" s="234"/>
      <c r="K810" s="74" t="s">
        <v>38</v>
      </c>
      <c r="M810" s="232" t="s">
        <v>40</v>
      </c>
      <c r="N810" s="233"/>
      <c r="O810" s="233"/>
      <c r="P810" s="233"/>
      <c r="Q810" s="233"/>
      <c r="R810" s="233"/>
      <c r="S810" s="77" t="s">
        <v>39</v>
      </c>
      <c r="T810" s="234" t="e">
        <f>ROUND(T802-T809,-2)</f>
        <v>#REF!</v>
      </c>
      <c r="U810" s="234"/>
      <c r="V810" s="234"/>
      <c r="W810" s="74" t="s">
        <v>38</v>
      </c>
    </row>
    <row r="811" spans="1:24" ht="18.75" customHeight="1">
      <c r="A811" s="91"/>
      <c r="B811" s="90"/>
      <c r="C811" s="90"/>
      <c r="D811" s="90"/>
      <c r="E811" s="90"/>
      <c r="F811" s="90"/>
      <c r="G811" s="90"/>
      <c r="H811" s="90"/>
      <c r="I811" s="90"/>
      <c r="J811" s="90"/>
      <c r="K811" s="89"/>
      <c r="M811" s="91"/>
      <c r="N811" s="90"/>
      <c r="O811" s="90"/>
      <c r="P811" s="90"/>
      <c r="Q811" s="90"/>
      <c r="R811" s="90"/>
      <c r="S811" s="90"/>
      <c r="T811" s="90"/>
      <c r="U811" s="90"/>
      <c r="V811" s="90"/>
      <c r="W811" s="89"/>
    </row>
    <row r="812" spans="1:24" ht="18.75" customHeight="1">
      <c r="A812" s="88"/>
      <c r="B812" s="77"/>
      <c r="C812" s="77"/>
      <c r="D812" s="77"/>
      <c r="E812" s="77"/>
      <c r="F812" s="77"/>
      <c r="G812" s="77"/>
      <c r="H812" s="77"/>
      <c r="I812" s="235" t="s">
        <v>37</v>
      </c>
      <c r="J812" s="235"/>
      <c r="K812" s="236"/>
      <c r="M812" s="88"/>
      <c r="N812" s="77"/>
      <c r="O812" s="77"/>
      <c r="P812" s="77"/>
      <c r="Q812" s="77"/>
      <c r="R812" s="77"/>
      <c r="S812" s="77"/>
      <c r="T812" s="77"/>
      <c r="U812" s="235" t="s">
        <v>37</v>
      </c>
      <c r="V812" s="235"/>
      <c r="W812" s="236"/>
    </row>
    <row r="813" spans="1:24" ht="18.75" customHeight="1">
      <c r="A813" s="88"/>
      <c r="B813" s="235"/>
      <c r="C813" s="235"/>
      <c r="D813" s="235"/>
      <c r="E813" s="235"/>
      <c r="F813" s="77"/>
      <c r="G813" s="77"/>
      <c r="H813" s="77"/>
      <c r="I813" s="77"/>
      <c r="J813" s="77"/>
      <c r="K813" s="82"/>
      <c r="M813" s="88"/>
      <c r="N813" s="235"/>
      <c r="O813" s="235"/>
      <c r="P813" s="235"/>
      <c r="Q813" s="235"/>
      <c r="R813" s="77"/>
      <c r="S813" s="77"/>
      <c r="T813" s="77"/>
      <c r="U813" s="77"/>
      <c r="V813" s="77"/>
      <c r="W813" s="82"/>
    </row>
    <row r="814" spans="1:24" ht="18.75" customHeight="1" thickBot="1">
      <c r="A814" s="87"/>
      <c r="B814" s="86"/>
      <c r="C814" s="86"/>
      <c r="D814" s="86"/>
      <c r="E814" s="86"/>
      <c r="F814" s="86"/>
      <c r="G814" s="86"/>
      <c r="H814" s="86"/>
      <c r="I814" s="237" t="s">
        <v>36</v>
      </c>
      <c r="J814" s="237"/>
      <c r="K814" s="238"/>
      <c r="M814" s="87"/>
      <c r="N814" s="86"/>
      <c r="O814" s="86"/>
      <c r="P814" s="86"/>
      <c r="Q814" s="86"/>
      <c r="R814" s="86"/>
      <c r="S814" s="86"/>
      <c r="T814" s="86"/>
      <c r="U814" s="237" t="s">
        <v>36</v>
      </c>
      <c r="V814" s="237"/>
      <c r="W814" s="238"/>
    </row>
    <row r="816" spans="1:24" ht="18.75" customHeight="1" thickTop="1">
      <c r="A816" s="239" t="s">
        <v>87</v>
      </c>
      <c r="B816" s="240"/>
      <c r="C816" s="240"/>
      <c r="D816" s="240"/>
      <c r="E816" s="240"/>
      <c r="F816" s="240"/>
      <c r="G816" s="240"/>
      <c r="H816" s="240"/>
      <c r="I816" s="240"/>
      <c r="J816" s="240"/>
      <c r="K816" s="241"/>
      <c r="L816" s="72">
        <v>25</v>
      </c>
      <c r="M816" s="239" t="s">
        <v>87</v>
      </c>
      <c r="N816" s="240"/>
      <c r="O816" s="240"/>
      <c r="P816" s="240"/>
      <c r="Q816" s="240"/>
      <c r="R816" s="240"/>
      <c r="S816" s="240"/>
      <c r="T816" s="240"/>
      <c r="U816" s="240"/>
      <c r="V816" s="240"/>
      <c r="W816" s="241"/>
      <c r="X816" s="72">
        <v>25</v>
      </c>
    </row>
    <row r="817" spans="1:24" ht="18.75" customHeight="1">
      <c r="A817" s="85" t="s">
        <v>105</v>
      </c>
      <c r="B817" s="84"/>
      <c r="C817" s="84"/>
      <c r="D817" s="84"/>
      <c r="E817" s="84"/>
      <c r="F817" s="84"/>
      <c r="G817" s="84"/>
      <c r="H817" s="84"/>
      <c r="I817" s="84"/>
      <c r="J817" s="84"/>
      <c r="K817" s="83"/>
      <c r="M817" s="85" t="s">
        <v>104</v>
      </c>
      <c r="N817" s="84"/>
      <c r="O817" s="84"/>
      <c r="P817" s="84"/>
      <c r="Q817" s="84"/>
      <c r="R817" s="84"/>
      <c r="S817" s="84"/>
      <c r="T817" s="84"/>
      <c r="U817" s="84"/>
      <c r="V817" s="84"/>
      <c r="W817" s="83"/>
    </row>
    <row r="818" spans="1:24" ht="18.75" customHeight="1">
      <c r="A818" s="227" t="s">
        <v>84</v>
      </c>
      <c r="B818" s="228"/>
      <c r="C818" s="228"/>
      <c r="D818" s="228"/>
      <c r="E818" s="228"/>
      <c r="F818" s="228"/>
      <c r="G818" s="228"/>
      <c r="H818" s="228"/>
      <c r="I818" s="228"/>
      <c r="J818" s="228"/>
      <c r="K818" s="229"/>
      <c r="M818" s="227" t="s">
        <v>84</v>
      </c>
      <c r="N818" s="228"/>
      <c r="O818" s="228"/>
      <c r="P818" s="228"/>
      <c r="Q818" s="228"/>
      <c r="R818" s="228"/>
      <c r="S818" s="228"/>
      <c r="T818" s="228"/>
      <c r="U818" s="228"/>
      <c r="V818" s="228"/>
      <c r="W818" s="229"/>
    </row>
    <row r="819" spans="1:24" ht="18.75" customHeight="1">
      <c r="A819" s="222" t="s">
        <v>83</v>
      </c>
      <c r="B819" s="223"/>
      <c r="C819" s="223"/>
      <c r="D819" s="223"/>
      <c r="E819" s="77" t="s">
        <v>39</v>
      </c>
      <c r="F819" s="224">
        <f>'[3]Bang TH nop'!B93</f>
        <v>0</v>
      </c>
      <c r="G819" s="223"/>
      <c r="H819" s="223"/>
      <c r="I819" s="223"/>
      <c r="J819" s="223"/>
      <c r="K819" s="226"/>
      <c r="M819" s="222" t="s">
        <v>83</v>
      </c>
      <c r="N819" s="223"/>
      <c r="O819" s="223"/>
      <c r="P819" s="223"/>
      <c r="Q819" s="77" t="s">
        <v>39</v>
      </c>
      <c r="R819" s="224">
        <f>'[3]Bang TH nop'!B95</f>
        <v>0</v>
      </c>
      <c r="S819" s="223"/>
      <c r="T819" s="223"/>
      <c r="U819" s="223"/>
      <c r="V819" s="223"/>
      <c r="W819" s="226"/>
    </row>
    <row r="820" spans="1:24" ht="18.75" customHeight="1">
      <c r="A820" s="222" t="s">
        <v>82</v>
      </c>
      <c r="B820" s="223"/>
      <c r="C820" s="223"/>
      <c r="D820" s="223"/>
      <c r="E820" s="77" t="s">
        <v>39</v>
      </c>
      <c r="F820" s="224">
        <f>'[3]Bang TH nop'!C93</f>
        <v>0</v>
      </c>
      <c r="G820" s="224"/>
      <c r="H820" s="224"/>
      <c r="I820" s="224"/>
      <c r="J820" s="224"/>
      <c r="K820" s="225"/>
      <c r="M820" s="222" t="s">
        <v>82</v>
      </c>
      <c r="N820" s="223"/>
      <c r="O820" s="223"/>
      <c r="P820" s="223"/>
      <c r="Q820" s="77" t="s">
        <v>39</v>
      </c>
      <c r="R820" s="224">
        <f>'[3]Bang TH nop'!C95</f>
        <v>0</v>
      </c>
      <c r="S820" s="224"/>
      <c r="T820" s="224"/>
      <c r="U820" s="224"/>
      <c r="V820" s="224"/>
      <c r="W820" s="225"/>
    </row>
    <row r="821" spans="1:24" ht="18.75" customHeight="1">
      <c r="A821" s="222" t="s">
        <v>81</v>
      </c>
      <c r="B821" s="223"/>
      <c r="C821" s="223"/>
      <c r="D821" s="223"/>
      <c r="E821" s="77" t="s">
        <v>39</v>
      </c>
      <c r="F821" s="223" t="s">
        <v>80</v>
      </c>
      <c r="G821" s="223"/>
      <c r="H821" s="223"/>
      <c r="I821" s="223"/>
      <c r="J821" s="223"/>
      <c r="K821" s="226"/>
      <c r="M821" s="222" t="s">
        <v>81</v>
      </c>
      <c r="N821" s="223"/>
      <c r="O821" s="223"/>
      <c r="P821" s="223"/>
      <c r="Q821" s="77" t="s">
        <v>39</v>
      </c>
      <c r="R821" s="223" t="s">
        <v>80</v>
      </c>
      <c r="S821" s="223"/>
      <c r="T821" s="223"/>
      <c r="U821" s="223"/>
      <c r="V821" s="223"/>
      <c r="W821" s="226"/>
    </row>
    <row r="822" spans="1:24" ht="18.75" customHeight="1">
      <c r="A822" s="227" t="s">
        <v>79</v>
      </c>
      <c r="B822" s="228"/>
      <c r="C822" s="228"/>
      <c r="D822" s="228"/>
      <c r="E822" s="228"/>
      <c r="F822" s="228"/>
      <c r="G822" s="228"/>
      <c r="H822" s="228"/>
      <c r="I822" s="228"/>
      <c r="J822" s="228"/>
      <c r="K822" s="229"/>
      <c r="M822" s="227" t="s">
        <v>79</v>
      </c>
      <c r="N822" s="228"/>
      <c r="O822" s="228"/>
      <c r="P822" s="228"/>
      <c r="Q822" s="228"/>
      <c r="R822" s="228"/>
      <c r="S822" s="228"/>
      <c r="T822" s="228"/>
      <c r="U822" s="228"/>
      <c r="V822" s="228"/>
      <c r="W822" s="229"/>
    </row>
    <row r="823" spans="1:24" ht="18.75" customHeight="1">
      <c r="A823" s="222" t="s">
        <v>78</v>
      </c>
      <c r="B823" s="223"/>
      <c r="C823" s="223"/>
      <c r="D823" s="223"/>
      <c r="E823" s="77" t="s">
        <v>39</v>
      </c>
      <c r="F823" s="230">
        <v>2915400</v>
      </c>
      <c r="G823" s="230"/>
      <c r="H823" s="230"/>
      <c r="I823" s="230"/>
      <c r="J823" s="77" t="s">
        <v>38</v>
      </c>
      <c r="K823" s="82"/>
      <c r="M823" s="222" t="s">
        <v>78</v>
      </c>
      <c r="N823" s="223"/>
      <c r="O823" s="223"/>
      <c r="P823" s="223"/>
      <c r="Q823" s="77" t="s">
        <v>39</v>
      </c>
      <c r="R823" s="230">
        <v>2915400</v>
      </c>
      <c r="S823" s="230"/>
      <c r="T823" s="230"/>
      <c r="U823" s="230"/>
      <c r="V823" s="77" t="s">
        <v>38</v>
      </c>
      <c r="W823" s="82"/>
    </row>
    <row r="824" spans="1:24" ht="18.75" customHeight="1">
      <c r="A824" s="81" t="s">
        <v>77</v>
      </c>
      <c r="B824" s="77"/>
      <c r="C824" s="80"/>
      <c r="D824" s="79"/>
      <c r="E824" s="78"/>
      <c r="F824" s="78"/>
      <c r="G824" s="78"/>
      <c r="H824" s="77"/>
      <c r="I824" s="76" t="e">
        <f>#REF!</f>
        <v>#REF!</v>
      </c>
      <c r="J824" s="75"/>
      <c r="K824" s="74"/>
      <c r="M824" s="81" t="s">
        <v>77</v>
      </c>
      <c r="N824" s="77"/>
      <c r="O824" s="80"/>
      <c r="P824" s="79"/>
      <c r="Q824" s="78"/>
      <c r="R824" s="78"/>
      <c r="S824" s="78"/>
      <c r="T824" s="77"/>
      <c r="U824" s="76" t="e">
        <f>#REF!</f>
        <v>#REF!</v>
      </c>
      <c r="V824" s="75"/>
      <c r="W824" s="74"/>
    </row>
    <row r="825" spans="1:24" ht="18.75" customHeight="1">
      <c r="A825" s="81" t="s">
        <v>76</v>
      </c>
      <c r="B825" s="77"/>
      <c r="C825" s="80"/>
      <c r="D825" s="79"/>
      <c r="E825" s="78"/>
      <c r="F825" s="78"/>
      <c r="G825" s="78"/>
      <c r="H825" s="77"/>
      <c r="I825" s="76" t="e">
        <f>I826/C826/8</f>
        <v>#DIV/0!</v>
      </c>
      <c r="J825" s="75"/>
      <c r="K825" s="74"/>
      <c r="M825" s="81" t="s">
        <v>76</v>
      </c>
      <c r="N825" s="77"/>
      <c r="O825" s="80"/>
      <c r="P825" s="79"/>
      <c r="Q825" s="78"/>
      <c r="R825" s="78"/>
      <c r="S825" s="78"/>
      <c r="T825" s="77"/>
      <c r="U825" s="76" t="e">
        <f>U826/O826/8</f>
        <v>#DIV/0!</v>
      </c>
      <c r="V825" s="75"/>
      <c r="W825" s="74"/>
    </row>
    <row r="826" spans="1:24" ht="18.75" customHeight="1">
      <c r="E826" s="231"/>
      <c r="F826" s="231"/>
      <c r="G826" s="231"/>
      <c r="I826" s="231"/>
      <c r="J826" s="231"/>
      <c r="Q826" s="231"/>
      <c r="R826" s="231"/>
      <c r="S826" s="231"/>
      <c r="U826" s="231"/>
      <c r="V826" s="231"/>
    </row>
    <row r="827" spans="1:24" ht="18.75" customHeight="1">
      <c r="A827" s="73" t="s">
        <v>73</v>
      </c>
      <c r="B827" s="73" t="s">
        <v>39</v>
      </c>
      <c r="C827" s="73" t="e">
        <f>#REF!</f>
        <v>#REF!</v>
      </c>
      <c r="D827" s="73" t="s">
        <v>52</v>
      </c>
      <c r="E827" s="221" t="s">
        <v>72</v>
      </c>
      <c r="F827" s="221"/>
      <c r="G827" s="221"/>
      <c r="H827" s="73" t="s">
        <v>39</v>
      </c>
      <c r="I827" s="221" t="e">
        <f>$F$8/$L$1*C827</f>
        <v>#REF!</v>
      </c>
      <c r="J827" s="221"/>
      <c r="K827" s="73" t="s">
        <v>38</v>
      </c>
      <c r="L827" s="73"/>
      <c r="M827" s="73" t="s">
        <v>73</v>
      </c>
      <c r="N827" s="73" t="s">
        <v>39</v>
      </c>
      <c r="O827" s="73" t="e">
        <f>#REF!</f>
        <v>#REF!</v>
      </c>
      <c r="P827" s="73" t="s">
        <v>52</v>
      </c>
      <c r="Q827" s="221" t="s">
        <v>72</v>
      </c>
      <c r="R827" s="221"/>
      <c r="S827" s="221"/>
      <c r="T827" s="73" t="s">
        <v>39</v>
      </c>
      <c r="U827" s="221" t="e">
        <f>$F$8/$L$1*O827</f>
        <v>#REF!</v>
      </c>
      <c r="V827" s="221"/>
      <c r="W827" s="73" t="s">
        <v>38</v>
      </c>
      <c r="X827" s="73"/>
    </row>
    <row r="828" spans="1:24" ht="18.75" customHeight="1">
      <c r="A828" s="73" t="s">
        <v>71</v>
      </c>
      <c r="B828" s="73" t="s">
        <v>39</v>
      </c>
      <c r="C828" s="73" t="e">
        <f>#REF!</f>
        <v>#REF!</v>
      </c>
      <c r="D828" s="73" t="s">
        <v>52</v>
      </c>
      <c r="E828" s="221" t="s">
        <v>70</v>
      </c>
      <c r="F828" s="221"/>
      <c r="G828" s="221"/>
      <c r="H828" s="73" t="s">
        <v>39</v>
      </c>
      <c r="I828" s="221" t="e">
        <f>$F$8/$L$1*C828</f>
        <v>#REF!</v>
      </c>
      <c r="J828" s="221"/>
      <c r="K828" s="73" t="s">
        <v>38</v>
      </c>
      <c r="L828" s="73"/>
      <c r="M828" s="73" t="s">
        <v>71</v>
      </c>
      <c r="N828" s="73" t="s">
        <v>39</v>
      </c>
      <c r="O828" s="73" t="e">
        <f>#REF!</f>
        <v>#REF!</v>
      </c>
      <c r="P828" s="73" t="s">
        <v>52</v>
      </c>
      <c r="Q828" s="221" t="s">
        <v>70</v>
      </c>
      <c r="R828" s="221"/>
      <c r="S828" s="221"/>
      <c r="T828" s="73" t="s">
        <v>39</v>
      </c>
      <c r="U828" s="221" t="e">
        <f>$F$8/$L$1*O828</f>
        <v>#REF!</v>
      </c>
      <c r="V828" s="221"/>
      <c r="W828" s="73" t="s">
        <v>38</v>
      </c>
      <c r="X828" s="73"/>
    </row>
    <row r="829" spans="1:24" ht="18.75" customHeight="1">
      <c r="A829" s="73" t="s">
        <v>69</v>
      </c>
      <c r="B829" s="73" t="s">
        <v>39</v>
      </c>
      <c r="C829" s="73" t="e">
        <f>#REF!</f>
        <v>#REF!</v>
      </c>
      <c r="D829" s="73" t="s">
        <v>52</v>
      </c>
      <c r="E829" s="221" t="s">
        <v>68</v>
      </c>
      <c r="F829" s="221"/>
      <c r="G829" s="221"/>
      <c r="H829" s="73" t="s">
        <v>39</v>
      </c>
      <c r="I829" s="221" t="e">
        <f>$F$8/$L$1*C829</f>
        <v>#REF!</v>
      </c>
      <c r="J829" s="221"/>
      <c r="K829" s="73" t="s">
        <v>38</v>
      </c>
      <c r="L829" s="73"/>
      <c r="M829" s="73" t="s">
        <v>69</v>
      </c>
      <c r="N829" s="73" t="s">
        <v>39</v>
      </c>
      <c r="O829" s="73" t="e">
        <f>#REF!</f>
        <v>#REF!</v>
      </c>
      <c r="P829" s="73" t="s">
        <v>52</v>
      </c>
      <c r="Q829" s="221" t="s">
        <v>68</v>
      </c>
      <c r="R829" s="221"/>
      <c r="S829" s="221"/>
      <c r="T829" s="73" t="s">
        <v>39</v>
      </c>
      <c r="U829" s="221" t="e">
        <f>$F$8/$L$1*O829</f>
        <v>#REF!</v>
      </c>
      <c r="V829" s="221"/>
      <c r="W829" s="73" t="s">
        <v>38</v>
      </c>
      <c r="X829" s="73"/>
    </row>
    <row r="830" spans="1:24" ht="18.75" customHeight="1">
      <c r="A830" s="73" t="s">
        <v>67</v>
      </c>
      <c r="B830" s="73" t="s">
        <v>39</v>
      </c>
      <c r="C830" s="73" t="e">
        <f>#REF!</f>
        <v>#REF!</v>
      </c>
      <c r="D830" s="73" t="s">
        <v>58</v>
      </c>
      <c r="E830" s="221" t="s">
        <v>66</v>
      </c>
      <c r="F830" s="221"/>
      <c r="G830" s="221"/>
      <c r="H830" s="73" t="s">
        <v>39</v>
      </c>
      <c r="I830" s="221" t="e">
        <f>I826/C826/8*C830</f>
        <v>#DIV/0!</v>
      </c>
      <c r="J830" s="221"/>
      <c r="K830" s="73" t="s">
        <v>38</v>
      </c>
      <c r="L830" s="73" t="e">
        <f>F823*C830/L816/8*1.5</f>
        <v>#REF!</v>
      </c>
      <c r="M830" s="73" t="s">
        <v>67</v>
      </c>
      <c r="N830" s="73" t="s">
        <v>39</v>
      </c>
      <c r="O830" s="73" t="e">
        <f>#REF!</f>
        <v>#REF!</v>
      </c>
      <c r="P830" s="73" t="s">
        <v>58</v>
      </c>
      <c r="Q830" s="221" t="s">
        <v>66</v>
      </c>
      <c r="R830" s="221"/>
      <c r="S830" s="221"/>
      <c r="T830" s="73" t="s">
        <v>39</v>
      </c>
      <c r="U830" s="221" t="e">
        <f>U826/O826/8*O830</f>
        <v>#DIV/0!</v>
      </c>
      <c r="V830" s="221"/>
      <c r="W830" s="73" t="s">
        <v>38</v>
      </c>
      <c r="X830" s="73" t="e">
        <f>R823*O830/X816/8*1.5</f>
        <v>#REF!</v>
      </c>
    </row>
    <row r="831" spans="1:24" ht="18.75" customHeight="1">
      <c r="A831" s="221" t="s">
        <v>65</v>
      </c>
      <c r="B831" s="221"/>
      <c r="C831" s="73"/>
      <c r="D831" s="73" t="s">
        <v>52</v>
      </c>
      <c r="E831" s="221" t="s">
        <v>64</v>
      </c>
      <c r="F831" s="221"/>
      <c r="G831" s="221"/>
      <c r="H831" s="73" t="s">
        <v>39</v>
      </c>
      <c r="I831" s="221"/>
      <c r="J831" s="221"/>
      <c r="K831" s="73" t="s">
        <v>38</v>
      </c>
      <c r="L831" s="73"/>
      <c r="M831" s="221" t="s">
        <v>65</v>
      </c>
      <c r="N831" s="221"/>
      <c r="O831" s="73"/>
      <c r="P831" s="73" t="s">
        <v>52</v>
      </c>
      <c r="Q831" s="221" t="s">
        <v>64</v>
      </c>
      <c r="R831" s="221"/>
      <c r="S831" s="221"/>
      <c r="T831" s="73" t="s">
        <v>39</v>
      </c>
      <c r="U831" s="221"/>
      <c r="V831" s="221"/>
      <c r="W831" s="73" t="s">
        <v>38</v>
      </c>
      <c r="X831" s="73"/>
    </row>
    <row r="832" spans="1:24" ht="18.75" customHeight="1">
      <c r="A832" s="73" t="s">
        <v>63</v>
      </c>
      <c r="B832" s="73" t="s">
        <v>39</v>
      </c>
      <c r="C832" s="73"/>
      <c r="D832" s="73" t="s">
        <v>52</v>
      </c>
      <c r="E832" s="221" t="s">
        <v>62</v>
      </c>
      <c r="F832" s="221"/>
      <c r="G832" s="221"/>
      <c r="H832" s="73" t="s">
        <v>39</v>
      </c>
      <c r="I832" s="221"/>
      <c r="J832" s="221"/>
      <c r="K832" s="73" t="s">
        <v>38</v>
      </c>
      <c r="L832" s="73"/>
      <c r="M832" s="73" t="s">
        <v>63</v>
      </c>
      <c r="N832" s="73" t="s">
        <v>39</v>
      </c>
      <c r="O832" s="73"/>
      <c r="P832" s="73" t="s">
        <v>52</v>
      </c>
      <c r="Q832" s="221" t="s">
        <v>62</v>
      </c>
      <c r="R832" s="221"/>
      <c r="S832" s="221"/>
      <c r="T832" s="73" t="s">
        <v>39</v>
      </c>
      <c r="U832" s="221"/>
      <c r="V832" s="221"/>
      <c r="W832" s="73" t="s">
        <v>38</v>
      </c>
      <c r="X832" s="73"/>
    </row>
    <row r="833" spans="1:24" ht="18.75" customHeight="1">
      <c r="A833" s="73" t="s">
        <v>61</v>
      </c>
      <c r="B833" s="73"/>
      <c r="C833" s="73" t="e">
        <f>#REF!</f>
        <v>#REF!</v>
      </c>
      <c r="D833" s="73" t="s">
        <v>58</v>
      </c>
      <c r="E833" s="221" t="s">
        <v>60</v>
      </c>
      <c r="F833" s="221"/>
      <c r="G833" s="221"/>
      <c r="H833" s="73" t="s">
        <v>39</v>
      </c>
      <c r="I833" s="221" t="e">
        <f>$F$8*C833/8/$L$1</f>
        <v>#REF!</v>
      </c>
      <c r="J833" s="221"/>
      <c r="K833" s="73" t="s">
        <v>38</v>
      </c>
      <c r="L833" s="73"/>
      <c r="M833" s="73" t="s">
        <v>61</v>
      </c>
      <c r="N833" s="73"/>
      <c r="O833" s="73" t="e">
        <f>#REF!</f>
        <v>#REF!</v>
      </c>
      <c r="P833" s="73" t="s">
        <v>58</v>
      </c>
      <c r="Q833" s="221" t="s">
        <v>60</v>
      </c>
      <c r="R833" s="221"/>
      <c r="S833" s="221"/>
      <c r="T833" s="73" t="s">
        <v>39</v>
      </c>
      <c r="U833" s="221" t="e">
        <f>$F$8*O833/8/$L$1</f>
        <v>#REF!</v>
      </c>
      <c r="V833" s="221"/>
      <c r="W833" s="73" t="s">
        <v>38</v>
      </c>
      <c r="X833" s="73"/>
    </row>
    <row r="834" spans="1:24" ht="18.75" customHeight="1">
      <c r="A834" s="73" t="s">
        <v>59</v>
      </c>
      <c r="B834" s="73" t="s">
        <v>39</v>
      </c>
      <c r="C834" s="73"/>
      <c r="D834" s="73" t="s">
        <v>58</v>
      </c>
      <c r="E834" s="221" t="s">
        <v>57</v>
      </c>
      <c r="F834" s="221"/>
      <c r="G834" s="221"/>
      <c r="H834" s="73" t="s">
        <v>39</v>
      </c>
      <c r="I834" s="221"/>
      <c r="J834" s="221"/>
      <c r="K834" s="73" t="s">
        <v>38</v>
      </c>
      <c r="L834" s="73"/>
      <c r="M834" s="73" t="s">
        <v>59</v>
      </c>
      <c r="N834" s="73" t="s">
        <v>39</v>
      </c>
      <c r="O834" s="73"/>
      <c r="P834" s="73" t="s">
        <v>58</v>
      </c>
      <c r="Q834" s="221" t="s">
        <v>57</v>
      </c>
      <c r="R834" s="221"/>
      <c r="S834" s="221"/>
      <c r="T834" s="73" t="s">
        <v>39</v>
      </c>
      <c r="U834" s="221"/>
      <c r="V834" s="221"/>
      <c r="W834" s="73" t="s">
        <v>38</v>
      </c>
      <c r="X834" s="73"/>
    </row>
    <row r="835" spans="1:24" ht="18.75" customHeight="1">
      <c r="A835" s="73" t="s">
        <v>56</v>
      </c>
      <c r="B835" s="73" t="s">
        <v>39</v>
      </c>
      <c r="C835" s="73"/>
      <c r="D835" s="73" t="s">
        <v>55</v>
      </c>
      <c r="E835" s="73" t="s">
        <v>54</v>
      </c>
      <c r="F835" s="73"/>
      <c r="G835" s="73"/>
      <c r="H835" s="73" t="s">
        <v>39</v>
      </c>
      <c r="I835" s="221"/>
      <c r="J835" s="221"/>
      <c r="K835" s="73" t="s">
        <v>38</v>
      </c>
      <c r="L835" s="73" t="e">
        <f>+IF(L826-I826&lt;0,0,L826-I826)+IF(L830-I830&lt;0,0,L830-I830)</f>
        <v>#REF!</v>
      </c>
      <c r="M835" s="73" t="s">
        <v>56</v>
      </c>
      <c r="N835" s="73" t="s">
        <v>39</v>
      </c>
      <c r="O835" s="73"/>
      <c r="P835" s="73" t="s">
        <v>55</v>
      </c>
      <c r="Q835" s="73" t="s">
        <v>54</v>
      </c>
      <c r="R835" s="73"/>
      <c r="S835" s="73"/>
      <c r="T835" s="73" t="s">
        <v>39</v>
      </c>
      <c r="U835" s="221"/>
      <c r="V835" s="221"/>
      <c r="W835" s="73" t="s">
        <v>38</v>
      </c>
      <c r="X835" s="73" t="e">
        <f>+IF(X826-U826&lt;0,0,X826-U826)+IF(X830-U830&lt;0,0,X830-U830)</f>
        <v>#REF!</v>
      </c>
    </row>
    <row r="836" spans="1:24" ht="18.75" customHeight="1">
      <c r="A836" s="73" t="s">
        <v>53</v>
      </c>
      <c r="B836" s="73"/>
      <c r="C836" s="73"/>
      <c r="D836" s="73" t="s">
        <v>52</v>
      </c>
      <c r="E836" s="221" t="s">
        <v>51</v>
      </c>
      <c r="F836" s="221"/>
      <c r="G836" s="221"/>
      <c r="H836" s="73" t="s">
        <v>39</v>
      </c>
      <c r="I836" s="221"/>
      <c r="J836" s="221"/>
      <c r="K836" s="73" t="s">
        <v>38</v>
      </c>
      <c r="L836" s="73"/>
      <c r="M836" s="73" t="s">
        <v>53</v>
      </c>
      <c r="N836" s="73"/>
      <c r="O836" s="73"/>
      <c r="P836" s="73" t="s">
        <v>52</v>
      </c>
      <c r="Q836" s="221" t="s">
        <v>51</v>
      </c>
      <c r="R836" s="221"/>
      <c r="S836" s="221"/>
      <c r="T836" s="73" t="s">
        <v>39</v>
      </c>
      <c r="U836" s="221"/>
      <c r="V836" s="221"/>
      <c r="W836" s="73" t="s">
        <v>38</v>
      </c>
      <c r="X836" s="73"/>
    </row>
    <row r="837" spans="1:24" ht="18.75" customHeight="1">
      <c r="A837" s="221" t="s">
        <v>50</v>
      </c>
      <c r="B837" s="221"/>
      <c r="C837" s="73"/>
      <c r="D837" s="73"/>
      <c r="E837" s="73"/>
      <c r="F837" s="73"/>
      <c r="G837" s="73"/>
      <c r="H837" s="73" t="s">
        <v>39</v>
      </c>
      <c r="I837" s="221" t="e">
        <f>#REF!</f>
        <v>#REF!</v>
      </c>
      <c r="J837" s="221"/>
      <c r="K837" s="73" t="s">
        <v>38</v>
      </c>
      <c r="L837" s="73"/>
      <c r="M837" s="221" t="s">
        <v>50</v>
      </c>
      <c r="N837" s="221"/>
      <c r="O837" s="73"/>
      <c r="P837" s="73"/>
      <c r="Q837" s="73"/>
      <c r="R837" s="73"/>
      <c r="S837" s="73"/>
      <c r="T837" s="73" t="s">
        <v>39</v>
      </c>
      <c r="U837" s="221" t="e">
        <f>#REF!</f>
        <v>#REF!</v>
      </c>
      <c r="V837" s="221"/>
      <c r="W837" s="73" t="s">
        <v>38</v>
      </c>
      <c r="X837" s="73"/>
    </row>
    <row r="838" spans="1:24" ht="18.75" customHeight="1">
      <c r="A838" s="73" t="s">
        <v>49</v>
      </c>
      <c r="B838" s="73" t="s">
        <v>39</v>
      </c>
      <c r="C838" s="73"/>
      <c r="D838" s="73"/>
      <c r="E838" s="73" t="s">
        <v>48</v>
      </c>
      <c r="F838" s="73"/>
      <c r="G838" s="73"/>
      <c r="H838" s="73" t="s">
        <v>39</v>
      </c>
      <c r="I838" s="221" t="e">
        <f>L835</f>
        <v>#REF!</v>
      </c>
      <c r="J838" s="221"/>
      <c r="K838" s="73" t="s">
        <v>38</v>
      </c>
      <c r="L838" s="73"/>
      <c r="M838" s="73" t="s">
        <v>49</v>
      </c>
      <c r="N838" s="73" t="s">
        <v>39</v>
      </c>
      <c r="O838" s="73"/>
      <c r="P838" s="73"/>
      <c r="Q838" s="73" t="s">
        <v>48</v>
      </c>
      <c r="R838" s="73"/>
      <c r="S838" s="73"/>
      <c r="T838" s="73" t="s">
        <v>39</v>
      </c>
      <c r="U838" s="221" t="e">
        <f>X835</f>
        <v>#REF!</v>
      </c>
      <c r="V838" s="221"/>
      <c r="W838" s="73" t="s">
        <v>38</v>
      </c>
      <c r="X838" s="73"/>
    </row>
    <row r="839" spans="1:24" ht="18.75" customHeight="1">
      <c r="A839" s="221" t="s">
        <v>47</v>
      </c>
      <c r="B839" s="221"/>
      <c r="C839" s="221"/>
      <c r="D839" s="221"/>
      <c r="E839" s="221"/>
      <c r="F839" s="221"/>
      <c r="G839" s="73" t="s">
        <v>39</v>
      </c>
      <c r="H839" s="221" t="e">
        <f>I826+I827+I828+I829+I830+I833+I837+I838</f>
        <v>#REF!</v>
      </c>
      <c r="I839" s="221"/>
      <c r="J839" s="221"/>
      <c r="K839" s="73" t="s">
        <v>38</v>
      </c>
      <c r="M839" s="221" t="s">
        <v>47</v>
      </c>
      <c r="N839" s="221"/>
      <c r="O839" s="221"/>
      <c r="P839" s="221"/>
      <c r="Q839" s="221"/>
      <c r="R839" s="221"/>
      <c r="S839" s="73" t="s">
        <v>39</v>
      </c>
      <c r="T839" s="221" t="e">
        <f>U826+U827+U828+U829+U830+U833+U837+U838</f>
        <v>#REF!</v>
      </c>
      <c r="U839" s="221"/>
      <c r="V839" s="221"/>
      <c r="W839" s="73" t="s">
        <v>38</v>
      </c>
    </row>
    <row r="840" spans="1:24" ht="18.75" customHeight="1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</row>
    <row r="841" spans="1:24" ht="18.75" customHeight="1">
      <c r="A841" s="221" t="s">
        <v>46</v>
      </c>
      <c r="B841" s="221"/>
      <c r="C841" s="221"/>
      <c r="D841" s="221"/>
      <c r="E841" s="221"/>
      <c r="F841" s="221"/>
      <c r="G841" s="73"/>
      <c r="H841" s="73"/>
      <c r="I841" s="73"/>
      <c r="J841" s="73"/>
      <c r="K841" s="73"/>
      <c r="M841" s="221" t="s">
        <v>46</v>
      </c>
      <c r="N841" s="221"/>
      <c r="O841" s="221"/>
      <c r="P841" s="221"/>
      <c r="Q841" s="221"/>
      <c r="R841" s="221"/>
      <c r="S841" s="73"/>
      <c r="T841" s="73"/>
      <c r="U841" s="73"/>
      <c r="V841" s="73"/>
      <c r="W841" s="73"/>
    </row>
    <row r="842" spans="1:24" ht="18.75" customHeight="1">
      <c r="A842" s="221" t="s">
        <v>45</v>
      </c>
      <c r="B842" s="221"/>
      <c r="C842" s="221"/>
      <c r="D842" s="221"/>
      <c r="E842" s="221"/>
      <c r="F842" s="221"/>
      <c r="G842" s="73" t="s">
        <v>39</v>
      </c>
      <c r="H842" s="221" t="e">
        <f>IF(($L$1-(C826+C827+C828+C829))&gt;12,0,F823*8%)</f>
        <v>#REF!</v>
      </c>
      <c r="I842" s="221"/>
      <c r="J842" s="221"/>
      <c r="K842" s="73" t="s">
        <v>38</v>
      </c>
      <c r="M842" s="221" t="s">
        <v>45</v>
      </c>
      <c r="N842" s="221"/>
      <c r="O842" s="221"/>
      <c r="P842" s="221"/>
      <c r="Q842" s="221"/>
      <c r="R842" s="221"/>
      <c r="S842" s="73" t="s">
        <v>39</v>
      </c>
      <c r="T842" s="221" t="e">
        <f>IF(($L$1-(O826+O827+O828+O829))&gt;12,0,R823*8%)</f>
        <v>#REF!</v>
      </c>
      <c r="U842" s="221"/>
      <c r="V842" s="221"/>
      <c r="W842" s="73" t="s">
        <v>38</v>
      </c>
    </row>
    <row r="843" spans="1:24" ht="18.75" customHeight="1">
      <c r="A843" s="221" t="s">
        <v>44</v>
      </c>
      <c r="B843" s="221"/>
      <c r="C843" s="221"/>
      <c r="D843" s="221"/>
      <c r="E843" s="221"/>
      <c r="F843" s="221"/>
      <c r="G843" s="73" t="s">
        <v>39</v>
      </c>
      <c r="H843" s="221" t="e">
        <f>IF(($L$1-(C826+C827+C828+C829))&gt;12,0,F823*1.5%)</f>
        <v>#REF!</v>
      </c>
      <c r="I843" s="221"/>
      <c r="J843" s="221"/>
      <c r="K843" s="73" t="s">
        <v>38</v>
      </c>
      <c r="M843" s="221" t="s">
        <v>44</v>
      </c>
      <c r="N843" s="221"/>
      <c r="O843" s="221"/>
      <c r="P843" s="221"/>
      <c r="Q843" s="221"/>
      <c r="R843" s="221"/>
      <c r="S843" s="73" t="s">
        <v>39</v>
      </c>
      <c r="T843" s="221" t="e">
        <f>IF(($L$1-(O826+O827+O828+O829))&gt;12,0,R823*1.5%)</f>
        <v>#REF!</v>
      </c>
      <c r="U843" s="221"/>
      <c r="V843" s="221"/>
      <c r="W843" s="73" t="s">
        <v>38</v>
      </c>
    </row>
    <row r="844" spans="1:24" ht="18.75" customHeight="1">
      <c r="A844" s="221" t="s">
        <v>43</v>
      </c>
      <c r="B844" s="221"/>
      <c r="C844" s="221"/>
      <c r="D844" s="221"/>
      <c r="E844" s="221"/>
      <c r="F844" s="221"/>
      <c r="G844" s="73" t="s">
        <v>39</v>
      </c>
      <c r="H844" s="221" t="e">
        <f>IF(($L$1-(C826+C827+C828+C829))&gt;12,0,F823*1%)</f>
        <v>#REF!</v>
      </c>
      <c r="I844" s="221"/>
      <c r="J844" s="221"/>
      <c r="K844" s="73" t="s">
        <v>38</v>
      </c>
      <c r="M844" s="221" t="s">
        <v>43</v>
      </c>
      <c r="N844" s="221"/>
      <c r="O844" s="221"/>
      <c r="P844" s="221"/>
      <c r="Q844" s="221"/>
      <c r="R844" s="221"/>
      <c r="S844" s="73" t="s">
        <v>39</v>
      </c>
      <c r="T844" s="221" t="e">
        <f>IF(($L$1-(O826+O827+O828+O829))&gt;12,0,R823*1%)</f>
        <v>#REF!</v>
      </c>
      <c r="U844" s="221"/>
      <c r="V844" s="221"/>
      <c r="W844" s="73" t="s">
        <v>38</v>
      </c>
    </row>
    <row r="845" spans="1:24" ht="18.75" customHeight="1">
      <c r="A845" s="221" t="s">
        <v>42</v>
      </c>
      <c r="B845" s="221"/>
      <c r="C845" s="221"/>
      <c r="D845" s="221"/>
      <c r="E845" s="221"/>
      <c r="F845" s="221"/>
      <c r="G845" s="73" t="s">
        <v>39</v>
      </c>
      <c r="H845" s="221">
        <v>0</v>
      </c>
      <c r="I845" s="221"/>
      <c r="J845" s="221"/>
      <c r="K845" s="73" t="s">
        <v>38</v>
      </c>
      <c r="M845" s="221" t="s">
        <v>42</v>
      </c>
      <c r="N845" s="221"/>
      <c r="O845" s="221"/>
      <c r="P845" s="221"/>
      <c r="Q845" s="221"/>
      <c r="R845" s="221"/>
      <c r="S845" s="73" t="s">
        <v>39</v>
      </c>
      <c r="T845" s="221">
        <v>0</v>
      </c>
      <c r="U845" s="221"/>
      <c r="V845" s="221"/>
      <c r="W845" s="73" t="s">
        <v>38</v>
      </c>
    </row>
    <row r="846" spans="1:24" ht="18.75" customHeight="1">
      <c r="A846" s="221" t="s">
        <v>41</v>
      </c>
      <c r="B846" s="221"/>
      <c r="C846" s="221"/>
      <c r="D846" s="221"/>
      <c r="E846" s="221"/>
      <c r="F846" s="221"/>
      <c r="G846" s="73" t="s">
        <v>39</v>
      </c>
      <c r="H846" s="221" t="e">
        <f>SUM(H842:J845)</f>
        <v>#REF!</v>
      </c>
      <c r="I846" s="221"/>
      <c r="J846" s="221"/>
      <c r="K846" s="73" t="s">
        <v>38</v>
      </c>
      <c r="M846" s="221" t="s">
        <v>41</v>
      </c>
      <c r="N846" s="221"/>
      <c r="O846" s="221"/>
      <c r="P846" s="221"/>
      <c r="Q846" s="221"/>
      <c r="R846" s="221"/>
      <c r="S846" s="73" t="s">
        <v>39</v>
      </c>
      <c r="T846" s="221" t="e">
        <f>SUM(T842:V845)</f>
        <v>#REF!</v>
      </c>
      <c r="U846" s="221"/>
      <c r="V846" s="221"/>
      <c r="W846" s="73" t="s">
        <v>38</v>
      </c>
    </row>
    <row r="847" spans="1:24" ht="18.75" customHeight="1">
      <c r="A847" s="221" t="s">
        <v>40</v>
      </c>
      <c r="B847" s="221"/>
      <c r="C847" s="221"/>
      <c r="D847" s="221"/>
      <c r="E847" s="221"/>
      <c r="F847" s="221"/>
      <c r="G847" s="73" t="s">
        <v>39</v>
      </c>
      <c r="H847" s="221" t="e">
        <f>ROUND(H839-H846,-2)</f>
        <v>#REF!</v>
      </c>
      <c r="I847" s="221"/>
      <c r="J847" s="221"/>
      <c r="K847" s="73" t="s">
        <v>38</v>
      </c>
      <c r="M847" s="221" t="s">
        <v>40</v>
      </c>
      <c r="N847" s="221"/>
      <c r="O847" s="221"/>
      <c r="P847" s="221"/>
      <c r="Q847" s="221"/>
      <c r="R847" s="221"/>
      <c r="S847" s="73" t="s">
        <v>39</v>
      </c>
      <c r="T847" s="221" t="e">
        <f>ROUND(T839-T846,-2)</f>
        <v>#REF!</v>
      </c>
      <c r="U847" s="221"/>
      <c r="V847" s="221"/>
      <c r="W847" s="73" t="s">
        <v>38</v>
      </c>
    </row>
    <row r="848" spans="1:24" ht="18.75" customHeight="1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</row>
    <row r="849" spans="1:24" ht="18.75" customHeight="1">
      <c r="A849" s="73"/>
      <c r="B849" s="73"/>
      <c r="C849" s="73"/>
      <c r="D849" s="73"/>
      <c r="E849" s="73"/>
      <c r="F849" s="73"/>
      <c r="G849" s="73"/>
      <c r="H849" s="73"/>
      <c r="I849" s="221" t="s">
        <v>37</v>
      </c>
      <c r="J849" s="221"/>
      <c r="K849" s="221"/>
      <c r="M849" s="73"/>
      <c r="N849" s="73"/>
      <c r="O849" s="73"/>
      <c r="P849" s="73"/>
      <c r="Q849" s="73"/>
      <c r="R849" s="73"/>
      <c r="S849" s="73"/>
      <c r="T849" s="73"/>
      <c r="U849" s="221" t="s">
        <v>37</v>
      </c>
      <c r="V849" s="221"/>
      <c r="W849" s="221"/>
    </row>
    <row r="850" spans="1:24" ht="18.75" customHeight="1">
      <c r="A850" s="73"/>
      <c r="B850" s="221"/>
      <c r="C850" s="221"/>
      <c r="D850" s="221"/>
      <c r="E850" s="221"/>
      <c r="F850" s="73"/>
      <c r="G850" s="73"/>
      <c r="H850" s="73"/>
      <c r="I850" s="73"/>
      <c r="J850" s="73"/>
      <c r="K850" s="73"/>
      <c r="M850" s="73"/>
      <c r="N850" s="221"/>
      <c r="O850" s="221"/>
      <c r="P850" s="221"/>
      <c r="Q850" s="221"/>
      <c r="R850" s="73"/>
      <c r="S850" s="73"/>
      <c r="T850" s="73"/>
      <c r="U850" s="73"/>
      <c r="V850" s="73"/>
      <c r="W850" s="73"/>
    </row>
    <row r="851" spans="1:24" ht="18.75" customHeight="1">
      <c r="A851" s="73"/>
      <c r="B851" s="73"/>
      <c r="C851" s="73"/>
      <c r="D851" s="73"/>
      <c r="E851" s="73"/>
      <c r="F851" s="73"/>
      <c r="G851" s="73"/>
      <c r="H851" s="73"/>
      <c r="I851" s="221" t="s">
        <v>36</v>
      </c>
      <c r="J851" s="221"/>
      <c r="K851" s="221"/>
      <c r="M851" s="73"/>
      <c r="N851" s="73"/>
      <c r="O851" s="73"/>
      <c r="P851" s="73"/>
      <c r="Q851" s="73"/>
      <c r="R851" s="73"/>
      <c r="S851" s="73"/>
      <c r="T851" s="73"/>
      <c r="U851" s="221" t="s">
        <v>36</v>
      </c>
      <c r="V851" s="221"/>
      <c r="W851" s="221"/>
    </row>
    <row r="853" spans="1:24" ht="18.75" customHeight="1">
      <c r="A853" s="221" t="s">
        <v>87</v>
      </c>
      <c r="B853" s="221"/>
      <c r="C853" s="221"/>
      <c r="D853" s="221"/>
      <c r="E853" s="221"/>
      <c r="F853" s="221"/>
      <c r="G853" s="221"/>
      <c r="H853" s="221"/>
      <c r="I853" s="221"/>
      <c r="J853" s="221"/>
      <c r="K853" s="221"/>
      <c r="L853" s="73">
        <v>24</v>
      </c>
      <c r="M853" s="221" t="s">
        <v>87</v>
      </c>
      <c r="N853" s="221"/>
      <c r="O853" s="221"/>
      <c r="P853" s="221"/>
      <c r="Q853" s="221"/>
      <c r="R853" s="221"/>
      <c r="S853" s="221"/>
      <c r="T853" s="221"/>
      <c r="U853" s="221"/>
      <c r="V853" s="221"/>
      <c r="W853" s="221"/>
      <c r="X853" s="73">
        <v>24</v>
      </c>
    </row>
    <row r="854" spans="1:24" ht="18.75" customHeight="1">
      <c r="A854" s="73" t="s">
        <v>103</v>
      </c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M854" s="73" t="s">
        <v>102</v>
      </c>
      <c r="N854" s="73"/>
      <c r="O854" s="73"/>
      <c r="P854" s="73"/>
      <c r="Q854" s="73"/>
      <c r="R854" s="73"/>
      <c r="S854" s="73"/>
      <c r="T854" s="73"/>
      <c r="U854" s="73"/>
      <c r="V854" s="73"/>
      <c r="W854" s="73"/>
    </row>
    <row r="855" spans="1:24" ht="18.75" customHeight="1">
      <c r="A855" s="221" t="s">
        <v>84</v>
      </c>
      <c r="B855" s="221"/>
      <c r="C855" s="221"/>
      <c r="D855" s="221"/>
      <c r="E855" s="221"/>
      <c r="F855" s="221"/>
      <c r="G855" s="221"/>
      <c r="H855" s="221"/>
      <c r="I855" s="221"/>
      <c r="J855" s="221"/>
      <c r="K855" s="221"/>
      <c r="M855" s="221" t="s">
        <v>84</v>
      </c>
      <c r="N855" s="221"/>
      <c r="O855" s="221"/>
      <c r="P855" s="221"/>
      <c r="Q855" s="221"/>
      <c r="R855" s="221"/>
      <c r="S855" s="221"/>
      <c r="T855" s="221"/>
      <c r="U855" s="221"/>
      <c r="V855" s="221"/>
      <c r="W855" s="221"/>
    </row>
    <row r="856" spans="1:24" ht="18.75" customHeight="1">
      <c r="A856" s="221" t="s">
        <v>83</v>
      </c>
      <c r="B856" s="221"/>
      <c r="C856" s="221"/>
      <c r="D856" s="221"/>
      <c r="E856" s="73" t="s">
        <v>39</v>
      </c>
      <c r="F856" s="221">
        <f>'[3]Bang TH nop'!B97</f>
        <v>0</v>
      </c>
      <c r="G856" s="221"/>
      <c r="H856" s="221"/>
      <c r="I856" s="221"/>
      <c r="J856" s="221"/>
      <c r="K856" s="221"/>
      <c r="M856" s="221" t="s">
        <v>83</v>
      </c>
      <c r="N856" s="221"/>
      <c r="O856" s="221"/>
      <c r="P856" s="221"/>
      <c r="Q856" s="73" t="s">
        <v>39</v>
      </c>
      <c r="R856" s="221"/>
      <c r="S856" s="221"/>
      <c r="T856" s="221"/>
      <c r="U856" s="221"/>
      <c r="V856" s="221"/>
      <c r="W856" s="221"/>
    </row>
    <row r="857" spans="1:24" ht="18.75" customHeight="1">
      <c r="A857" s="221" t="s">
        <v>82</v>
      </c>
      <c r="B857" s="221"/>
      <c r="C857" s="221"/>
      <c r="D857" s="221"/>
      <c r="E857" s="73" t="s">
        <v>39</v>
      </c>
      <c r="F857" s="221">
        <f>'[3]Bang TH nop'!C97</f>
        <v>0</v>
      </c>
      <c r="G857" s="221"/>
      <c r="H857" s="221"/>
      <c r="I857" s="221"/>
      <c r="J857" s="221"/>
      <c r="K857" s="221"/>
      <c r="M857" s="221" t="s">
        <v>82</v>
      </c>
      <c r="N857" s="221"/>
      <c r="O857" s="221"/>
      <c r="P857" s="221"/>
      <c r="Q857" s="73" t="s">
        <v>39</v>
      </c>
      <c r="R857" s="221"/>
      <c r="S857" s="221"/>
      <c r="T857" s="221"/>
      <c r="U857" s="221"/>
      <c r="V857" s="221"/>
      <c r="W857" s="221"/>
    </row>
    <row r="858" spans="1:24" ht="18.75" customHeight="1">
      <c r="A858" s="221" t="s">
        <v>81</v>
      </c>
      <c r="B858" s="221"/>
      <c r="C858" s="221"/>
      <c r="D858" s="221"/>
      <c r="E858" s="73" t="s">
        <v>39</v>
      </c>
      <c r="F858" s="221" t="s">
        <v>80</v>
      </c>
      <c r="G858" s="221"/>
      <c r="H858" s="221"/>
      <c r="I858" s="221"/>
      <c r="J858" s="221"/>
      <c r="K858" s="221"/>
      <c r="M858" s="221" t="s">
        <v>81</v>
      </c>
      <c r="N858" s="221"/>
      <c r="O858" s="221"/>
      <c r="P858" s="221"/>
      <c r="Q858" s="73" t="s">
        <v>39</v>
      </c>
      <c r="R858" s="221" t="s">
        <v>80</v>
      </c>
      <c r="S858" s="221"/>
      <c r="T858" s="221"/>
      <c r="U858" s="221"/>
      <c r="V858" s="221"/>
      <c r="W858" s="221"/>
    </row>
    <row r="859" spans="1:24" ht="18.75" customHeight="1">
      <c r="A859" s="221" t="s">
        <v>79</v>
      </c>
      <c r="B859" s="221"/>
      <c r="C859" s="221"/>
      <c r="D859" s="221"/>
      <c r="E859" s="221"/>
      <c r="F859" s="221"/>
      <c r="G859" s="221"/>
      <c r="H859" s="221"/>
      <c r="I859" s="221"/>
      <c r="J859" s="221"/>
      <c r="K859" s="221"/>
      <c r="M859" s="221" t="s">
        <v>79</v>
      </c>
      <c r="N859" s="221"/>
      <c r="O859" s="221"/>
      <c r="P859" s="221"/>
      <c r="Q859" s="221"/>
      <c r="R859" s="221"/>
      <c r="S859" s="221"/>
      <c r="T859" s="221"/>
      <c r="U859" s="221"/>
      <c r="V859" s="221"/>
      <c r="W859" s="221"/>
    </row>
    <row r="860" spans="1:24" ht="18.75" customHeight="1">
      <c r="A860" s="221" t="s">
        <v>78</v>
      </c>
      <c r="B860" s="221"/>
      <c r="C860" s="221"/>
      <c r="D860" s="221"/>
      <c r="E860" s="73" t="s">
        <v>39</v>
      </c>
      <c r="F860" s="221">
        <v>2915400</v>
      </c>
      <c r="G860" s="221"/>
      <c r="H860" s="221"/>
      <c r="I860" s="221"/>
      <c r="J860" s="73" t="s">
        <v>38</v>
      </c>
      <c r="K860" s="73"/>
      <c r="M860" s="221" t="s">
        <v>78</v>
      </c>
      <c r="N860" s="221"/>
      <c r="O860" s="221"/>
      <c r="P860" s="221"/>
      <c r="Q860" s="73" t="s">
        <v>39</v>
      </c>
      <c r="R860" s="221">
        <v>2915400</v>
      </c>
      <c r="S860" s="221"/>
      <c r="T860" s="221"/>
      <c r="U860" s="221"/>
      <c r="V860" s="73" t="s">
        <v>38</v>
      </c>
      <c r="W860" s="73"/>
    </row>
    <row r="861" spans="1:24" ht="18.75" customHeight="1">
      <c r="A861" s="73" t="s">
        <v>77</v>
      </c>
      <c r="B861" s="73"/>
      <c r="C861" s="73"/>
      <c r="D861" s="73"/>
      <c r="E861" s="73"/>
      <c r="F861" s="73"/>
      <c r="G861" s="73"/>
      <c r="H861" s="73"/>
      <c r="I861" s="73" t="e">
        <f>#REF!</f>
        <v>#REF!</v>
      </c>
      <c r="J861" s="73"/>
      <c r="K861" s="73"/>
      <c r="M861" s="73" t="s">
        <v>77</v>
      </c>
      <c r="N861" s="73"/>
      <c r="O861" s="73"/>
      <c r="P861" s="73"/>
      <c r="Q861" s="73"/>
      <c r="R861" s="73"/>
      <c r="S861" s="73"/>
      <c r="T861" s="73"/>
      <c r="U861" s="73"/>
      <c r="V861" s="73"/>
      <c r="W861" s="73"/>
    </row>
    <row r="862" spans="1:24" ht="18.75" customHeight="1">
      <c r="A862" s="73" t="s">
        <v>76</v>
      </c>
      <c r="B862" s="73"/>
      <c r="C862" s="73"/>
      <c r="D862" s="73"/>
      <c r="E862" s="73"/>
      <c r="F862" s="73"/>
      <c r="G862" s="73"/>
      <c r="H862" s="73"/>
      <c r="I862" s="73" t="e">
        <f>I863/C863/8</f>
        <v>#REF!</v>
      </c>
      <c r="J862" s="73"/>
      <c r="K862" s="73"/>
      <c r="M862" s="73" t="s">
        <v>76</v>
      </c>
      <c r="N862" s="73"/>
      <c r="O862" s="73"/>
      <c r="P862" s="73"/>
      <c r="Q862" s="73"/>
      <c r="R862" s="73"/>
      <c r="S862" s="73"/>
      <c r="T862" s="73"/>
      <c r="U862" s="73" t="e">
        <f>U863/O863/8</f>
        <v>#DIV/0!</v>
      </c>
      <c r="V862" s="73"/>
      <c r="W862" s="73"/>
    </row>
    <row r="863" spans="1:24" ht="18.75" customHeight="1">
      <c r="A863" s="73" t="s">
        <v>75</v>
      </c>
      <c r="B863" s="73" t="s">
        <v>39</v>
      </c>
      <c r="C863" s="73" t="e">
        <f>#REF!</f>
        <v>#REF!</v>
      </c>
      <c r="D863" s="73" t="s">
        <v>52</v>
      </c>
      <c r="E863" s="221" t="s">
        <v>74</v>
      </c>
      <c r="F863" s="221"/>
      <c r="G863" s="221"/>
      <c r="H863" s="73" t="s">
        <v>39</v>
      </c>
      <c r="I863" s="221" t="e">
        <f>I861*680/((C863-C870)*8+C870*7+C867)*((C863-C870)*8+C870*7)</f>
        <v>#REF!</v>
      </c>
      <c r="J863" s="221"/>
      <c r="K863" s="73" t="s">
        <v>38</v>
      </c>
      <c r="L863" s="73" t="e">
        <f>F860/L853*C863</f>
        <v>#REF!</v>
      </c>
      <c r="M863" s="73" t="s">
        <v>75</v>
      </c>
      <c r="N863" s="73" t="s">
        <v>39</v>
      </c>
      <c r="O863" s="73"/>
      <c r="P863" s="73" t="s">
        <v>52</v>
      </c>
      <c r="Q863" s="221" t="s">
        <v>74</v>
      </c>
      <c r="R863" s="221"/>
      <c r="S863" s="221"/>
      <c r="T863" s="73" t="s">
        <v>39</v>
      </c>
      <c r="U863" s="221" t="e">
        <f>U861*680/((O863-O870)*8+O870*7+O867)*((O863-O870)*8+O870*7)</f>
        <v>#DIV/0!</v>
      </c>
      <c r="V863" s="221"/>
      <c r="W863" s="73" t="s">
        <v>38</v>
      </c>
      <c r="X863" s="73">
        <f>R860/X853*O863</f>
        <v>0</v>
      </c>
    </row>
    <row r="864" spans="1:24" ht="18.75" customHeight="1">
      <c r="A864" s="73" t="s">
        <v>73</v>
      </c>
      <c r="B864" s="73" t="s">
        <v>39</v>
      </c>
      <c r="C864" s="73" t="e">
        <f>#REF!</f>
        <v>#REF!</v>
      </c>
      <c r="D864" s="73" t="s">
        <v>52</v>
      </c>
      <c r="E864" s="221" t="s">
        <v>72</v>
      </c>
      <c r="F864" s="221"/>
      <c r="G864" s="221"/>
      <c r="H864" s="73" t="s">
        <v>39</v>
      </c>
      <c r="I864" s="221" t="e">
        <f>$F$8/$L$1*C864</f>
        <v>#REF!</v>
      </c>
      <c r="J864" s="221"/>
      <c r="K864" s="73" t="s">
        <v>38</v>
      </c>
      <c r="L864" s="73"/>
      <c r="M864" s="73" t="s">
        <v>73</v>
      </c>
      <c r="N864" s="73" t="s">
        <v>39</v>
      </c>
      <c r="O864" s="73"/>
      <c r="P864" s="73" t="s">
        <v>52</v>
      </c>
      <c r="Q864" s="221" t="s">
        <v>72</v>
      </c>
      <c r="R864" s="221"/>
      <c r="S864" s="221"/>
      <c r="T864" s="73" t="s">
        <v>39</v>
      </c>
      <c r="U864" s="221">
        <f>$F$8/$L$1*O864</f>
        <v>0</v>
      </c>
      <c r="V864" s="221"/>
      <c r="W864" s="73" t="s">
        <v>38</v>
      </c>
      <c r="X864" s="73"/>
    </row>
    <row r="865" spans="1:24" ht="18.75" customHeight="1">
      <c r="A865" s="73" t="s">
        <v>71</v>
      </c>
      <c r="B865" s="73" t="s">
        <v>39</v>
      </c>
      <c r="C865" s="73" t="e">
        <f>#REF!</f>
        <v>#REF!</v>
      </c>
      <c r="D865" s="73" t="s">
        <v>52</v>
      </c>
      <c r="E865" s="221" t="s">
        <v>70</v>
      </c>
      <c r="F865" s="221"/>
      <c r="G865" s="221"/>
      <c r="H865" s="73" t="s">
        <v>39</v>
      </c>
      <c r="I865" s="221" t="e">
        <f>$F$8/$L$1*C865</f>
        <v>#REF!</v>
      </c>
      <c r="J865" s="221"/>
      <c r="K865" s="73" t="s">
        <v>38</v>
      </c>
      <c r="L865" s="73"/>
      <c r="M865" s="73" t="s">
        <v>71</v>
      </c>
      <c r="N865" s="73" t="s">
        <v>39</v>
      </c>
      <c r="O865" s="73"/>
      <c r="P865" s="73" t="s">
        <v>52</v>
      </c>
      <c r="Q865" s="221" t="s">
        <v>70</v>
      </c>
      <c r="R865" s="221"/>
      <c r="S865" s="221"/>
      <c r="T865" s="73" t="s">
        <v>39</v>
      </c>
      <c r="U865" s="221">
        <f>$F$8/$L$1*O865</f>
        <v>0</v>
      </c>
      <c r="V865" s="221"/>
      <c r="W865" s="73" t="s">
        <v>38</v>
      </c>
      <c r="X865" s="73"/>
    </row>
    <row r="866" spans="1:24" ht="18.75" customHeight="1">
      <c r="A866" s="73" t="s">
        <v>69</v>
      </c>
      <c r="B866" s="73" t="s">
        <v>39</v>
      </c>
      <c r="C866" s="73" t="e">
        <f>#REF!</f>
        <v>#REF!</v>
      </c>
      <c r="D866" s="73" t="s">
        <v>52</v>
      </c>
      <c r="E866" s="221" t="s">
        <v>68</v>
      </c>
      <c r="F866" s="221"/>
      <c r="G866" s="221"/>
      <c r="H866" s="73" t="s">
        <v>39</v>
      </c>
      <c r="I866" s="221" t="e">
        <f>$F$8/$L$1*C866</f>
        <v>#REF!</v>
      </c>
      <c r="J866" s="221"/>
      <c r="K866" s="73" t="s">
        <v>38</v>
      </c>
      <c r="L866" s="73"/>
      <c r="M866" s="73" t="s">
        <v>69</v>
      </c>
      <c r="N866" s="73" t="s">
        <v>39</v>
      </c>
      <c r="O866" s="73"/>
      <c r="P866" s="73" t="s">
        <v>52</v>
      </c>
      <c r="Q866" s="221" t="s">
        <v>68</v>
      </c>
      <c r="R866" s="221"/>
      <c r="S866" s="221"/>
      <c r="T866" s="73" t="s">
        <v>39</v>
      </c>
      <c r="U866" s="221">
        <f>$F$8/$L$1*O866</f>
        <v>0</v>
      </c>
      <c r="V866" s="221"/>
      <c r="W866" s="73" t="s">
        <v>38</v>
      </c>
      <c r="X866" s="73"/>
    </row>
    <row r="867" spans="1:24" ht="18.75" customHeight="1">
      <c r="A867" s="73" t="s">
        <v>67</v>
      </c>
      <c r="B867" s="73" t="s">
        <v>39</v>
      </c>
      <c r="C867" s="73" t="e">
        <f>#REF!</f>
        <v>#REF!</v>
      </c>
      <c r="D867" s="73" t="s">
        <v>58</v>
      </c>
      <c r="E867" s="221" t="s">
        <v>66</v>
      </c>
      <c r="F867" s="221"/>
      <c r="G867" s="221"/>
      <c r="H867" s="73" t="s">
        <v>39</v>
      </c>
      <c r="I867" s="221" t="e">
        <f>I863/C863/8*C867</f>
        <v>#REF!</v>
      </c>
      <c r="J867" s="221"/>
      <c r="K867" s="73" t="s">
        <v>38</v>
      </c>
      <c r="L867" s="73" t="e">
        <f>F860*C867/L853/8*1.5</f>
        <v>#REF!</v>
      </c>
      <c r="M867" s="73" t="s">
        <v>67</v>
      </c>
      <c r="N867" s="73" t="s">
        <v>39</v>
      </c>
      <c r="O867" s="73"/>
      <c r="P867" s="73" t="s">
        <v>58</v>
      </c>
      <c r="Q867" s="221" t="s">
        <v>66</v>
      </c>
      <c r="R867" s="221"/>
      <c r="S867" s="221"/>
      <c r="T867" s="73" t="s">
        <v>39</v>
      </c>
      <c r="U867" s="221" t="e">
        <f>U863/O863/8*O867</f>
        <v>#DIV/0!</v>
      </c>
      <c r="V867" s="221"/>
      <c r="W867" s="73" t="s">
        <v>38</v>
      </c>
      <c r="X867" s="73">
        <f>R860*O867/X853/8*1.5</f>
        <v>0</v>
      </c>
    </row>
    <row r="868" spans="1:24" ht="18.75" customHeight="1">
      <c r="A868" s="221" t="s">
        <v>65</v>
      </c>
      <c r="B868" s="221"/>
      <c r="C868" s="73"/>
      <c r="D868" s="73" t="s">
        <v>52</v>
      </c>
      <c r="E868" s="221" t="s">
        <v>64</v>
      </c>
      <c r="F868" s="221"/>
      <c r="G868" s="221"/>
      <c r="H868" s="73" t="s">
        <v>39</v>
      </c>
      <c r="I868" s="221"/>
      <c r="J868" s="221"/>
      <c r="K868" s="73" t="s">
        <v>38</v>
      </c>
      <c r="L868" s="73"/>
      <c r="M868" s="221" t="s">
        <v>65</v>
      </c>
      <c r="N868" s="221"/>
      <c r="O868" s="73"/>
      <c r="P868" s="73" t="s">
        <v>52</v>
      </c>
      <c r="Q868" s="221" t="s">
        <v>64</v>
      </c>
      <c r="R868" s="221"/>
      <c r="S868" s="221"/>
      <c r="T868" s="73" t="s">
        <v>39</v>
      </c>
      <c r="U868" s="221"/>
      <c r="V868" s="221"/>
      <c r="W868" s="73" t="s">
        <v>38</v>
      </c>
      <c r="X868" s="73"/>
    </row>
    <row r="869" spans="1:24" ht="18.75" customHeight="1">
      <c r="A869" s="73" t="s">
        <v>63</v>
      </c>
      <c r="B869" s="73" t="s">
        <v>39</v>
      </c>
      <c r="C869" s="73"/>
      <c r="D869" s="73" t="s">
        <v>52</v>
      </c>
      <c r="E869" s="221" t="s">
        <v>62</v>
      </c>
      <c r="F869" s="221"/>
      <c r="G869" s="221"/>
      <c r="H869" s="73" t="s">
        <v>39</v>
      </c>
      <c r="I869" s="221"/>
      <c r="J869" s="221"/>
      <c r="K869" s="73" t="s">
        <v>38</v>
      </c>
      <c r="L869" s="73"/>
      <c r="M869" s="73" t="s">
        <v>63</v>
      </c>
      <c r="N869" s="73" t="s">
        <v>39</v>
      </c>
      <c r="O869" s="73"/>
      <c r="P869" s="73" t="s">
        <v>52</v>
      </c>
      <c r="Q869" s="221" t="s">
        <v>62</v>
      </c>
      <c r="R869" s="221"/>
      <c r="S869" s="221"/>
      <c r="T869" s="73" t="s">
        <v>39</v>
      </c>
      <c r="U869" s="221"/>
      <c r="V869" s="221"/>
      <c r="W869" s="73" t="s">
        <v>38</v>
      </c>
      <c r="X869" s="73"/>
    </row>
    <row r="870" spans="1:24" ht="18.75" customHeight="1">
      <c r="A870" s="73" t="s">
        <v>61</v>
      </c>
      <c r="B870" s="73"/>
      <c r="C870" s="73" t="e">
        <f>#REF!</f>
        <v>#REF!</v>
      </c>
      <c r="D870" s="73" t="s">
        <v>58</v>
      </c>
      <c r="E870" s="221" t="s">
        <v>60</v>
      </c>
      <c r="F870" s="221"/>
      <c r="G870" s="221"/>
      <c r="H870" s="73" t="s">
        <v>39</v>
      </c>
      <c r="I870" s="221" t="e">
        <f>$F$8*C870/8/$L$1</f>
        <v>#REF!</v>
      </c>
      <c r="J870" s="221"/>
      <c r="K870" s="73" t="s">
        <v>38</v>
      </c>
      <c r="L870" s="73"/>
      <c r="M870" s="73" t="s">
        <v>61</v>
      </c>
      <c r="N870" s="73"/>
      <c r="O870" s="73"/>
      <c r="P870" s="73" t="s">
        <v>58</v>
      </c>
      <c r="Q870" s="221" t="s">
        <v>60</v>
      </c>
      <c r="R870" s="221"/>
      <c r="S870" s="221"/>
      <c r="T870" s="73" t="s">
        <v>39</v>
      </c>
      <c r="U870" s="221">
        <f>$F$8*O870/8/$L$1</f>
        <v>0</v>
      </c>
      <c r="V870" s="221"/>
      <c r="W870" s="73" t="s">
        <v>38</v>
      </c>
      <c r="X870" s="73"/>
    </row>
    <row r="871" spans="1:24" ht="18.75" customHeight="1">
      <c r="A871" s="73" t="s">
        <v>59</v>
      </c>
      <c r="B871" s="73" t="s">
        <v>39</v>
      </c>
      <c r="C871" s="73"/>
      <c r="D871" s="73" t="s">
        <v>58</v>
      </c>
      <c r="E871" s="221" t="s">
        <v>57</v>
      </c>
      <c r="F871" s="221"/>
      <c r="G871" s="221"/>
      <c r="H871" s="73" t="s">
        <v>39</v>
      </c>
      <c r="I871" s="221"/>
      <c r="J871" s="221"/>
      <c r="K871" s="73" t="s">
        <v>38</v>
      </c>
      <c r="L871" s="73"/>
      <c r="M871" s="73" t="s">
        <v>59</v>
      </c>
      <c r="N871" s="73" t="s">
        <v>39</v>
      </c>
      <c r="O871" s="73"/>
      <c r="P871" s="73" t="s">
        <v>58</v>
      </c>
      <c r="Q871" s="221" t="s">
        <v>57</v>
      </c>
      <c r="R871" s="221"/>
      <c r="S871" s="221"/>
      <c r="T871" s="73" t="s">
        <v>39</v>
      </c>
      <c r="U871" s="221"/>
      <c r="V871" s="221"/>
      <c r="W871" s="73" t="s">
        <v>38</v>
      </c>
      <c r="X871" s="73"/>
    </row>
    <row r="872" spans="1:24" ht="18.75" customHeight="1">
      <c r="A872" s="73" t="s">
        <v>56</v>
      </c>
      <c r="B872" s="73" t="s">
        <v>39</v>
      </c>
      <c r="C872" s="73"/>
      <c r="D872" s="73" t="s">
        <v>55</v>
      </c>
      <c r="E872" s="73" t="s">
        <v>54</v>
      </c>
      <c r="F872" s="73"/>
      <c r="G872" s="73"/>
      <c r="H872" s="73" t="s">
        <v>39</v>
      </c>
      <c r="I872" s="221"/>
      <c r="J872" s="221"/>
      <c r="K872" s="73" t="s">
        <v>38</v>
      </c>
      <c r="L872" s="73" t="e">
        <f>+IF(L863-I863&lt;0,0,L863-I863)+IF(L867-I867&lt;0,0,L867-I867)</f>
        <v>#REF!</v>
      </c>
      <c r="M872" s="73" t="s">
        <v>56</v>
      </c>
      <c r="N872" s="73" t="s">
        <v>39</v>
      </c>
      <c r="O872" s="73"/>
      <c r="P872" s="73" t="s">
        <v>55</v>
      </c>
      <c r="Q872" s="73" t="s">
        <v>54</v>
      </c>
      <c r="R872" s="73"/>
      <c r="S872" s="73"/>
      <c r="T872" s="73" t="s">
        <v>39</v>
      </c>
      <c r="U872" s="221"/>
      <c r="V872" s="221"/>
      <c r="W872" s="73" t="s">
        <v>38</v>
      </c>
      <c r="X872" s="73" t="e">
        <f>+IF(X863-U863&lt;0,0,X863-U863)+IF(X867-U867&lt;0,0,X867-U867)</f>
        <v>#DIV/0!</v>
      </c>
    </row>
    <row r="873" spans="1:24" ht="18.75" customHeight="1">
      <c r="A873" s="73" t="s">
        <v>53</v>
      </c>
      <c r="B873" s="73"/>
      <c r="C873" s="73"/>
      <c r="D873" s="73" t="s">
        <v>52</v>
      </c>
      <c r="E873" s="221" t="s">
        <v>51</v>
      </c>
      <c r="F873" s="221"/>
      <c r="G873" s="221"/>
      <c r="H873" s="73" t="s">
        <v>39</v>
      </c>
      <c r="I873" s="221"/>
      <c r="J873" s="221"/>
      <c r="K873" s="73" t="s">
        <v>38</v>
      </c>
      <c r="L873" s="73"/>
      <c r="M873" s="73" t="s">
        <v>53</v>
      </c>
      <c r="N873" s="73"/>
      <c r="O873" s="73"/>
      <c r="P873" s="73" t="s">
        <v>52</v>
      </c>
      <c r="Q873" s="221" t="s">
        <v>51</v>
      </c>
      <c r="R873" s="221"/>
      <c r="S873" s="221"/>
      <c r="T873" s="73" t="s">
        <v>39</v>
      </c>
      <c r="U873" s="221"/>
      <c r="V873" s="221"/>
      <c r="W873" s="73" t="s">
        <v>38</v>
      </c>
      <c r="X873" s="73"/>
    </row>
    <row r="874" spans="1:24" ht="18.75" customHeight="1">
      <c r="A874" s="221" t="s">
        <v>50</v>
      </c>
      <c r="B874" s="221"/>
      <c r="C874" s="73"/>
      <c r="D874" s="73"/>
      <c r="E874" s="73"/>
      <c r="F874" s="73"/>
      <c r="G874" s="73"/>
      <c r="H874" s="73" t="s">
        <v>39</v>
      </c>
      <c r="I874" s="221" t="e">
        <f>#REF!</f>
        <v>#REF!</v>
      </c>
      <c r="J874" s="221"/>
      <c r="K874" s="73" t="s">
        <v>38</v>
      </c>
      <c r="L874" s="73"/>
      <c r="M874" s="221" t="s">
        <v>50</v>
      </c>
      <c r="N874" s="221"/>
      <c r="O874" s="73"/>
      <c r="P874" s="73"/>
      <c r="Q874" s="73"/>
      <c r="R874" s="73"/>
      <c r="S874" s="73"/>
      <c r="T874" s="73" t="s">
        <v>39</v>
      </c>
      <c r="U874" s="221"/>
      <c r="V874" s="221"/>
      <c r="W874" s="73" t="s">
        <v>38</v>
      </c>
      <c r="X874" s="73"/>
    </row>
    <row r="875" spans="1:24" ht="18.75" customHeight="1">
      <c r="A875" s="73" t="s">
        <v>49</v>
      </c>
      <c r="B875" s="73" t="s">
        <v>39</v>
      </c>
      <c r="C875" s="73"/>
      <c r="D875" s="73"/>
      <c r="E875" s="73" t="s">
        <v>48</v>
      </c>
      <c r="F875" s="73"/>
      <c r="G875" s="73"/>
      <c r="H875" s="73" t="s">
        <v>39</v>
      </c>
      <c r="I875" s="221" t="e">
        <f>L872</f>
        <v>#REF!</v>
      </c>
      <c r="J875" s="221"/>
      <c r="K875" s="73" t="s">
        <v>38</v>
      </c>
      <c r="L875" s="73"/>
      <c r="M875" s="73" t="s">
        <v>49</v>
      </c>
      <c r="N875" s="73" t="s">
        <v>39</v>
      </c>
      <c r="O875" s="73"/>
      <c r="P875" s="73"/>
      <c r="Q875" s="73" t="s">
        <v>48</v>
      </c>
      <c r="R875" s="73"/>
      <c r="S875" s="73"/>
      <c r="T875" s="73" t="s">
        <v>39</v>
      </c>
      <c r="U875" s="221" t="e">
        <f>X872</f>
        <v>#DIV/0!</v>
      </c>
      <c r="V875" s="221"/>
      <c r="W875" s="73" t="s">
        <v>38</v>
      </c>
      <c r="X875" s="73"/>
    </row>
    <row r="876" spans="1:24" ht="18.75" customHeight="1">
      <c r="A876" s="221" t="s">
        <v>47</v>
      </c>
      <c r="B876" s="221"/>
      <c r="C876" s="221"/>
      <c r="D876" s="221"/>
      <c r="E876" s="221"/>
      <c r="F876" s="221"/>
      <c r="G876" s="73" t="s">
        <v>39</v>
      </c>
      <c r="H876" s="221" t="e">
        <f>I863+I864+I865+I866+I867+I870+I874+I875</f>
        <v>#REF!</v>
      </c>
      <c r="I876" s="221"/>
      <c r="J876" s="221"/>
      <c r="K876" s="73" t="s">
        <v>38</v>
      </c>
      <c r="M876" s="221" t="s">
        <v>47</v>
      </c>
      <c r="N876" s="221"/>
      <c r="O876" s="221"/>
      <c r="P876" s="221"/>
      <c r="Q876" s="221"/>
      <c r="R876" s="221"/>
      <c r="S876" s="73" t="s">
        <v>39</v>
      </c>
      <c r="T876" s="221" t="e">
        <f>U863+U864+U865+U866+U867+U870+U874+U875</f>
        <v>#DIV/0!</v>
      </c>
      <c r="U876" s="221"/>
      <c r="V876" s="221"/>
      <c r="W876" s="73" t="s">
        <v>38</v>
      </c>
    </row>
    <row r="877" spans="1:24" ht="18.75" customHeight="1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</row>
    <row r="878" spans="1:24" ht="18.75" customHeight="1">
      <c r="A878" s="221" t="s">
        <v>46</v>
      </c>
      <c r="B878" s="221"/>
      <c r="C878" s="221"/>
      <c r="D878" s="221"/>
      <c r="E878" s="221"/>
      <c r="F878" s="221"/>
      <c r="G878" s="73"/>
      <c r="H878" s="73"/>
      <c r="I878" s="73"/>
      <c r="J878" s="73"/>
      <c r="K878" s="73"/>
      <c r="M878" s="221" t="s">
        <v>46</v>
      </c>
      <c r="N878" s="221"/>
      <c r="O878" s="221"/>
      <c r="P878" s="221"/>
      <c r="Q878" s="221"/>
      <c r="R878" s="221"/>
      <c r="S878" s="73"/>
      <c r="T878" s="73"/>
      <c r="U878" s="73"/>
      <c r="V878" s="73"/>
      <c r="W878" s="73"/>
    </row>
    <row r="879" spans="1:24" ht="18.75" customHeight="1">
      <c r="A879" s="221" t="s">
        <v>45</v>
      </c>
      <c r="B879" s="221"/>
      <c r="C879" s="221"/>
      <c r="D879" s="221"/>
      <c r="E879" s="221"/>
      <c r="F879" s="221"/>
      <c r="G879" s="73" t="s">
        <v>39</v>
      </c>
      <c r="H879" s="221" t="e">
        <f>IF(($L$1-(C863+C864+C865+C866))&gt;12,0,F860*8%)</f>
        <v>#REF!</v>
      </c>
      <c r="I879" s="221"/>
      <c r="J879" s="221"/>
      <c r="K879" s="73" t="s">
        <v>38</v>
      </c>
      <c r="M879" s="221" t="s">
        <v>45</v>
      </c>
      <c r="N879" s="221"/>
      <c r="O879" s="221"/>
      <c r="P879" s="221"/>
      <c r="Q879" s="221"/>
      <c r="R879" s="221"/>
      <c r="S879" s="73" t="s">
        <v>39</v>
      </c>
      <c r="T879" s="221">
        <f>IF(($L$1-(O863+O864+O865+O866))&gt;12,0,R860*8%)</f>
        <v>0</v>
      </c>
      <c r="U879" s="221"/>
      <c r="V879" s="221"/>
      <c r="W879" s="73" t="s">
        <v>38</v>
      </c>
    </row>
    <row r="880" spans="1:24" ht="18.75" customHeight="1">
      <c r="A880" s="221" t="s">
        <v>44</v>
      </c>
      <c r="B880" s="221"/>
      <c r="C880" s="221"/>
      <c r="D880" s="221"/>
      <c r="E880" s="221"/>
      <c r="F880" s="221"/>
      <c r="G880" s="73" t="s">
        <v>39</v>
      </c>
      <c r="H880" s="221" t="e">
        <f>IF(($L$1-(C863+C864+C865+C866))&gt;12,0,F860*1.5%)</f>
        <v>#REF!</v>
      </c>
      <c r="I880" s="221"/>
      <c r="J880" s="221"/>
      <c r="K880" s="73" t="s">
        <v>38</v>
      </c>
      <c r="M880" s="221" t="s">
        <v>44</v>
      </c>
      <c r="N880" s="221"/>
      <c r="O880" s="221"/>
      <c r="P880" s="221"/>
      <c r="Q880" s="221"/>
      <c r="R880" s="221"/>
      <c r="S880" s="73" t="s">
        <v>39</v>
      </c>
      <c r="T880" s="221">
        <f>IF(($L$1-(O863+O864+O865+O866))&gt;12,0,R860*1.5%)</f>
        <v>0</v>
      </c>
      <c r="U880" s="221"/>
      <c r="V880" s="221"/>
      <c r="W880" s="73" t="s">
        <v>38</v>
      </c>
    </row>
    <row r="881" spans="1:24" ht="18.75" customHeight="1">
      <c r="A881" s="221" t="s">
        <v>43</v>
      </c>
      <c r="B881" s="221"/>
      <c r="C881" s="221"/>
      <c r="D881" s="221"/>
      <c r="E881" s="221"/>
      <c r="F881" s="221"/>
      <c r="G881" s="73" t="s">
        <v>39</v>
      </c>
      <c r="H881" s="221" t="e">
        <f>IF(($L$1-(C863+C864+C865+C866))&gt;12,0,F860*1%)</f>
        <v>#REF!</v>
      </c>
      <c r="I881" s="221"/>
      <c r="J881" s="221"/>
      <c r="K881" s="73" t="s">
        <v>38</v>
      </c>
      <c r="M881" s="221" t="s">
        <v>43</v>
      </c>
      <c r="N881" s="221"/>
      <c r="O881" s="221"/>
      <c r="P881" s="221"/>
      <c r="Q881" s="221"/>
      <c r="R881" s="221"/>
      <c r="S881" s="73" t="s">
        <v>39</v>
      </c>
      <c r="T881" s="221">
        <f>IF(($L$1-(O863+O864+O865+O866))&gt;12,0,R860*1%)</f>
        <v>0</v>
      </c>
      <c r="U881" s="221"/>
      <c r="V881" s="221"/>
      <c r="W881" s="73" t="s">
        <v>38</v>
      </c>
    </row>
    <row r="882" spans="1:24" ht="18.75" customHeight="1">
      <c r="A882" s="221" t="s">
        <v>42</v>
      </c>
      <c r="B882" s="221"/>
      <c r="C882" s="221"/>
      <c r="D882" s="221"/>
      <c r="E882" s="221"/>
      <c r="F882" s="221"/>
      <c r="G882" s="73" t="s">
        <v>39</v>
      </c>
      <c r="H882" s="221">
        <v>0</v>
      </c>
      <c r="I882" s="221"/>
      <c r="J882" s="221"/>
      <c r="K882" s="73" t="s">
        <v>38</v>
      </c>
      <c r="M882" s="221" t="s">
        <v>42</v>
      </c>
      <c r="N882" s="221"/>
      <c r="O882" s="221"/>
      <c r="P882" s="221"/>
      <c r="Q882" s="221"/>
      <c r="R882" s="221"/>
      <c r="S882" s="73" t="s">
        <v>39</v>
      </c>
      <c r="T882" s="221">
        <v>0</v>
      </c>
      <c r="U882" s="221"/>
      <c r="V882" s="221"/>
      <c r="W882" s="73" t="s">
        <v>38</v>
      </c>
    </row>
    <row r="883" spans="1:24" ht="18.75" customHeight="1">
      <c r="A883" s="221" t="s">
        <v>41</v>
      </c>
      <c r="B883" s="221"/>
      <c r="C883" s="221"/>
      <c r="D883" s="221"/>
      <c r="E883" s="221"/>
      <c r="F883" s="221"/>
      <c r="G883" s="73" t="s">
        <v>39</v>
      </c>
      <c r="H883" s="221" t="e">
        <f>SUM(H879:J882)</f>
        <v>#REF!</v>
      </c>
      <c r="I883" s="221"/>
      <c r="J883" s="221"/>
      <c r="K883" s="73" t="s">
        <v>38</v>
      </c>
      <c r="M883" s="221" t="s">
        <v>41</v>
      </c>
      <c r="N883" s="221"/>
      <c r="O883" s="221"/>
      <c r="P883" s="221"/>
      <c r="Q883" s="221"/>
      <c r="R883" s="221"/>
      <c r="S883" s="73" t="s">
        <v>39</v>
      </c>
      <c r="T883" s="221">
        <f>SUM(T879:V882)</f>
        <v>0</v>
      </c>
      <c r="U883" s="221"/>
      <c r="V883" s="221"/>
      <c r="W883" s="73" t="s">
        <v>38</v>
      </c>
    </row>
    <row r="884" spans="1:24" ht="18.75" customHeight="1">
      <c r="A884" s="221" t="s">
        <v>40</v>
      </c>
      <c r="B884" s="221"/>
      <c r="C884" s="221"/>
      <c r="D884" s="221"/>
      <c r="E884" s="221"/>
      <c r="F884" s="221"/>
      <c r="G884" s="73" t="s">
        <v>39</v>
      </c>
      <c r="H884" s="221" t="e">
        <f>ROUND(H876-H883,-2)</f>
        <v>#REF!</v>
      </c>
      <c r="I884" s="221"/>
      <c r="J884" s="221"/>
      <c r="K884" s="73" t="s">
        <v>38</v>
      </c>
      <c r="M884" s="221" t="s">
        <v>40</v>
      </c>
      <c r="N884" s="221"/>
      <c r="O884" s="221"/>
      <c r="P884" s="221"/>
      <c r="Q884" s="221"/>
      <c r="R884" s="221"/>
      <c r="S884" s="73" t="s">
        <v>39</v>
      </c>
      <c r="T884" s="221" t="e">
        <f>ROUND(T876-T883,-2)</f>
        <v>#DIV/0!</v>
      </c>
      <c r="U884" s="221"/>
      <c r="V884" s="221"/>
      <c r="W884" s="73" t="s">
        <v>38</v>
      </c>
    </row>
    <row r="885" spans="1:24" ht="18.75" customHeight="1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</row>
    <row r="886" spans="1:24" ht="18.75" customHeight="1">
      <c r="A886" s="73"/>
      <c r="B886" s="73"/>
      <c r="C886" s="73"/>
      <c r="D886" s="73"/>
      <c r="E886" s="73"/>
      <c r="F886" s="73"/>
      <c r="G886" s="73"/>
      <c r="H886" s="73"/>
      <c r="I886" s="221" t="s">
        <v>37</v>
      </c>
      <c r="J886" s="221"/>
      <c r="K886" s="221"/>
      <c r="M886" s="73"/>
      <c r="N886" s="73"/>
      <c r="O886" s="73"/>
      <c r="P886" s="73"/>
      <c r="Q886" s="73"/>
      <c r="R886" s="73"/>
      <c r="S886" s="73"/>
      <c r="T886" s="73"/>
      <c r="U886" s="221" t="s">
        <v>37</v>
      </c>
      <c r="V886" s="221"/>
      <c r="W886" s="221"/>
    </row>
    <row r="887" spans="1:24" ht="18.75" customHeight="1">
      <c r="A887" s="73"/>
      <c r="B887" s="221"/>
      <c r="C887" s="221"/>
      <c r="D887" s="221"/>
      <c r="E887" s="221"/>
      <c r="F887" s="73"/>
      <c r="G887" s="73"/>
      <c r="H887" s="73"/>
      <c r="I887" s="73"/>
      <c r="J887" s="73"/>
      <c r="K887" s="73"/>
      <c r="M887" s="73"/>
      <c r="N887" s="221"/>
      <c r="O887" s="221"/>
      <c r="P887" s="221"/>
      <c r="Q887" s="221"/>
      <c r="R887" s="73"/>
      <c r="S887" s="73"/>
      <c r="T887" s="73"/>
      <c r="U887" s="73"/>
      <c r="V887" s="73"/>
      <c r="W887" s="73"/>
    </row>
    <row r="888" spans="1:24" ht="18.75" customHeight="1">
      <c r="A888" s="73"/>
      <c r="B888" s="73"/>
      <c r="C888" s="73"/>
      <c r="D888" s="73"/>
      <c r="E888" s="73"/>
      <c r="F888" s="73"/>
      <c r="G888" s="73"/>
      <c r="H888" s="73"/>
      <c r="I888" s="221" t="s">
        <v>36</v>
      </c>
      <c r="J888" s="221"/>
      <c r="K888" s="221"/>
      <c r="M888" s="73"/>
      <c r="N888" s="73"/>
      <c r="O888" s="73"/>
      <c r="P888" s="73"/>
      <c r="Q888" s="73"/>
      <c r="R888" s="73"/>
      <c r="S888" s="73"/>
      <c r="T888" s="73"/>
      <c r="U888" s="221" t="s">
        <v>36</v>
      </c>
      <c r="V888" s="221"/>
      <c r="W888" s="221"/>
    </row>
    <row r="890" spans="1:24" ht="18.75" customHeight="1">
      <c r="A890" s="221" t="s">
        <v>87</v>
      </c>
      <c r="B890" s="221"/>
      <c r="C890" s="221"/>
      <c r="D890" s="221"/>
      <c r="E890" s="221"/>
      <c r="F890" s="221"/>
      <c r="G890" s="221"/>
      <c r="H890" s="221"/>
      <c r="I890" s="221"/>
      <c r="J890" s="221"/>
      <c r="K890" s="221"/>
      <c r="L890" s="73">
        <v>24</v>
      </c>
      <c r="M890" s="221" t="s">
        <v>87</v>
      </c>
      <c r="N890" s="221"/>
      <c r="O890" s="221"/>
      <c r="P890" s="221"/>
      <c r="Q890" s="221"/>
      <c r="R890" s="221"/>
      <c r="S890" s="221"/>
      <c r="T890" s="221"/>
      <c r="U890" s="221"/>
      <c r="V890" s="221"/>
      <c r="W890" s="221"/>
      <c r="X890" s="73">
        <v>24</v>
      </c>
    </row>
    <row r="891" spans="1:24" ht="18.75" customHeight="1">
      <c r="A891" s="73" t="s">
        <v>101</v>
      </c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M891" s="73" t="s">
        <v>100</v>
      </c>
      <c r="N891" s="73"/>
      <c r="O891" s="73"/>
      <c r="P891" s="73"/>
      <c r="Q891" s="73"/>
      <c r="R891" s="73"/>
      <c r="S891" s="73"/>
      <c r="T891" s="73"/>
      <c r="U891" s="73"/>
      <c r="V891" s="73"/>
      <c r="W891" s="73"/>
    </row>
    <row r="892" spans="1:24" ht="18.75" customHeight="1">
      <c r="A892" s="221" t="s">
        <v>84</v>
      </c>
      <c r="B892" s="221"/>
      <c r="C892" s="221"/>
      <c r="D892" s="221"/>
      <c r="E892" s="221"/>
      <c r="F892" s="221"/>
      <c r="G892" s="221"/>
      <c r="H892" s="221"/>
      <c r="I892" s="221"/>
      <c r="J892" s="221"/>
      <c r="K892" s="221"/>
      <c r="M892" s="221" t="s">
        <v>84</v>
      </c>
      <c r="N892" s="221"/>
      <c r="O892" s="221"/>
      <c r="P892" s="221"/>
      <c r="Q892" s="221"/>
      <c r="R892" s="221"/>
      <c r="S892" s="221"/>
      <c r="T892" s="221"/>
      <c r="U892" s="221"/>
      <c r="V892" s="221"/>
      <c r="W892" s="221"/>
    </row>
    <row r="893" spans="1:24" ht="18.75" customHeight="1">
      <c r="A893" s="221" t="s">
        <v>83</v>
      </c>
      <c r="B893" s="221"/>
      <c r="C893" s="221"/>
      <c r="D893" s="221"/>
      <c r="E893" s="73" t="s">
        <v>39</v>
      </c>
      <c r="F893" s="221"/>
      <c r="G893" s="221"/>
      <c r="H893" s="221"/>
      <c r="I893" s="221"/>
      <c r="J893" s="221"/>
      <c r="K893" s="221"/>
      <c r="M893" s="221" t="s">
        <v>83</v>
      </c>
      <c r="N893" s="221"/>
      <c r="O893" s="221"/>
      <c r="P893" s="221"/>
      <c r="Q893" s="73" t="s">
        <v>39</v>
      </c>
      <c r="R893" s="221"/>
      <c r="S893" s="221"/>
      <c r="T893" s="221"/>
      <c r="U893" s="221"/>
      <c r="V893" s="221"/>
      <c r="W893" s="221"/>
    </row>
    <row r="894" spans="1:24" ht="18.75" customHeight="1">
      <c r="A894" s="221" t="s">
        <v>82</v>
      </c>
      <c r="B894" s="221"/>
      <c r="C894" s="221"/>
      <c r="D894" s="221"/>
      <c r="E894" s="73" t="s">
        <v>39</v>
      </c>
      <c r="F894" s="221"/>
      <c r="G894" s="221"/>
      <c r="H894" s="221"/>
      <c r="I894" s="221"/>
      <c r="J894" s="221"/>
      <c r="K894" s="221"/>
      <c r="M894" s="221" t="s">
        <v>82</v>
      </c>
      <c r="N894" s="221"/>
      <c r="O894" s="221"/>
      <c r="P894" s="221"/>
      <c r="Q894" s="73" t="s">
        <v>39</v>
      </c>
      <c r="R894" s="221"/>
      <c r="S894" s="221"/>
      <c r="T894" s="221"/>
      <c r="U894" s="221"/>
      <c r="V894" s="221"/>
      <c r="W894" s="221"/>
    </row>
    <row r="895" spans="1:24" ht="18.75" customHeight="1">
      <c r="A895" s="221" t="s">
        <v>81</v>
      </c>
      <c r="B895" s="221"/>
      <c r="C895" s="221"/>
      <c r="D895" s="221"/>
      <c r="E895" s="73" t="s">
        <v>39</v>
      </c>
      <c r="F895" s="221" t="s">
        <v>80</v>
      </c>
      <c r="G895" s="221"/>
      <c r="H895" s="221"/>
      <c r="I895" s="221"/>
      <c r="J895" s="221"/>
      <c r="K895" s="221"/>
      <c r="M895" s="221" t="s">
        <v>81</v>
      </c>
      <c r="N895" s="221"/>
      <c r="O895" s="221"/>
      <c r="P895" s="221"/>
      <c r="Q895" s="73" t="s">
        <v>39</v>
      </c>
      <c r="R895" s="221" t="s">
        <v>80</v>
      </c>
      <c r="S895" s="221"/>
      <c r="T895" s="221"/>
      <c r="U895" s="221"/>
      <c r="V895" s="221"/>
      <c r="W895" s="221"/>
    </row>
    <row r="896" spans="1:24" ht="18.75" customHeight="1">
      <c r="A896" s="221" t="s">
        <v>79</v>
      </c>
      <c r="B896" s="221"/>
      <c r="C896" s="221"/>
      <c r="D896" s="221"/>
      <c r="E896" s="221"/>
      <c r="F896" s="221"/>
      <c r="G896" s="221"/>
      <c r="H896" s="221"/>
      <c r="I896" s="221"/>
      <c r="J896" s="221"/>
      <c r="K896" s="221"/>
      <c r="M896" s="221" t="s">
        <v>79</v>
      </c>
      <c r="N896" s="221"/>
      <c r="O896" s="221"/>
      <c r="P896" s="221"/>
      <c r="Q896" s="221"/>
      <c r="R896" s="221"/>
      <c r="S896" s="221"/>
      <c r="T896" s="221"/>
      <c r="U896" s="221"/>
      <c r="V896" s="221"/>
      <c r="W896" s="221"/>
    </row>
    <row r="897" spans="1:24" ht="18.75" customHeight="1">
      <c r="A897" s="221" t="s">
        <v>78</v>
      </c>
      <c r="B897" s="221"/>
      <c r="C897" s="221"/>
      <c r="D897" s="221"/>
      <c r="E897" s="73" t="s">
        <v>39</v>
      </c>
      <c r="F897" s="221">
        <v>2915400</v>
      </c>
      <c r="G897" s="221"/>
      <c r="H897" s="221"/>
      <c r="I897" s="221"/>
      <c r="J897" s="73" t="s">
        <v>38</v>
      </c>
      <c r="K897" s="73"/>
      <c r="M897" s="221" t="s">
        <v>78</v>
      </c>
      <c r="N897" s="221"/>
      <c r="O897" s="221"/>
      <c r="P897" s="221"/>
      <c r="Q897" s="73" t="s">
        <v>39</v>
      </c>
      <c r="R897" s="221">
        <v>2915400</v>
      </c>
      <c r="S897" s="221"/>
      <c r="T897" s="221"/>
      <c r="U897" s="221"/>
      <c r="V897" s="73" t="s">
        <v>38</v>
      </c>
      <c r="W897" s="73"/>
    </row>
    <row r="898" spans="1:24" ht="18.75" customHeight="1">
      <c r="A898" s="73" t="s">
        <v>77</v>
      </c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M898" s="73" t="s">
        <v>77</v>
      </c>
      <c r="N898" s="73"/>
      <c r="O898" s="73"/>
      <c r="P898" s="73"/>
      <c r="Q898" s="73"/>
      <c r="R898" s="73"/>
      <c r="S898" s="73"/>
      <c r="T898" s="73"/>
      <c r="U898" s="73"/>
      <c r="V898" s="73"/>
      <c r="W898" s="73"/>
    </row>
    <row r="899" spans="1:24" ht="18.75" customHeight="1">
      <c r="A899" s="73" t="s">
        <v>76</v>
      </c>
      <c r="B899" s="73"/>
      <c r="C899" s="73"/>
      <c r="D899" s="73"/>
      <c r="E899" s="73"/>
      <c r="F899" s="73"/>
      <c r="G899" s="73"/>
      <c r="H899" s="73"/>
      <c r="I899" s="73" t="e">
        <f>I900/C900/8</f>
        <v>#DIV/0!</v>
      </c>
      <c r="J899" s="73"/>
      <c r="K899" s="73"/>
      <c r="M899" s="73" t="s">
        <v>76</v>
      </c>
      <c r="N899" s="73"/>
      <c r="O899" s="73"/>
      <c r="P899" s="73"/>
      <c r="Q899" s="73"/>
      <c r="R899" s="73"/>
      <c r="S899" s="73"/>
      <c r="T899" s="73"/>
      <c r="U899" s="73" t="e">
        <f>U900/O900/8</f>
        <v>#DIV/0!</v>
      </c>
      <c r="V899" s="73"/>
      <c r="W899" s="73"/>
    </row>
    <row r="900" spans="1:24" ht="18.75" customHeight="1">
      <c r="A900" s="73" t="s">
        <v>75</v>
      </c>
      <c r="B900" s="73" t="s">
        <v>39</v>
      </c>
      <c r="C900" s="73"/>
      <c r="D900" s="73" t="s">
        <v>52</v>
      </c>
      <c r="E900" s="221" t="s">
        <v>74</v>
      </c>
      <c r="F900" s="221"/>
      <c r="G900" s="221"/>
      <c r="H900" s="73" t="s">
        <v>39</v>
      </c>
      <c r="I900" s="221" t="e">
        <f>I898*680/((C900-C907)*8+C907*7+C904)*((C900-C907)*8+C907*7)</f>
        <v>#DIV/0!</v>
      </c>
      <c r="J900" s="221"/>
      <c r="K900" s="73" t="s">
        <v>38</v>
      </c>
      <c r="L900" s="73">
        <f>F897/L890*C900</f>
        <v>0</v>
      </c>
      <c r="M900" s="73" t="s">
        <v>75</v>
      </c>
      <c r="N900" s="73" t="s">
        <v>39</v>
      </c>
      <c r="O900" s="73"/>
      <c r="P900" s="73" t="s">
        <v>52</v>
      </c>
      <c r="Q900" s="221" t="s">
        <v>74</v>
      </c>
      <c r="R900" s="221"/>
      <c r="S900" s="221"/>
      <c r="T900" s="73" t="s">
        <v>39</v>
      </c>
      <c r="U900" s="221" t="e">
        <f>U898*680/((O900-O907)*8+O907*7+O904)*((O900-O907)*8+O907*7)</f>
        <v>#DIV/0!</v>
      </c>
      <c r="V900" s="221"/>
      <c r="W900" s="73" t="s">
        <v>38</v>
      </c>
      <c r="X900" s="73">
        <f>R897/X890*O900</f>
        <v>0</v>
      </c>
    </row>
    <row r="901" spans="1:24" ht="18.75" customHeight="1">
      <c r="A901" s="73" t="s">
        <v>73</v>
      </c>
      <c r="B901" s="73" t="s">
        <v>39</v>
      </c>
      <c r="C901" s="73"/>
      <c r="D901" s="73" t="s">
        <v>52</v>
      </c>
      <c r="E901" s="221" t="s">
        <v>72</v>
      </c>
      <c r="F901" s="221"/>
      <c r="G901" s="221"/>
      <c r="H901" s="73" t="s">
        <v>39</v>
      </c>
      <c r="I901" s="221">
        <f>$F$8/$L$1*C901</f>
        <v>0</v>
      </c>
      <c r="J901" s="221"/>
      <c r="K901" s="73" t="s">
        <v>38</v>
      </c>
      <c r="L901" s="73"/>
      <c r="M901" s="73" t="s">
        <v>73</v>
      </c>
      <c r="N901" s="73" t="s">
        <v>39</v>
      </c>
      <c r="O901" s="73"/>
      <c r="P901" s="73" t="s">
        <v>52</v>
      </c>
      <c r="Q901" s="221" t="s">
        <v>72</v>
      </c>
      <c r="R901" s="221"/>
      <c r="S901" s="221"/>
      <c r="T901" s="73" t="s">
        <v>39</v>
      </c>
      <c r="U901" s="221">
        <f>$F$8/$L$1*O901</f>
        <v>0</v>
      </c>
      <c r="V901" s="221"/>
      <c r="W901" s="73" t="s">
        <v>38</v>
      </c>
      <c r="X901" s="73"/>
    </row>
    <row r="902" spans="1:24" ht="18.75" customHeight="1">
      <c r="A902" s="73" t="s">
        <v>71</v>
      </c>
      <c r="B902" s="73" t="s">
        <v>39</v>
      </c>
      <c r="C902" s="73"/>
      <c r="D902" s="73" t="s">
        <v>52</v>
      </c>
      <c r="E902" s="221" t="s">
        <v>70</v>
      </c>
      <c r="F902" s="221"/>
      <c r="G902" s="221"/>
      <c r="H902" s="73" t="s">
        <v>39</v>
      </c>
      <c r="I902" s="221">
        <f>$F$8/$L$1*C902</f>
        <v>0</v>
      </c>
      <c r="J902" s="221"/>
      <c r="K902" s="73" t="s">
        <v>38</v>
      </c>
      <c r="L902" s="73"/>
      <c r="M902" s="73" t="s">
        <v>71</v>
      </c>
      <c r="N902" s="73" t="s">
        <v>39</v>
      </c>
      <c r="O902" s="73"/>
      <c r="P902" s="73" t="s">
        <v>52</v>
      </c>
      <c r="Q902" s="221" t="s">
        <v>70</v>
      </c>
      <c r="R902" s="221"/>
      <c r="S902" s="221"/>
      <c r="T902" s="73" t="s">
        <v>39</v>
      </c>
      <c r="U902" s="221">
        <f>$F$8/$L$1*O902</f>
        <v>0</v>
      </c>
      <c r="V902" s="221"/>
      <c r="W902" s="73" t="s">
        <v>38</v>
      </c>
      <c r="X902" s="73"/>
    </row>
    <row r="903" spans="1:24" ht="18.75" customHeight="1">
      <c r="A903" s="73" t="s">
        <v>69</v>
      </c>
      <c r="B903" s="73" t="s">
        <v>39</v>
      </c>
      <c r="C903" s="73"/>
      <c r="D903" s="73" t="s">
        <v>52</v>
      </c>
      <c r="E903" s="221" t="s">
        <v>68</v>
      </c>
      <c r="F903" s="221"/>
      <c r="G903" s="221"/>
      <c r="H903" s="73" t="s">
        <v>39</v>
      </c>
      <c r="I903" s="221">
        <f>$F$8/$L$1*C903</f>
        <v>0</v>
      </c>
      <c r="J903" s="221"/>
      <c r="K903" s="73" t="s">
        <v>38</v>
      </c>
      <c r="L903" s="73"/>
      <c r="M903" s="73" t="s">
        <v>69</v>
      </c>
      <c r="N903" s="73" t="s">
        <v>39</v>
      </c>
      <c r="O903" s="73"/>
      <c r="P903" s="73" t="s">
        <v>52</v>
      </c>
      <c r="Q903" s="221" t="s">
        <v>68</v>
      </c>
      <c r="R903" s="221"/>
      <c r="S903" s="221"/>
      <c r="T903" s="73" t="s">
        <v>39</v>
      </c>
      <c r="U903" s="221">
        <f>$F$8/$L$1*O903</f>
        <v>0</v>
      </c>
      <c r="V903" s="221"/>
      <c r="W903" s="73" t="s">
        <v>38</v>
      </c>
      <c r="X903" s="73"/>
    </row>
    <row r="904" spans="1:24" ht="18.75" customHeight="1">
      <c r="A904" s="73" t="s">
        <v>67</v>
      </c>
      <c r="B904" s="73" t="s">
        <v>39</v>
      </c>
      <c r="C904" s="73"/>
      <c r="D904" s="73" t="s">
        <v>58</v>
      </c>
      <c r="E904" s="221" t="s">
        <v>66</v>
      </c>
      <c r="F904" s="221"/>
      <c r="G904" s="221"/>
      <c r="H904" s="73" t="s">
        <v>39</v>
      </c>
      <c r="I904" s="221" t="e">
        <f>I900/C900/8*C904</f>
        <v>#DIV/0!</v>
      </c>
      <c r="J904" s="221"/>
      <c r="K904" s="73" t="s">
        <v>38</v>
      </c>
      <c r="L904" s="73">
        <f>F897*C904/L890/8*1.5</f>
        <v>0</v>
      </c>
      <c r="M904" s="73" t="s">
        <v>67</v>
      </c>
      <c r="N904" s="73" t="s">
        <v>39</v>
      </c>
      <c r="O904" s="73"/>
      <c r="P904" s="73" t="s">
        <v>58</v>
      </c>
      <c r="Q904" s="221" t="s">
        <v>66</v>
      </c>
      <c r="R904" s="221"/>
      <c r="S904" s="221"/>
      <c r="T904" s="73" t="s">
        <v>39</v>
      </c>
      <c r="U904" s="221" t="e">
        <f>U900/O900/8*O904</f>
        <v>#DIV/0!</v>
      </c>
      <c r="V904" s="221"/>
      <c r="W904" s="73" t="s">
        <v>38</v>
      </c>
      <c r="X904" s="73">
        <f>R897*O904/X890/8*1.5</f>
        <v>0</v>
      </c>
    </row>
    <row r="905" spans="1:24" ht="18.75" customHeight="1">
      <c r="A905" s="221" t="s">
        <v>65</v>
      </c>
      <c r="B905" s="221"/>
      <c r="C905" s="73"/>
      <c r="D905" s="73" t="s">
        <v>52</v>
      </c>
      <c r="E905" s="221" t="s">
        <v>64</v>
      </c>
      <c r="F905" s="221"/>
      <c r="G905" s="221"/>
      <c r="H905" s="73" t="s">
        <v>39</v>
      </c>
      <c r="I905" s="221"/>
      <c r="J905" s="221"/>
      <c r="K905" s="73" t="s">
        <v>38</v>
      </c>
      <c r="L905" s="73"/>
      <c r="M905" s="221" t="s">
        <v>65</v>
      </c>
      <c r="N905" s="221"/>
      <c r="O905" s="73"/>
      <c r="P905" s="73" t="s">
        <v>52</v>
      </c>
      <c r="Q905" s="221" t="s">
        <v>64</v>
      </c>
      <c r="R905" s="221"/>
      <c r="S905" s="221"/>
      <c r="T905" s="73" t="s">
        <v>39</v>
      </c>
      <c r="U905" s="221"/>
      <c r="V905" s="221"/>
      <c r="W905" s="73" t="s">
        <v>38</v>
      </c>
      <c r="X905" s="73"/>
    </row>
    <row r="906" spans="1:24" ht="18.75" customHeight="1">
      <c r="A906" s="73" t="s">
        <v>63</v>
      </c>
      <c r="B906" s="73" t="s">
        <v>39</v>
      </c>
      <c r="C906" s="73"/>
      <c r="D906" s="73" t="s">
        <v>52</v>
      </c>
      <c r="E906" s="221" t="s">
        <v>62</v>
      </c>
      <c r="F906" s="221"/>
      <c r="G906" s="221"/>
      <c r="H906" s="73" t="s">
        <v>39</v>
      </c>
      <c r="I906" s="221"/>
      <c r="J906" s="221"/>
      <c r="K906" s="73" t="s">
        <v>38</v>
      </c>
      <c r="L906" s="73"/>
      <c r="M906" s="73" t="s">
        <v>63</v>
      </c>
      <c r="N906" s="73" t="s">
        <v>39</v>
      </c>
      <c r="O906" s="73"/>
      <c r="P906" s="73" t="s">
        <v>52</v>
      </c>
      <c r="Q906" s="221" t="s">
        <v>62</v>
      </c>
      <c r="R906" s="221"/>
      <c r="S906" s="221"/>
      <c r="T906" s="73" t="s">
        <v>39</v>
      </c>
      <c r="U906" s="221"/>
      <c r="V906" s="221"/>
      <c r="W906" s="73" t="s">
        <v>38</v>
      </c>
      <c r="X906" s="73"/>
    </row>
    <row r="907" spans="1:24" ht="18.75" customHeight="1">
      <c r="A907" s="73" t="s">
        <v>61</v>
      </c>
      <c r="B907" s="73"/>
      <c r="C907" s="73"/>
      <c r="D907" s="73" t="s">
        <v>58</v>
      </c>
      <c r="E907" s="221" t="s">
        <v>60</v>
      </c>
      <c r="F907" s="221"/>
      <c r="G907" s="221"/>
      <c r="H907" s="73" t="s">
        <v>39</v>
      </c>
      <c r="I907" s="221">
        <f>$F$8*C907/8/$L$1</f>
        <v>0</v>
      </c>
      <c r="J907" s="221"/>
      <c r="K907" s="73" t="s">
        <v>38</v>
      </c>
      <c r="L907" s="73"/>
      <c r="M907" s="73" t="s">
        <v>61</v>
      </c>
      <c r="N907" s="73"/>
      <c r="O907" s="73"/>
      <c r="P907" s="73" t="s">
        <v>58</v>
      </c>
      <c r="Q907" s="221" t="s">
        <v>60</v>
      </c>
      <c r="R907" s="221"/>
      <c r="S907" s="221"/>
      <c r="T907" s="73" t="s">
        <v>39</v>
      </c>
      <c r="U907" s="221">
        <f>$F$8*O907/8/$L$1</f>
        <v>0</v>
      </c>
      <c r="V907" s="221"/>
      <c r="W907" s="73" t="s">
        <v>38</v>
      </c>
      <c r="X907" s="73"/>
    </row>
    <row r="908" spans="1:24" ht="18.75" customHeight="1">
      <c r="A908" s="73" t="s">
        <v>59</v>
      </c>
      <c r="B908" s="73" t="s">
        <v>39</v>
      </c>
      <c r="C908" s="73"/>
      <c r="D908" s="73" t="s">
        <v>58</v>
      </c>
      <c r="E908" s="221" t="s">
        <v>57</v>
      </c>
      <c r="F908" s="221"/>
      <c r="G908" s="221"/>
      <c r="H908" s="73" t="s">
        <v>39</v>
      </c>
      <c r="I908" s="221"/>
      <c r="J908" s="221"/>
      <c r="K908" s="73" t="s">
        <v>38</v>
      </c>
      <c r="L908" s="73"/>
      <c r="M908" s="73" t="s">
        <v>59</v>
      </c>
      <c r="N908" s="73" t="s">
        <v>39</v>
      </c>
      <c r="O908" s="73"/>
      <c r="P908" s="73" t="s">
        <v>58</v>
      </c>
      <c r="Q908" s="221" t="s">
        <v>57</v>
      </c>
      <c r="R908" s="221"/>
      <c r="S908" s="221"/>
      <c r="T908" s="73" t="s">
        <v>39</v>
      </c>
      <c r="U908" s="221"/>
      <c r="V908" s="221"/>
      <c r="W908" s="73" t="s">
        <v>38</v>
      </c>
      <c r="X908" s="73"/>
    </row>
    <row r="909" spans="1:24" ht="18.75" customHeight="1">
      <c r="A909" s="73" t="s">
        <v>56</v>
      </c>
      <c r="B909" s="73" t="s">
        <v>39</v>
      </c>
      <c r="C909" s="73"/>
      <c r="D909" s="73" t="s">
        <v>55</v>
      </c>
      <c r="E909" s="73" t="s">
        <v>54</v>
      </c>
      <c r="F909" s="73"/>
      <c r="G909" s="73"/>
      <c r="H909" s="73" t="s">
        <v>39</v>
      </c>
      <c r="I909" s="221"/>
      <c r="J909" s="221"/>
      <c r="K909" s="73" t="s">
        <v>38</v>
      </c>
      <c r="L909" s="73" t="e">
        <f>+IF(L900-I900&lt;0,0,L900-I900)+IF(L904-I904&lt;0,0,L904-I904)</f>
        <v>#DIV/0!</v>
      </c>
      <c r="M909" s="73" t="s">
        <v>56</v>
      </c>
      <c r="N909" s="73" t="s">
        <v>39</v>
      </c>
      <c r="O909" s="73"/>
      <c r="P909" s="73" t="s">
        <v>55</v>
      </c>
      <c r="Q909" s="73" t="s">
        <v>54</v>
      </c>
      <c r="R909" s="73"/>
      <c r="S909" s="73"/>
      <c r="T909" s="73" t="s">
        <v>39</v>
      </c>
      <c r="U909" s="221"/>
      <c r="V909" s="221"/>
      <c r="W909" s="73" t="s">
        <v>38</v>
      </c>
      <c r="X909" s="73" t="e">
        <f>+IF(X900-U900&lt;0,0,X900-U900)+IF(X904-U904&lt;0,0,X904-U904)</f>
        <v>#DIV/0!</v>
      </c>
    </row>
    <row r="910" spans="1:24" ht="18.75" customHeight="1">
      <c r="A910" s="73" t="s">
        <v>53</v>
      </c>
      <c r="B910" s="73"/>
      <c r="C910" s="73"/>
      <c r="D910" s="73" t="s">
        <v>52</v>
      </c>
      <c r="E910" s="221" t="s">
        <v>51</v>
      </c>
      <c r="F910" s="221"/>
      <c r="G910" s="221"/>
      <c r="H910" s="73" t="s">
        <v>39</v>
      </c>
      <c r="I910" s="221"/>
      <c r="J910" s="221"/>
      <c r="K910" s="73" t="s">
        <v>38</v>
      </c>
      <c r="L910" s="73"/>
      <c r="M910" s="73" t="s">
        <v>53</v>
      </c>
      <c r="N910" s="73"/>
      <c r="O910" s="73"/>
      <c r="P910" s="73" t="s">
        <v>52</v>
      </c>
      <c r="Q910" s="221" t="s">
        <v>51</v>
      </c>
      <c r="R910" s="221"/>
      <c r="S910" s="221"/>
      <c r="T910" s="73" t="s">
        <v>39</v>
      </c>
      <c r="U910" s="221"/>
      <c r="V910" s="221"/>
      <c r="W910" s="73" t="s">
        <v>38</v>
      </c>
      <c r="X910" s="73"/>
    </row>
    <row r="911" spans="1:24" ht="18.75" customHeight="1">
      <c r="A911" s="221" t="s">
        <v>50</v>
      </c>
      <c r="B911" s="221"/>
      <c r="C911" s="73"/>
      <c r="D911" s="73"/>
      <c r="E911" s="73"/>
      <c r="F911" s="73"/>
      <c r="G911" s="73"/>
      <c r="H911" s="73" t="s">
        <v>39</v>
      </c>
      <c r="I911" s="221"/>
      <c r="J911" s="221"/>
      <c r="K911" s="73" t="s">
        <v>38</v>
      </c>
      <c r="L911" s="73"/>
      <c r="M911" s="221" t="s">
        <v>50</v>
      </c>
      <c r="N911" s="221"/>
      <c r="O911" s="73"/>
      <c r="P911" s="73"/>
      <c r="Q911" s="73"/>
      <c r="R911" s="73"/>
      <c r="S911" s="73"/>
      <c r="T911" s="73" t="s">
        <v>39</v>
      </c>
      <c r="U911" s="221"/>
      <c r="V911" s="221"/>
      <c r="W911" s="73" t="s">
        <v>38</v>
      </c>
      <c r="X911" s="73"/>
    </row>
    <row r="912" spans="1:24" ht="18.75" customHeight="1">
      <c r="A912" s="73" t="s">
        <v>49</v>
      </c>
      <c r="B912" s="73" t="s">
        <v>39</v>
      </c>
      <c r="C912" s="73"/>
      <c r="D912" s="73"/>
      <c r="E912" s="73" t="s">
        <v>48</v>
      </c>
      <c r="F912" s="73"/>
      <c r="G912" s="73"/>
      <c r="H912" s="73" t="s">
        <v>39</v>
      </c>
      <c r="I912" s="221" t="e">
        <f>L909</f>
        <v>#DIV/0!</v>
      </c>
      <c r="J912" s="221"/>
      <c r="K912" s="73" t="s">
        <v>38</v>
      </c>
      <c r="L912" s="73"/>
      <c r="M912" s="73" t="s">
        <v>49</v>
      </c>
      <c r="N912" s="73" t="s">
        <v>39</v>
      </c>
      <c r="O912" s="73"/>
      <c r="P912" s="73"/>
      <c r="Q912" s="73" t="s">
        <v>48</v>
      </c>
      <c r="R912" s="73"/>
      <c r="S912" s="73"/>
      <c r="T912" s="73" t="s">
        <v>39</v>
      </c>
      <c r="U912" s="221" t="e">
        <f>X909</f>
        <v>#DIV/0!</v>
      </c>
      <c r="V912" s="221"/>
      <c r="W912" s="73" t="s">
        <v>38</v>
      </c>
      <c r="X912" s="73"/>
    </row>
    <row r="913" spans="1:24" ht="18.75" customHeight="1">
      <c r="A913" s="221" t="s">
        <v>47</v>
      </c>
      <c r="B913" s="221"/>
      <c r="C913" s="221"/>
      <c r="D913" s="221"/>
      <c r="E913" s="221"/>
      <c r="F913" s="221"/>
      <c r="G913" s="73" t="s">
        <v>39</v>
      </c>
      <c r="H913" s="221" t="e">
        <f>I900+I901+I902+I903+I904+I907+I911+I912</f>
        <v>#DIV/0!</v>
      </c>
      <c r="I913" s="221"/>
      <c r="J913" s="221"/>
      <c r="K913" s="73" t="s">
        <v>38</v>
      </c>
      <c r="M913" s="221" t="s">
        <v>47</v>
      </c>
      <c r="N913" s="221"/>
      <c r="O913" s="221"/>
      <c r="P913" s="221"/>
      <c r="Q913" s="221"/>
      <c r="R913" s="221"/>
      <c r="S913" s="73" t="s">
        <v>39</v>
      </c>
      <c r="T913" s="221" t="e">
        <f>U900+U901+U902+U903+U904+U907+U911+U912</f>
        <v>#DIV/0!</v>
      </c>
      <c r="U913" s="221"/>
      <c r="V913" s="221"/>
      <c r="W913" s="73" t="s">
        <v>38</v>
      </c>
    </row>
    <row r="914" spans="1:24" ht="18.75" customHeight="1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</row>
    <row r="915" spans="1:24" ht="18.75" customHeight="1">
      <c r="A915" s="221" t="s">
        <v>46</v>
      </c>
      <c r="B915" s="221"/>
      <c r="C915" s="221"/>
      <c r="D915" s="221"/>
      <c r="E915" s="221"/>
      <c r="F915" s="221"/>
      <c r="G915" s="73"/>
      <c r="H915" s="73"/>
      <c r="I915" s="73"/>
      <c r="J915" s="73"/>
      <c r="K915" s="73"/>
      <c r="M915" s="221" t="s">
        <v>46</v>
      </c>
      <c r="N915" s="221"/>
      <c r="O915" s="221"/>
      <c r="P915" s="221"/>
      <c r="Q915" s="221"/>
      <c r="R915" s="221"/>
      <c r="S915" s="73"/>
      <c r="T915" s="73"/>
      <c r="U915" s="73"/>
      <c r="V915" s="73"/>
      <c r="W915" s="73"/>
    </row>
    <row r="916" spans="1:24" ht="18.75" customHeight="1">
      <c r="A916" s="221" t="s">
        <v>45</v>
      </c>
      <c r="B916" s="221"/>
      <c r="C916" s="221"/>
      <c r="D916" s="221"/>
      <c r="E916" s="221"/>
      <c r="F916" s="221"/>
      <c r="G916" s="73" t="s">
        <v>39</v>
      </c>
      <c r="H916" s="221">
        <f>IF(($L$1-(C900+C901+C902+C903))&gt;12,0,F897*8%)</f>
        <v>0</v>
      </c>
      <c r="I916" s="221"/>
      <c r="J916" s="221"/>
      <c r="K916" s="73" t="s">
        <v>38</v>
      </c>
      <c r="M916" s="221" t="s">
        <v>45</v>
      </c>
      <c r="N916" s="221"/>
      <c r="O916" s="221"/>
      <c r="P916" s="221"/>
      <c r="Q916" s="221"/>
      <c r="R916" s="221"/>
      <c r="S916" s="73" t="s">
        <v>39</v>
      </c>
      <c r="T916" s="221">
        <f>IF(($L$1-(O900+O901+O902+O903))&gt;12,0,R897*8%)</f>
        <v>0</v>
      </c>
      <c r="U916" s="221"/>
      <c r="V916" s="221"/>
      <c r="W916" s="73" t="s">
        <v>38</v>
      </c>
    </row>
    <row r="917" spans="1:24" ht="18.75" customHeight="1">
      <c r="A917" s="221" t="s">
        <v>44</v>
      </c>
      <c r="B917" s="221"/>
      <c r="C917" s="221"/>
      <c r="D917" s="221"/>
      <c r="E917" s="221"/>
      <c r="F917" s="221"/>
      <c r="G917" s="73" t="s">
        <v>39</v>
      </c>
      <c r="H917" s="221">
        <f>IF(($L$1-(C900+C901+C902+C903))&gt;12,0,F897*1.5%)</f>
        <v>0</v>
      </c>
      <c r="I917" s="221"/>
      <c r="J917" s="221"/>
      <c r="K917" s="73" t="s">
        <v>38</v>
      </c>
      <c r="M917" s="221" t="s">
        <v>44</v>
      </c>
      <c r="N917" s="221"/>
      <c r="O917" s="221"/>
      <c r="P917" s="221"/>
      <c r="Q917" s="221"/>
      <c r="R917" s="221"/>
      <c r="S917" s="73" t="s">
        <v>39</v>
      </c>
      <c r="T917" s="221">
        <f>IF(($L$1-(O900+O901+O902+O903))&gt;12,0,R897*1.5%)</f>
        <v>0</v>
      </c>
      <c r="U917" s="221"/>
      <c r="V917" s="221"/>
      <c r="W917" s="73" t="s">
        <v>38</v>
      </c>
    </row>
    <row r="918" spans="1:24" ht="18.75" customHeight="1">
      <c r="A918" s="221" t="s">
        <v>43</v>
      </c>
      <c r="B918" s="221"/>
      <c r="C918" s="221"/>
      <c r="D918" s="221"/>
      <c r="E918" s="221"/>
      <c r="F918" s="221"/>
      <c r="G918" s="73" t="s">
        <v>39</v>
      </c>
      <c r="H918" s="221">
        <f>IF(($L$1-(C900+C901+C902+C903))&gt;12,0,F897*1%)</f>
        <v>0</v>
      </c>
      <c r="I918" s="221"/>
      <c r="J918" s="221"/>
      <c r="K918" s="73" t="s">
        <v>38</v>
      </c>
      <c r="M918" s="221" t="s">
        <v>43</v>
      </c>
      <c r="N918" s="221"/>
      <c r="O918" s="221"/>
      <c r="P918" s="221"/>
      <c r="Q918" s="221"/>
      <c r="R918" s="221"/>
      <c r="S918" s="73" t="s">
        <v>39</v>
      </c>
      <c r="T918" s="221">
        <f>IF(($L$1-(O900+O901+O902+O903))&gt;12,0,R897*1%)</f>
        <v>0</v>
      </c>
      <c r="U918" s="221"/>
      <c r="V918" s="221"/>
      <c r="W918" s="73" t="s">
        <v>38</v>
      </c>
    </row>
    <row r="919" spans="1:24" ht="18.75" customHeight="1">
      <c r="A919" s="221" t="s">
        <v>42</v>
      </c>
      <c r="B919" s="221"/>
      <c r="C919" s="221"/>
      <c r="D919" s="221"/>
      <c r="E919" s="221"/>
      <c r="F919" s="221"/>
      <c r="G919" s="73" t="s">
        <v>39</v>
      </c>
      <c r="H919" s="221">
        <v>0</v>
      </c>
      <c r="I919" s="221"/>
      <c r="J919" s="221"/>
      <c r="K919" s="73" t="s">
        <v>38</v>
      </c>
      <c r="M919" s="221" t="s">
        <v>42</v>
      </c>
      <c r="N919" s="221"/>
      <c r="O919" s="221"/>
      <c r="P919" s="221"/>
      <c r="Q919" s="221"/>
      <c r="R919" s="221"/>
      <c r="S919" s="73" t="s">
        <v>39</v>
      </c>
      <c r="T919" s="221">
        <v>0</v>
      </c>
      <c r="U919" s="221"/>
      <c r="V919" s="221"/>
      <c r="W919" s="73" t="s">
        <v>38</v>
      </c>
    </row>
    <row r="920" spans="1:24" ht="18.75" customHeight="1">
      <c r="A920" s="221" t="s">
        <v>41</v>
      </c>
      <c r="B920" s="221"/>
      <c r="C920" s="221"/>
      <c r="D920" s="221"/>
      <c r="E920" s="221"/>
      <c r="F920" s="221"/>
      <c r="G920" s="73" t="s">
        <v>39</v>
      </c>
      <c r="H920" s="221">
        <f>SUM(H916:J919)</f>
        <v>0</v>
      </c>
      <c r="I920" s="221"/>
      <c r="J920" s="221"/>
      <c r="K920" s="73" t="s">
        <v>38</v>
      </c>
      <c r="M920" s="221" t="s">
        <v>41</v>
      </c>
      <c r="N920" s="221"/>
      <c r="O920" s="221"/>
      <c r="P920" s="221"/>
      <c r="Q920" s="221"/>
      <c r="R920" s="221"/>
      <c r="S920" s="73" t="s">
        <v>39</v>
      </c>
      <c r="T920" s="221">
        <f>SUM(T916:V919)</f>
        <v>0</v>
      </c>
      <c r="U920" s="221"/>
      <c r="V920" s="221"/>
      <c r="W920" s="73" t="s">
        <v>38</v>
      </c>
    </row>
    <row r="921" spans="1:24" ht="18.75" customHeight="1">
      <c r="A921" s="221" t="s">
        <v>40</v>
      </c>
      <c r="B921" s="221"/>
      <c r="C921" s="221"/>
      <c r="D921" s="221"/>
      <c r="E921" s="221"/>
      <c r="F921" s="221"/>
      <c r="G921" s="73" t="s">
        <v>39</v>
      </c>
      <c r="H921" s="221" t="e">
        <f>ROUND(H913-H920,-2)</f>
        <v>#DIV/0!</v>
      </c>
      <c r="I921" s="221"/>
      <c r="J921" s="221"/>
      <c r="K921" s="73" t="s">
        <v>38</v>
      </c>
      <c r="M921" s="221" t="s">
        <v>40</v>
      </c>
      <c r="N921" s="221"/>
      <c r="O921" s="221"/>
      <c r="P921" s="221"/>
      <c r="Q921" s="221"/>
      <c r="R921" s="221"/>
      <c r="S921" s="73" t="s">
        <v>39</v>
      </c>
      <c r="T921" s="221" t="e">
        <f>ROUND(T913-T920,-2)</f>
        <v>#DIV/0!</v>
      </c>
      <c r="U921" s="221"/>
      <c r="V921" s="221"/>
      <c r="W921" s="73" t="s">
        <v>38</v>
      </c>
    </row>
    <row r="922" spans="1:24" ht="18.75" customHeight="1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</row>
    <row r="923" spans="1:24" ht="18.75" customHeight="1">
      <c r="A923" s="73"/>
      <c r="B923" s="73"/>
      <c r="C923" s="73"/>
      <c r="D923" s="73"/>
      <c r="E923" s="73"/>
      <c r="F923" s="73"/>
      <c r="G923" s="73"/>
      <c r="H923" s="73"/>
      <c r="I923" s="221" t="s">
        <v>37</v>
      </c>
      <c r="J923" s="221"/>
      <c r="K923" s="221"/>
      <c r="M923" s="73"/>
      <c r="N923" s="73"/>
      <c r="O923" s="73"/>
      <c r="P923" s="73"/>
      <c r="Q923" s="73"/>
      <c r="R923" s="73"/>
      <c r="S923" s="73"/>
      <c r="T923" s="73"/>
      <c r="U923" s="221" t="s">
        <v>37</v>
      </c>
      <c r="V923" s="221"/>
      <c r="W923" s="221"/>
    </row>
    <row r="924" spans="1:24" ht="18.75" customHeight="1">
      <c r="A924" s="73"/>
      <c r="B924" s="221"/>
      <c r="C924" s="221"/>
      <c r="D924" s="221"/>
      <c r="E924" s="221"/>
      <c r="F924" s="73"/>
      <c r="G924" s="73"/>
      <c r="H924" s="73"/>
      <c r="I924" s="73"/>
      <c r="J924" s="73"/>
      <c r="K924" s="73"/>
      <c r="M924" s="73"/>
      <c r="N924" s="221"/>
      <c r="O924" s="221"/>
      <c r="P924" s="221"/>
      <c r="Q924" s="221"/>
      <c r="R924" s="73"/>
      <c r="S924" s="73"/>
      <c r="T924" s="73"/>
      <c r="U924" s="73"/>
      <c r="V924" s="73"/>
      <c r="W924" s="73"/>
    </row>
    <row r="925" spans="1:24" ht="18.75" customHeight="1">
      <c r="A925" s="73"/>
      <c r="B925" s="73"/>
      <c r="C925" s="73"/>
      <c r="D925" s="73"/>
      <c r="E925" s="73"/>
      <c r="F925" s="73"/>
      <c r="G925" s="73"/>
      <c r="H925" s="73"/>
      <c r="I925" s="221" t="s">
        <v>36</v>
      </c>
      <c r="J925" s="221"/>
      <c r="K925" s="221"/>
      <c r="M925" s="73"/>
      <c r="N925" s="73"/>
      <c r="O925" s="73"/>
      <c r="P925" s="73"/>
      <c r="Q925" s="73"/>
      <c r="R925" s="73"/>
      <c r="S925" s="73"/>
      <c r="T925" s="73"/>
      <c r="U925" s="221" t="s">
        <v>36</v>
      </c>
      <c r="V925" s="221"/>
      <c r="W925" s="221"/>
    </row>
    <row r="927" spans="1:24" ht="18.75" customHeight="1">
      <c r="A927" s="221" t="s">
        <v>87</v>
      </c>
      <c r="B927" s="221"/>
      <c r="C927" s="221"/>
      <c r="D927" s="221"/>
      <c r="E927" s="221"/>
      <c r="F927" s="221"/>
      <c r="G927" s="221"/>
      <c r="H927" s="221"/>
      <c r="I927" s="221"/>
      <c r="J927" s="221"/>
      <c r="K927" s="221"/>
      <c r="L927" s="73">
        <v>24</v>
      </c>
      <c r="M927" s="221" t="s">
        <v>87</v>
      </c>
      <c r="N927" s="221"/>
      <c r="O927" s="221"/>
      <c r="P927" s="221"/>
      <c r="Q927" s="221"/>
      <c r="R927" s="221"/>
      <c r="S927" s="221"/>
      <c r="T927" s="221"/>
      <c r="U927" s="221"/>
      <c r="V927" s="221"/>
      <c r="W927" s="221"/>
      <c r="X927" s="73">
        <v>24</v>
      </c>
    </row>
    <row r="928" spans="1:24" ht="18.75" customHeight="1">
      <c r="A928" s="73" t="s">
        <v>99</v>
      </c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M928" s="73" t="s">
        <v>98</v>
      </c>
      <c r="N928" s="73"/>
      <c r="O928" s="73"/>
      <c r="P928" s="73"/>
      <c r="Q928" s="73"/>
      <c r="R928" s="73"/>
      <c r="S928" s="73"/>
      <c r="T928" s="73"/>
      <c r="U928" s="73"/>
      <c r="V928" s="73"/>
      <c r="W928" s="73"/>
    </row>
    <row r="929" spans="1:24" ht="18.75" customHeight="1">
      <c r="A929" s="221" t="s">
        <v>84</v>
      </c>
      <c r="B929" s="221"/>
      <c r="C929" s="221"/>
      <c r="D929" s="221"/>
      <c r="E929" s="221"/>
      <c r="F929" s="221"/>
      <c r="G929" s="221"/>
      <c r="H929" s="221"/>
      <c r="I929" s="221"/>
      <c r="J929" s="221"/>
      <c r="K929" s="221"/>
      <c r="M929" s="221" t="s">
        <v>84</v>
      </c>
      <c r="N929" s="221"/>
      <c r="O929" s="221"/>
      <c r="P929" s="221"/>
      <c r="Q929" s="221"/>
      <c r="R929" s="221"/>
      <c r="S929" s="221"/>
      <c r="T929" s="221"/>
      <c r="U929" s="221"/>
      <c r="V929" s="221"/>
      <c r="W929" s="221"/>
    </row>
    <row r="930" spans="1:24" ht="18.75" customHeight="1">
      <c r="A930" s="221" t="s">
        <v>83</v>
      </c>
      <c r="B930" s="221"/>
      <c r="C930" s="221"/>
      <c r="D930" s="221"/>
      <c r="E930" s="73" t="s">
        <v>39</v>
      </c>
      <c r="F930" s="221"/>
      <c r="G930" s="221"/>
      <c r="H930" s="221"/>
      <c r="I930" s="221"/>
      <c r="J930" s="221"/>
      <c r="K930" s="221"/>
      <c r="M930" s="221" t="s">
        <v>83</v>
      </c>
      <c r="N930" s="221"/>
      <c r="O930" s="221"/>
      <c r="P930" s="221"/>
      <c r="Q930" s="73" t="s">
        <v>39</v>
      </c>
      <c r="R930" s="221"/>
      <c r="S930" s="221"/>
      <c r="T930" s="221"/>
      <c r="U930" s="221"/>
      <c r="V930" s="221"/>
      <c r="W930" s="221"/>
    </row>
    <row r="931" spans="1:24" ht="18.75" customHeight="1">
      <c r="A931" s="221" t="s">
        <v>82</v>
      </c>
      <c r="B931" s="221"/>
      <c r="C931" s="221"/>
      <c r="D931" s="221"/>
      <c r="E931" s="73" t="s">
        <v>39</v>
      </c>
      <c r="F931" s="221"/>
      <c r="G931" s="221"/>
      <c r="H931" s="221"/>
      <c r="I931" s="221"/>
      <c r="J931" s="221"/>
      <c r="K931" s="221"/>
      <c r="M931" s="221" t="s">
        <v>82</v>
      </c>
      <c r="N931" s="221"/>
      <c r="O931" s="221"/>
      <c r="P931" s="221"/>
      <c r="Q931" s="73" t="s">
        <v>39</v>
      </c>
      <c r="R931" s="221"/>
      <c r="S931" s="221"/>
      <c r="T931" s="221"/>
      <c r="U931" s="221"/>
      <c r="V931" s="221"/>
      <c r="W931" s="221"/>
    </row>
    <row r="932" spans="1:24" ht="18.75" customHeight="1">
      <c r="A932" s="221" t="s">
        <v>81</v>
      </c>
      <c r="B932" s="221"/>
      <c r="C932" s="221"/>
      <c r="D932" s="221"/>
      <c r="E932" s="73" t="s">
        <v>39</v>
      </c>
      <c r="F932" s="221" t="s">
        <v>80</v>
      </c>
      <c r="G932" s="221"/>
      <c r="H932" s="221"/>
      <c r="I932" s="221"/>
      <c r="J932" s="221"/>
      <c r="K932" s="221"/>
      <c r="M932" s="221" t="s">
        <v>81</v>
      </c>
      <c r="N932" s="221"/>
      <c r="O932" s="221"/>
      <c r="P932" s="221"/>
      <c r="Q932" s="73" t="s">
        <v>39</v>
      </c>
      <c r="R932" s="221" t="s">
        <v>80</v>
      </c>
      <c r="S932" s="221"/>
      <c r="T932" s="221"/>
      <c r="U932" s="221"/>
      <c r="V932" s="221"/>
      <c r="W932" s="221"/>
    </row>
    <row r="933" spans="1:24" ht="18.75" customHeight="1">
      <c r="A933" s="221" t="s">
        <v>79</v>
      </c>
      <c r="B933" s="221"/>
      <c r="C933" s="221"/>
      <c r="D933" s="221"/>
      <c r="E933" s="221"/>
      <c r="F933" s="221"/>
      <c r="G933" s="221"/>
      <c r="H933" s="221"/>
      <c r="I933" s="221"/>
      <c r="J933" s="221"/>
      <c r="K933" s="221"/>
      <c r="M933" s="221" t="s">
        <v>79</v>
      </c>
      <c r="N933" s="221"/>
      <c r="O933" s="221"/>
      <c r="P933" s="221"/>
      <c r="Q933" s="221"/>
      <c r="R933" s="221"/>
      <c r="S933" s="221"/>
      <c r="T933" s="221"/>
      <c r="U933" s="221"/>
      <c r="V933" s="221"/>
      <c r="W933" s="221"/>
    </row>
    <row r="934" spans="1:24" ht="18.75" customHeight="1">
      <c r="A934" s="221" t="s">
        <v>78</v>
      </c>
      <c r="B934" s="221"/>
      <c r="C934" s="221"/>
      <c r="D934" s="221"/>
      <c r="E934" s="73" t="s">
        <v>39</v>
      </c>
      <c r="F934" s="221">
        <v>2915400</v>
      </c>
      <c r="G934" s="221"/>
      <c r="H934" s="221"/>
      <c r="I934" s="221"/>
      <c r="J934" s="73" t="s">
        <v>38</v>
      </c>
      <c r="K934" s="73"/>
      <c r="M934" s="221" t="s">
        <v>78</v>
      </c>
      <c r="N934" s="221"/>
      <c r="O934" s="221"/>
      <c r="P934" s="221"/>
      <c r="Q934" s="73" t="s">
        <v>39</v>
      </c>
      <c r="R934" s="221">
        <v>2915400</v>
      </c>
      <c r="S934" s="221"/>
      <c r="T934" s="221"/>
      <c r="U934" s="221"/>
      <c r="V934" s="73" t="s">
        <v>38</v>
      </c>
      <c r="W934" s="73"/>
    </row>
    <row r="935" spans="1:24" ht="18.75" customHeight="1">
      <c r="A935" s="73" t="s">
        <v>77</v>
      </c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M935" s="73" t="s">
        <v>77</v>
      </c>
      <c r="N935" s="73"/>
      <c r="O935" s="73"/>
      <c r="P935" s="73"/>
      <c r="Q935" s="73"/>
      <c r="R935" s="73"/>
      <c r="S935" s="73"/>
      <c r="T935" s="73"/>
      <c r="U935" s="73"/>
      <c r="V935" s="73"/>
      <c r="W935" s="73"/>
    </row>
    <row r="936" spans="1:24" ht="18.75" customHeight="1">
      <c r="A936" s="73" t="s">
        <v>76</v>
      </c>
      <c r="B936" s="73"/>
      <c r="C936" s="73"/>
      <c r="D936" s="73"/>
      <c r="E936" s="73"/>
      <c r="F936" s="73"/>
      <c r="G936" s="73"/>
      <c r="H936" s="73"/>
      <c r="I936" s="73" t="e">
        <f>I937/C937/8</f>
        <v>#DIV/0!</v>
      </c>
      <c r="J936" s="73"/>
      <c r="K936" s="73"/>
      <c r="M936" s="73" t="s">
        <v>76</v>
      </c>
      <c r="N936" s="73"/>
      <c r="O936" s="73"/>
      <c r="P936" s="73"/>
      <c r="Q936" s="73"/>
      <c r="R936" s="73"/>
      <c r="S936" s="73"/>
      <c r="T936" s="73"/>
      <c r="U936" s="73" t="e">
        <f>U937/O937/8</f>
        <v>#DIV/0!</v>
      </c>
      <c r="V936" s="73"/>
      <c r="W936" s="73"/>
    </row>
    <row r="937" spans="1:24" ht="18.75" customHeight="1">
      <c r="A937" s="73" t="s">
        <v>75</v>
      </c>
      <c r="B937" s="73" t="s">
        <v>39</v>
      </c>
      <c r="C937" s="73"/>
      <c r="D937" s="73" t="s">
        <v>52</v>
      </c>
      <c r="E937" s="221" t="s">
        <v>74</v>
      </c>
      <c r="F937" s="221"/>
      <c r="G937" s="221"/>
      <c r="H937" s="73" t="s">
        <v>39</v>
      </c>
      <c r="I937" s="221" t="e">
        <f>I935*680/((C937-C944)*8+C944*7+C941)*((C937-C944)*8+C944*7)</f>
        <v>#DIV/0!</v>
      </c>
      <c r="J937" s="221"/>
      <c r="K937" s="73" t="s">
        <v>38</v>
      </c>
      <c r="L937" s="73">
        <f>F934/L927*C937</f>
        <v>0</v>
      </c>
      <c r="M937" s="73" t="s">
        <v>75</v>
      </c>
      <c r="N937" s="73" t="s">
        <v>39</v>
      </c>
      <c r="O937" s="73"/>
      <c r="P937" s="73" t="s">
        <v>52</v>
      </c>
      <c r="Q937" s="221" t="s">
        <v>74</v>
      </c>
      <c r="R937" s="221"/>
      <c r="S937" s="221"/>
      <c r="T937" s="73" t="s">
        <v>39</v>
      </c>
      <c r="U937" s="221" t="e">
        <f>U935*680/((O937-O944)*8+O944*7+O941)*((O937-O944)*8+O944*7)</f>
        <v>#DIV/0!</v>
      </c>
      <c r="V937" s="221"/>
      <c r="W937" s="73" t="s">
        <v>38</v>
      </c>
      <c r="X937" s="73">
        <f>R934/X927*O937</f>
        <v>0</v>
      </c>
    </row>
    <row r="938" spans="1:24" ht="18.75" customHeight="1">
      <c r="A938" s="73" t="s">
        <v>73</v>
      </c>
      <c r="B938" s="73" t="s">
        <v>39</v>
      </c>
      <c r="C938" s="73"/>
      <c r="D938" s="73" t="s">
        <v>52</v>
      </c>
      <c r="E938" s="221" t="s">
        <v>72</v>
      </c>
      <c r="F938" s="221"/>
      <c r="G938" s="221"/>
      <c r="H938" s="73" t="s">
        <v>39</v>
      </c>
      <c r="I938" s="221">
        <f>$F$8/$L$1*C938</f>
        <v>0</v>
      </c>
      <c r="J938" s="221"/>
      <c r="K938" s="73" t="s">
        <v>38</v>
      </c>
      <c r="L938" s="73"/>
      <c r="M938" s="73" t="s">
        <v>73</v>
      </c>
      <c r="N938" s="73" t="s">
        <v>39</v>
      </c>
      <c r="O938" s="73"/>
      <c r="P938" s="73" t="s">
        <v>52</v>
      </c>
      <c r="Q938" s="221" t="s">
        <v>72</v>
      </c>
      <c r="R938" s="221"/>
      <c r="S938" s="221"/>
      <c r="T938" s="73" t="s">
        <v>39</v>
      </c>
      <c r="U938" s="221">
        <f>$F$8/$L$1*O938</f>
        <v>0</v>
      </c>
      <c r="V938" s="221"/>
      <c r="W938" s="73" t="s">
        <v>38</v>
      </c>
      <c r="X938" s="73"/>
    </row>
    <row r="939" spans="1:24" ht="18.75" customHeight="1">
      <c r="A939" s="73" t="s">
        <v>71</v>
      </c>
      <c r="B939" s="73" t="s">
        <v>39</v>
      </c>
      <c r="C939" s="73"/>
      <c r="D939" s="73" t="s">
        <v>52</v>
      </c>
      <c r="E939" s="221" t="s">
        <v>70</v>
      </c>
      <c r="F939" s="221"/>
      <c r="G939" s="221"/>
      <c r="H939" s="73" t="s">
        <v>39</v>
      </c>
      <c r="I939" s="221">
        <f>$F$8/$L$1*C939</f>
        <v>0</v>
      </c>
      <c r="J939" s="221"/>
      <c r="K939" s="73" t="s">
        <v>38</v>
      </c>
      <c r="L939" s="73"/>
      <c r="M939" s="73" t="s">
        <v>71</v>
      </c>
      <c r="N939" s="73" t="s">
        <v>39</v>
      </c>
      <c r="O939" s="73"/>
      <c r="P939" s="73" t="s">
        <v>52</v>
      </c>
      <c r="Q939" s="221" t="s">
        <v>70</v>
      </c>
      <c r="R939" s="221"/>
      <c r="S939" s="221"/>
      <c r="T939" s="73" t="s">
        <v>39</v>
      </c>
      <c r="U939" s="221">
        <f>$F$8/$L$1*O939</f>
        <v>0</v>
      </c>
      <c r="V939" s="221"/>
      <c r="W939" s="73" t="s">
        <v>38</v>
      </c>
      <c r="X939" s="73"/>
    </row>
    <row r="940" spans="1:24" ht="18.75" customHeight="1">
      <c r="A940" s="73" t="s">
        <v>69</v>
      </c>
      <c r="B940" s="73" t="s">
        <v>39</v>
      </c>
      <c r="C940" s="73"/>
      <c r="D940" s="73" t="s">
        <v>52</v>
      </c>
      <c r="E940" s="221" t="s">
        <v>68</v>
      </c>
      <c r="F940" s="221"/>
      <c r="G940" s="221"/>
      <c r="H940" s="73" t="s">
        <v>39</v>
      </c>
      <c r="I940" s="221">
        <f>$F$8/$L$1*C940</f>
        <v>0</v>
      </c>
      <c r="J940" s="221"/>
      <c r="K940" s="73" t="s">
        <v>38</v>
      </c>
      <c r="L940" s="73"/>
      <c r="M940" s="73" t="s">
        <v>69</v>
      </c>
      <c r="N940" s="73" t="s">
        <v>39</v>
      </c>
      <c r="O940" s="73"/>
      <c r="P940" s="73" t="s">
        <v>52</v>
      </c>
      <c r="Q940" s="221" t="s">
        <v>68</v>
      </c>
      <c r="R940" s="221"/>
      <c r="S940" s="221"/>
      <c r="T940" s="73" t="s">
        <v>39</v>
      </c>
      <c r="U940" s="221">
        <f>$F$8/$L$1*O940</f>
        <v>0</v>
      </c>
      <c r="V940" s="221"/>
      <c r="W940" s="73" t="s">
        <v>38</v>
      </c>
      <c r="X940" s="73"/>
    </row>
    <row r="941" spans="1:24" ht="18.75" customHeight="1">
      <c r="A941" s="73" t="s">
        <v>67</v>
      </c>
      <c r="B941" s="73" t="s">
        <v>39</v>
      </c>
      <c r="C941" s="73"/>
      <c r="D941" s="73" t="s">
        <v>58</v>
      </c>
      <c r="E941" s="221" t="s">
        <v>66</v>
      </c>
      <c r="F941" s="221"/>
      <c r="G941" s="221"/>
      <c r="H941" s="73" t="s">
        <v>39</v>
      </c>
      <c r="I941" s="221" t="e">
        <f>I937/C937/8*C941</f>
        <v>#DIV/0!</v>
      </c>
      <c r="J941" s="221"/>
      <c r="K941" s="73" t="s">
        <v>38</v>
      </c>
      <c r="L941" s="73">
        <f>F934*C941/L927/8*1.5</f>
        <v>0</v>
      </c>
      <c r="M941" s="73" t="s">
        <v>67</v>
      </c>
      <c r="N941" s="73" t="s">
        <v>39</v>
      </c>
      <c r="O941" s="73"/>
      <c r="P941" s="73" t="s">
        <v>58</v>
      </c>
      <c r="Q941" s="221" t="s">
        <v>66</v>
      </c>
      <c r="R941" s="221"/>
      <c r="S941" s="221"/>
      <c r="T941" s="73" t="s">
        <v>39</v>
      </c>
      <c r="U941" s="221" t="e">
        <f>U937/O937/8*O941</f>
        <v>#DIV/0!</v>
      </c>
      <c r="V941" s="221"/>
      <c r="W941" s="73" t="s">
        <v>38</v>
      </c>
      <c r="X941" s="73">
        <f>R934*O941/X927/8*1.5</f>
        <v>0</v>
      </c>
    </row>
    <row r="942" spans="1:24" ht="18.75" customHeight="1">
      <c r="A942" s="221" t="s">
        <v>65</v>
      </c>
      <c r="B942" s="221"/>
      <c r="C942" s="73"/>
      <c r="D942" s="73" t="s">
        <v>52</v>
      </c>
      <c r="E942" s="221" t="s">
        <v>64</v>
      </c>
      <c r="F942" s="221"/>
      <c r="G942" s="221"/>
      <c r="H942" s="73" t="s">
        <v>39</v>
      </c>
      <c r="I942" s="221"/>
      <c r="J942" s="221"/>
      <c r="K942" s="73" t="s">
        <v>38</v>
      </c>
      <c r="L942" s="73"/>
      <c r="M942" s="221" t="s">
        <v>65</v>
      </c>
      <c r="N942" s="221"/>
      <c r="O942" s="73"/>
      <c r="P942" s="73" t="s">
        <v>52</v>
      </c>
      <c r="Q942" s="221" t="s">
        <v>64</v>
      </c>
      <c r="R942" s="221"/>
      <c r="S942" s="221"/>
      <c r="T942" s="73" t="s">
        <v>39</v>
      </c>
      <c r="U942" s="221"/>
      <c r="V942" s="221"/>
      <c r="W942" s="73" t="s">
        <v>38</v>
      </c>
      <c r="X942" s="73"/>
    </row>
    <row r="943" spans="1:24" ht="18.75" customHeight="1">
      <c r="A943" s="73" t="s">
        <v>63</v>
      </c>
      <c r="B943" s="73" t="s">
        <v>39</v>
      </c>
      <c r="C943" s="73"/>
      <c r="D943" s="73" t="s">
        <v>52</v>
      </c>
      <c r="E943" s="221" t="s">
        <v>62</v>
      </c>
      <c r="F943" s="221"/>
      <c r="G943" s="221"/>
      <c r="H943" s="73" t="s">
        <v>39</v>
      </c>
      <c r="I943" s="221"/>
      <c r="J943" s="221"/>
      <c r="K943" s="73" t="s">
        <v>38</v>
      </c>
      <c r="L943" s="73"/>
      <c r="M943" s="73" t="s">
        <v>63</v>
      </c>
      <c r="N943" s="73" t="s">
        <v>39</v>
      </c>
      <c r="O943" s="73"/>
      <c r="P943" s="73" t="s">
        <v>52</v>
      </c>
      <c r="Q943" s="221" t="s">
        <v>62</v>
      </c>
      <c r="R943" s="221"/>
      <c r="S943" s="221"/>
      <c r="T943" s="73" t="s">
        <v>39</v>
      </c>
      <c r="U943" s="221"/>
      <c r="V943" s="221"/>
      <c r="W943" s="73" t="s">
        <v>38</v>
      </c>
      <c r="X943" s="73"/>
    </row>
    <row r="944" spans="1:24" ht="18.75" customHeight="1">
      <c r="A944" s="73" t="s">
        <v>61</v>
      </c>
      <c r="B944" s="73"/>
      <c r="C944" s="73"/>
      <c r="D944" s="73" t="s">
        <v>58</v>
      </c>
      <c r="E944" s="221" t="s">
        <v>60</v>
      </c>
      <c r="F944" s="221"/>
      <c r="G944" s="221"/>
      <c r="H944" s="73" t="s">
        <v>39</v>
      </c>
      <c r="I944" s="221">
        <f>$F$8*C944/8/$L$1</f>
        <v>0</v>
      </c>
      <c r="J944" s="221"/>
      <c r="K944" s="73" t="s">
        <v>38</v>
      </c>
      <c r="L944" s="73"/>
      <c r="M944" s="73" t="s">
        <v>61</v>
      </c>
      <c r="N944" s="73"/>
      <c r="O944" s="73"/>
      <c r="P944" s="73" t="s">
        <v>58</v>
      </c>
      <c r="Q944" s="221" t="s">
        <v>60</v>
      </c>
      <c r="R944" s="221"/>
      <c r="S944" s="221"/>
      <c r="T944" s="73" t="s">
        <v>39</v>
      </c>
      <c r="U944" s="221">
        <f>$F$8*O944/8/$L$1</f>
        <v>0</v>
      </c>
      <c r="V944" s="221"/>
      <c r="W944" s="73" t="s">
        <v>38</v>
      </c>
      <c r="X944" s="73"/>
    </row>
    <row r="945" spans="1:24" ht="18.75" customHeight="1">
      <c r="A945" s="73" t="s">
        <v>59</v>
      </c>
      <c r="B945" s="73" t="s">
        <v>39</v>
      </c>
      <c r="C945" s="73"/>
      <c r="D945" s="73" t="s">
        <v>58</v>
      </c>
      <c r="E945" s="221" t="s">
        <v>57</v>
      </c>
      <c r="F945" s="221"/>
      <c r="G945" s="221"/>
      <c r="H945" s="73" t="s">
        <v>39</v>
      </c>
      <c r="I945" s="221"/>
      <c r="J945" s="221"/>
      <c r="K945" s="73" t="s">
        <v>38</v>
      </c>
      <c r="L945" s="73"/>
      <c r="M945" s="73" t="s">
        <v>59</v>
      </c>
      <c r="N945" s="73" t="s">
        <v>39</v>
      </c>
      <c r="O945" s="73"/>
      <c r="P945" s="73" t="s">
        <v>58</v>
      </c>
      <c r="Q945" s="221" t="s">
        <v>57</v>
      </c>
      <c r="R945" s="221"/>
      <c r="S945" s="221"/>
      <c r="T945" s="73" t="s">
        <v>39</v>
      </c>
      <c r="U945" s="221"/>
      <c r="V945" s="221"/>
      <c r="W945" s="73" t="s">
        <v>38</v>
      </c>
      <c r="X945" s="73"/>
    </row>
    <row r="946" spans="1:24" ht="18.75" customHeight="1">
      <c r="A946" s="73" t="s">
        <v>56</v>
      </c>
      <c r="B946" s="73" t="s">
        <v>39</v>
      </c>
      <c r="C946" s="73"/>
      <c r="D946" s="73" t="s">
        <v>55</v>
      </c>
      <c r="E946" s="73" t="s">
        <v>54</v>
      </c>
      <c r="F946" s="73"/>
      <c r="G946" s="73"/>
      <c r="H946" s="73" t="s">
        <v>39</v>
      </c>
      <c r="I946" s="221"/>
      <c r="J946" s="221"/>
      <c r="K946" s="73" t="s">
        <v>38</v>
      </c>
      <c r="L946" s="73" t="e">
        <f>+IF(L937-I937&lt;0,0,L937-I937)+IF(L941-I941&lt;0,0,L941-I941)</f>
        <v>#DIV/0!</v>
      </c>
      <c r="M946" s="73" t="s">
        <v>56</v>
      </c>
      <c r="N946" s="73" t="s">
        <v>39</v>
      </c>
      <c r="O946" s="73"/>
      <c r="P946" s="73" t="s">
        <v>55</v>
      </c>
      <c r="Q946" s="73" t="s">
        <v>54</v>
      </c>
      <c r="R946" s="73"/>
      <c r="S946" s="73"/>
      <c r="T946" s="73" t="s">
        <v>39</v>
      </c>
      <c r="U946" s="221"/>
      <c r="V946" s="221"/>
      <c r="W946" s="73" t="s">
        <v>38</v>
      </c>
      <c r="X946" s="73" t="e">
        <f>+IF(X937-U937&lt;0,0,X937-U937)+IF(X941-U941&lt;0,0,X941-U941)</f>
        <v>#DIV/0!</v>
      </c>
    </row>
    <row r="947" spans="1:24" ht="18.75" customHeight="1">
      <c r="A947" s="73" t="s">
        <v>53</v>
      </c>
      <c r="B947" s="73"/>
      <c r="C947" s="73"/>
      <c r="D947" s="73" t="s">
        <v>52</v>
      </c>
      <c r="E947" s="221" t="s">
        <v>51</v>
      </c>
      <c r="F947" s="221"/>
      <c r="G947" s="221"/>
      <c r="H947" s="73" t="s">
        <v>39</v>
      </c>
      <c r="I947" s="221"/>
      <c r="J947" s="221"/>
      <c r="K947" s="73" t="s">
        <v>38</v>
      </c>
      <c r="L947" s="73"/>
      <c r="M947" s="73" t="s">
        <v>53</v>
      </c>
      <c r="N947" s="73"/>
      <c r="O947" s="73"/>
      <c r="P947" s="73" t="s">
        <v>52</v>
      </c>
      <c r="Q947" s="221" t="s">
        <v>51</v>
      </c>
      <c r="R947" s="221"/>
      <c r="S947" s="221"/>
      <c r="T947" s="73" t="s">
        <v>39</v>
      </c>
      <c r="U947" s="221"/>
      <c r="V947" s="221"/>
      <c r="W947" s="73" t="s">
        <v>38</v>
      </c>
      <c r="X947" s="73"/>
    </row>
    <row r="948" spans="1:24" ht="18.75" customHeight="1">
      <c r="A948" s="221" t="s">
        <v>50</v>
      </c>
      <c r="B948" s="221"/>
      <c r="C948" s="73"/>
      <c r="D948" s="73"/>
      <c r="E948" s="73"/>
      <c r="F948" s="73"/>
      <c r="G948" s="73"/>
      <c r="H948" s="73" t="s">
        <v>39</v>
      </c>
      <c r="I948" s="221"/>
      <c r="J948" s="221"/>
      <c r="K948" s="73" t="s">
        <v>38</v>
      </c>
      <c r="L948" s="73"/>
      <c r="M948" s="221" t="s">
        <v>50</v>
      </c>
      <c r="N948" s="221"/>
      <c r="O948" s="73"/>
      <c r="P948" s="73"/>
      <c r="Q948" s="73"/>
      <c r="R948" s="73"/>
      <c r="S948" s="73"/>
      <c r="T948" s="73" t="s">
        <v>39</v>
      </c>
      <c r="U948" s="221"/>
      <c r="V948" s="221"/>
      <c r="W948" s="73" t="s">
        <v>38</v>
      </c>
      <c r="X948" s="73"/>
    </row>
    <row r="949" spans="1:24" ht="18.75" customHeight="1">
      <c r="A949" s="73" t="s">
        <v>49</v>
      </c>
      <c r="B949" s="73" t="s">
        <v>39</v>
      </c>
      <c r="C949" s="73"/>
      <c r="D949" s="73"/>
      <c r="E949" s="73" t="s">
        <v>48</v>
      </c>
      <c r="F949" s="73"/>
      <c r="G949" s="73"/>
      <c r="H949" s="73" t="s">
        <v>39</v>
      </c>
      <c r="I949" s="221" t="e">
        <f>L946</f>
        <v>#DIV/0!</v>
      </c>
      <c r="J949" s="221"/>
      <c r="K949" s="73" t="s">
        <v>38</v>
      </c>
      <c r="L949" s="73"/>
      <c r="M949" s="73" t="s">
        <v>49</v>
      </c>
      <c r="N949" s="73" t="s">
        <v>39</v>
      </c>
      <c r="O949" s="73"/>
      <c r="P949" s="73"/>
      <c r="Q949" s="73" t="s">
        <v>48</v>
      </c>
      <c r="R949" s="73"/>
      <c r="S949" s="73"/>
      <c r="T949" s="73" t="s">
        <v>39</v>
      </c>
      <c r="U949" s="221" t="e">
        <f>X946</f>
        <v>#DIV/0!</v>
      </c>
      <c r="V949" s="221"/>
      <c r="W949" s="73" t="s">
        <v>38</v>
      </c>
      <c r="X949" s="73"/>
    </row>
    <row r="950" spans="1:24" ht="18.75" customHeight="1">
      <c r="A950" s="221" t="s">
        <v>47</v>
      </c>
      <c r="B950" s="221"/>
      <c r="C950" s="221"/>
      <c r="D950" s="221"/>
      <c r="E950" s="221"/>
      <c r="F950" s="221"/>
      <c r="G950" s="73" t="s">
        <v>39</v>
      </c>
      <c r="H950" s="221" t="e">
        <f>I937+I938+I939+I940+I941+I944+I948+I949</f>
        <v>#DIV/0!</v>
      </c>
      <c r="I950" s="221"/>
      <c r="J950" s="221"/>
      <c r="K950" s="73" t="s">
        <v>38</v>
      </c>
      <c r="M950" s="221" t="s">
        <v>47</v>
      </c>
      <c r="N950" s="221"/>
      <c r="O950" s="221"/>
      <c r="P950" s="221"/>
      <c r="Q950" s="221"/>
      <c r="R950" s="221"/>
      <c r="S950" s="73" t="s">
        <v>39</v>
      </c>
      <c r="T950" s="221" t="e">
        <f>U937+U938+U939+U940+U941+U944+U948+U949</f>
        <v>#DIV/0!</v>
      </c>
      <c r="U950" s="221"/>
      <c r="V950" s="221"/>
      <c r="W950" s="73" t="s">
        <v>38</v>
      </c>
    </row>
    <row r="951" spans="1:24" ht="18.75" customHeight="1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</row>
    <row r="952" spans="1:24" ht="18.75" customHeight="1">
      <c r="A952" s="221" t="s">
        <v>46</v>
      </c>
      <c r="B952" s="221"/>
      <c r="C952" s="221"/>
      <c r="D952" s="221"/>
      <c r="E952" s="221"/>
      <c r="F952" s="221"/>
      <c r="G952" s="73"/>
      <c r="H952" s="73"/>
      <c r="I952" s="73"/>
      <c r="J952" s="73"/>
      <c r="K952" s="73"/>
      <c r="M952" s="221" t="s">
        <v>46</v>
      </c>
      <c r="N952" s="221"/>
      <c r="O952" s="221"/>
      <c r="P952" s="221"/>
      <c r="Q952" s="221"/>
      <c r="R952" s="221"/>
      <c r="S952" s="73"/>
      <c r="T952" s="73"/>
      <c r="U952" s="73"/>
      <c r="V952" s="73"/>
      <c r="W952" s="73"/>
    </row>
    <row r="953" spans="1:24" ht="18.75" customHeight="1">
      <c r="A953" s="221" t="s">
        <v>45</v>
      </c>
      <c r="B953" s="221"/>
      <c r="C953" s="221"/>
      <c r="D953" s="221"/>
      <c r="E953" s="221"/>
      <c r="F953" s="221"/>
      <c r="G953" s="73" t="s">
        <v>39</v>
      </c>
      <c r="H953" s="221">
        <f>IF(($L$1-(C937+C938+C939+C940))&gt;12,0,F934*8%)</f>
        <v>0</v>
      </c>
      <c r="I953" s="221"/>
      <c r="J953" s="221"/>
      <c r="K953" s="73" t="s">
        <v>38</v>
      </c>
      <c r="M953" s="221" t="s">
        <v>45</v>
      </c>
      <c r="N953" s="221"/>
      <c r="O953" s="221"/>
      <c r="P953" s="221"/>
      <c r="Q953" s="221"/>
      <c r="R953" s="221"/>
      <c r="S953" s="73" t="s">
        <v>39</v>
      </c>
      <c r="T953" s="221">
        <f>IF(($L$1-(O937+O938+O939+O940))&gt;12,0,R934*8%)</f>
        <v>0</v>
      </c>
      <c r="U953" s="221"/>
      <c r="V953" s="221"/>
      <c r="W953" s="73" t="s">
        <v>38</v>
      </c>
    </row>
    <row r="954" spans="1:24" ht="18.75" customHeight="1">
      <c r="A954" s="221" t="s">
        <v>44</v>
      </c>
      <c r="B954" s="221"/>
      <c r="C954" s="221"/>
      <c r="D954" s="221"/>
      <c r="E954" s="221"/>
      <c r="F954" s="221"/>
      <c r="G954" s="73" t="s">
        <v>39</v>
      </c>
      <c r="H954" s="221">
        <f>IF(($L$1-(C937+C938+C939+C940))&gt;12,0,F934*1.5%)</f>
        <v>0</v>
      </c>
      <c r="I954" s="221"/>
      <c r="J954" s="221"/>
      <c r="K954" s="73" t="s">
        <v>38</v>
      </c>
      <c r="M954" s="221" t="s">
        <v>44</v>
      </c>
      <c r="N954" s="221"/>
      <c r="O954" s="221"/>
      <c r="P954" s="221"/>
      <c r="Q954" s="221"/>
      <c r="R954" s="221"/>
      <c r="S954" s="73" t="s">
        <v>39</v>
      </c>
      <c r="T954" s="221">
        <f>IF(($L$1-(O937+O938+O939+O940))&gt;12,0,R934*1.5%)</f>
        <v>0</v>
      </c>
      <c r="U954" s="221"/>
      <c r="V954" s="221"/>
      <c r="W954" s="73" t="s">
        <v>38</v>
      </c>
    </row>
    <row r="955" spans="1:24" ht="18.75" customHeight="1">
      <c r="A955" s="221" t="s">
        <v>43</v>
      </c>
      <c r="B955" s="221"/>
      <c r="C955" s="221"/>
      <c r="D955" s="221"/>
      <c r="E955" s="221"/>
      <c r="F955" s="221"/>
      <c r="G955" s="73" t="s">
        <v>39</v>
      </c>
      <c r="H955" s="221">
        <f>IF(($L$1-(C937+C938+C939+C940))&gt;12,0,F934*1%)</f>
        <v>0</v>
      </c>
      <c r="I955" s="221"/>
      <c r="J955" s="221"/>
      <c r="K955" s="73" t="s">
        <v>38</v>
      </c>
      <c r="M955" s="221" t="s">
        <v>43</v>
      </c>
      <c r="N955" s="221"/>
      <c r="O955" s="221"/>
      <c r="P955" s="221"/>
      <c r="Q955" s="221"/>
      <c r="R955" s="221"/>
      <c r="S955" s="73" t="s">
        <v>39</v>
      </c>
      <c r="T955" s="221">
        <f>IF(($L$1-(O937+O938+O939+O940))&gt;12,0,R934*1%)</f>
        <v>0</v>
      </c>
      <c r="U955" s="221"/>
      <c r="V955" s="221"/>
      <c r="W955" s="73" t="s">
        <v>38</v>
      </c>
    </row>
    <row r="956" spans="1:24" ht="18.75" customHeight="1">
      <c r="A956" s="221" t="s">
        <v>42</v>
      </c>
      <c r="B956" s="221"/>
      <c r="C956" s="221"/>
      <c r="D956" s="221"/>
      <c r="E956" s="221"/>
      <c r="F956" s="221"/>
      <c r="G956" s="73" t="s">
        <v>39</v>
      </c>
      <c r="H956" s="221">
        <v>0</v>
      </c>
      <c r="I956" s="221"/>
      <c r="J956" s="221"/>
      <c r="K956" s="73" t="s">
        <v>38</v>
      </c>
      <c r="M956" s="221" t="s">
        <v>42</v>
      </c>
      <c r="N956" s="221"/>
      <c r="O956" s="221"/>
      <c r="P956" s="221"/>
      <c r="Q956" s="221"/>
      <c r="R956" s="221"/>
      <c r="S956" s="73" t="s">
        <v>39</v>
      </c>
      <c r="T956" s="221">
        <v>0</v>
      </c>
      <c r="U956" s="221"/>
      <c r="V956" s="221"/>
      <c r="W956" s="73" t="s">
        <v>38</v>
      </c>
    </row>
    <row r="957" spans="1:24" ht="18.75" customHeight="1">
      <c r="A957" s="221" t="s">
        <v>41</v>
      </c>
      <c r="B957" s="221"/>
      <c r="C957" s="221"/>
      <c r="D957" s="221"/>
      <c r="E957" s="221"/>
      <c r="F957" s="221"/>
      <c r="G957" s="73" t="s">
        <v>39</v>
      </c>
      <c r="H957" s="221">
        <f>SUM(H953:J956)</f>
        <v>0</v>
      </c>
      <c r="I957" s="221"/>
      <c r="J957" s="221"/>
      <c r="K957" s="73" t="s">
        <v>38</v>
      </c>
      <c r="M957" s="221" t="s">
        <v>41</v>
      </c>
      <c r="N957" s="221"/>
      <c r="O957" s="221"/>
      <c r="P957" s="221"/>
      <c r="Q957" s="221"/>
      <c r="R957" s="221"/>
      <c r="S957" s="73" t="s">
        <v>39</v>
      </c>
      <c r="T957" s="221">
        <f>SUM(T953:V956)</f>
        <v>0</v>
      </c>
      <c r="U957" s="221"/>
      <c r="V957" s="221"/>
      <c r="W957" s="73" t="s">
        <v>38</v>
      </c>
    </row>
    <row r="958" spans="1:24" ht="18.75" customHeight="1">
      <c r="A958" s="221" t="s">
        <v>40</v>
      </c>
      <c r="B958" s="221"/>
      <c r="C958" s="221"/>
      <c r="D958" s="221"/>
      <c r="E958" s="221"/>
      <c r="F958" s="221"/>
      <c r="G958" s="73" t="s">
        <v>39</v>
      </c>
      <c r="H958" s="221" t="e">
        <f>ROUND(H950-H957,-2)</f>
        <v>#DIV/0!</v>
      </c>
      <c r="I958" s="221"/>
      <c r="J958" s="221"/>
      <c r="K958" s="73" t="s">
        <v>38</v>
      </c>
      <c r="M958" s="221" t="s">
        <v>40</v>
      </c>
      <c r="N958" s="221"/>
      <c r="O958" s="221"/>
      <c r="P958" s="221"/>
      <c r="Q958" s="221"/>
      <c r="R958" s="221"/>
      <c r="S958" s="73" t="s">
        <v>39</v>
      </c>
      <c r="T958" s="221" t="e">
        <f>ROUND(T950-T957,-2)</f>
        <v>#DIV/0!</v>
      </c>
      <c r="U958" s="221"/>
      <c r="V958" s="221"/>
      <c r="W958" s="73" t="s">
        <v>38</v>
      </c>
    </row>
    <row r="959" spans="1:24" ht="18.75" customHeight="1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</row>
    <row r="960" spans="1:24" ht="18.75" customHeight="1">
      <c r="A960" s="73"/>
      <c r="B960" s="73"/>
      <c r="C960" s="73"/>
      <c r="D960" s="73"/>
      <c r="E960" s="73"/>
      <c r="F960" s="73"/>
      <c r="G960" s="73"/>
      <c r="H960" s="73"/>
      <c r="I960" s="221" t="s">
        <v>37</v>
      </c>
      <c r="J960" s="221"/>
      <c r="K960" s="221"/>
      <c r="M960" s="73"/>
      <c r="N960" s="73"/>
      <c r="O960" s="73"/>
      <c r="P960" s="73"/>
      <c r="Q960" s="73"/>
      <c r="R960" s="73"/>
      <c r="S960" s="73"/>
      <c r="T960" s="73"/>
      <c r="U960" s="221" t="s">
        <v>37</v>
      </c>
      <c r="V960" s="221"/>
      <c r="W960" s="221"/>
    </row>
    <row r="961" spans="1:24" ht="18.75" customHeight="1">
      <c r="A961" s="73"/>
      <c r="B961" s="221"/>
      <c r="C961" s="221"/>
      <c r="D961" s="221"/>
      <c r="E961" s="221"/>
      <c r="F961" s="73"/>
      <c r="G961" s="73"/>
      <c r="H961" s="73"/>
      <c r="I961" s="73"/>
      <c r="J961" s="73"/>
      <c r="K961" s="73"/>
      <c r="M961" s="73"/>
      <c r="N961" s="221"/>
      <c r="O961" s="221"/>
      <c r="P961" s="221"/>
      <c r="Q961" s="221"/>
      <c r="R961" s="73"/>
      <c r="S961" s="73"/>
      <c r="T961" s="73"/>
      <c r="U961" s="73"/>
      <c r="V961" s="73"/>
      <c r="W961" s="73"/>
    </row>
    <row r="962" spans="1:24" ht="18.75" customHeight="1">
      <c r="A962" s="73"/>
      <c r="B962" s="73"/>
      <c r="C962" s="73"/>
      <c r="D962" s="73"/>
      <c r="E962" s="73"/>
      <c r="F962" s="73"/>
      <c r="G962" s="73"/>
      <c r="H962" s="73"/>
      <c r="I962" s="221" t="s">
        <v>36</v>
      </c>
      <c r="J962" s="221"/>
      <c r="K962" s="221"/>
      <c r="M962" s="73"/>
      <c r="N962" s="73"/>
      <c r="O962" s="73"/>
      <c r="P962" s="73"/>
      <c r="Q962" s="73"/>
      <c r="R962" s="73"/>
      <c r="S962" s="73"/>
      <c r="T962" s="73"/>
      <c r="U962" s="221" t="s">
        <v>36</v>
      </c>
      <c r="V962" s="221"/>
      <c r="W962" s="221"/>
    </row>
    <row r="964" spans="1:24" ht="18.75" customHeight="1">
      <c r="A964" s="221" t="s">
        <v>87</v>
      </c>
      <c r="B964" s="221"/>
      <c r="C964" s="221"/>
      <c r="D964" s="221"/>
      <c r="E964" s="221"/>
      <c r="F964" s="221"/>
      <c r="G964" s="221"/>
      <c r="H964" s="221"/>
      <c r="I964" s="221"/>
      <c r="J964" s="221"/>
      <c r="K964" s="221"/>
      <c r="L964" s="73">
        <v>24</v>
      </c>
      <c r="M964" s="221" t="s">
        <v>87</v>
      </c>
      <c r="N964" s="221"/>
      <c r="O964" s="221"/>
      <c r="P964" s="221"/>
      <c r="Q964" s="221"/>
      <c r="R964" s="221"/>
      <c r="S964" s="221"/>
      <c r="T964" s="221"/>
      <c r="U964" s="221"/>
      <c r="V964" s="221"/>
      <c r="W964" s="221"/>
      <c r="X964" s="73">
        <v>24</v>
      </c>
    </row>
    <row r="965" spans="1:24" ht="18.75" customHeight="1">
      <c r="A965" s="73" t="s">
        <v>97</v>
      </c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M965" s="73" t="s">
        <v>96</v>
      </c>
      <c r="N965" s="73"/>
      <c r="O965" s="73"/>
      <c r="P965" s="73"/>
      <c r="Q965" s="73"/>
      <c r="R965" s="73"/>
      <c r="S965" s="73"/>
      <c r="T965" s="73"/>
      <c r="U965" s="73"/>
      <c r="V965" s="73"/>
      <c r="W965" s="73"/>
    </row>
    <row r="966" spans="1:24" ht="18.75" customHeight="1">
      <c r="A966" s="221" t="s">
        <v>84</v>
      </c>
      <c r="B966" s="221"/>
      <c r="C966" s="221"/>
      <c r="D966" s="221"/>
      <c r="E966" s="221"/>
      <c r="F966" s="221"/>
      <c r="G966" s="221"/>
      <c r="H966" s="221"/>
      <c r="I966" s="221"/>
      <c r="J966" s="221"/>
      <c r="K966" s="221"/>
      <c r="M966" s="221" t="s">
        <v>84</v>
      </c>
      <c r="N966" s="221"/>
      <c r="O966" s="221"/>
      <c r="P966" s="221"/>
      <c r="Q966" s="221"/>
      <c r="R966" s="221"/>
      <c r="S966" s="221"/>
      <c r="T966" s="221"/>
      <c r="U966" s="221"/>
      <c r="V966" s="221"/>
      <c r="W966" s="221"/>
    </row>
    <row r="967" spans="1:24" ht="18.75" customHeight="1">
      <c r="A967" s="221" t="s">
        <v>83</v>
      </c>
      <c r="B967" s="221"/>
      <c r="C967" s="221"/>
      <c r="D967" s="221"/>
      <c r="E967" s="73" t="s">
        <v>39</v>
      </c>
      <c r="F967" s="221"/>
      <c r="G967" s="221"/>
      <c r="H967" s="221"/>
      <c r="I967" s="221"/>
      <c r="J967" s="221"/>
      <c r="K967" s="221"/>
      <c r="M967" s="221" t="s">
        <v>83</v>
      </c>
      <c r="N967" s="221"/>
      <c r="O967" s="221"/>
      <c r="P967" s="221"/>
      <c r="Q967" s="73" t="s">
        <v>39</v>
      </c>
      <c r="R967" s="221"/>
      <c r="S967" s="221"/>
      <c r="T967" s="221"/>
      <c r="U967" s="221"/>
      <c r="V967" s="221"/>
      <c r="W967" s="221"/>
    </row>
    <row r="968" spans="1:24" ht="18.75" customHeight="1">
      <c r="A968" s="221" t="s">
        <v>82</v>
      </c>
      <c r="B968" s="221"/>
      <c r="C968" s="221"/>
      <c r="D968" s="221"/>
      <c r="E968" s="73" t="s">
        <v>39</v>
      </c>
      <c r="F968" s="221"/>
      <c r="G968" s="221"/>
      <c r="H968" s="221"/>
      <c r="I968" s="221"/>
      <c r="J968" s="221"/>
      <c r="K968" s="221"/>
      <c r="M968" s="221" t="s">
        <v>82</v>
      </c>
      <c r="N968" s="221"/>
      <c r="O968" s="221"/>
      <c r="P968" s="221"/>
      <c r="Q968" s="73" t="s">
        <v>39</v>
      </c>
      <c r="R968" s="221"/>
      <c r="S968" s="221"/>
      <c r="T968" s="221"/>
      <c r="U968" s="221"/>
      <c r="V968" s="221"/>
      <c r="W968" s="221"/>
    </row>
    <row r="969" spans="1:24" ht="18.75" customHeight="1">
      <c r="A969" s="221" t="s">
        <v>81</v>
      </c>
      <c r="B969" s="221"/>
      <c r="C969" s="221"/>
      <c r="D969" s="221"/>
      <c r="E969" s="73" t="s">
        <v>39</v>
      </c>
      <c r="F969" s="221" t="s">
        <v>80</v>
      </c>
      <c r="G969" s="221"/>
      <c r="H969" s="221"/>
      <c r="I969" s="221"/>
      <c r="J969" s="221"/>
      <c r="K969" s="221"/>
      <c r="M969" s="221" t="s">
        <v>81</v>
      </c>
      <c r="N969" s="221"/>
      <c r="O969" s="221"/>
      <c r="P969" s="221"/>
      <c r="Q969" s="73" t="s">
        <v>39</v>
      </c>
      <c r="R969" s="221" t="s">
        <v>80</v>
      </c>
      <c r="S969" s="221"/>
      <c r="T969" s="221"/>
      <c r="U969" s="221"/>
      <c r="V969" s="221"/>
      <c r="W969" s="221"/>
    </row>
    <row r="970" spans="1:24" ht="18.75" customHeight="1">
      <c r="A970" s="221" t="s">
        <v>79</v>
      </c>
      <c r="B970" s="221"/>
      <c r="C970" s="221"/>
      <c r="D970" s="221"/>
      <c r="E970" s="221"/>
      <c r="F970" s="221"/>
      <c r="G970" s="221"/>
      <c r="H970" s="221"/>
      <c r="I970" s="221"/>
      <c r="J970" s="221"/>
      <c r="K970" s="221"/>
      <c r="M970" s="221" t="s">
        <v>79</v>
      </c>
      <c r="N970" s="221"/>
      <c r="O970" s="221"/>
      <c r="P970" s="221"/>
      <c r="Q970" s="221"/>
      <c r="R970" s="221"/>
      <c r="S970" s="221"/>
      <c r="T970" s="221"/>
      <c r="U970" s="221"/>
      <c r="V970" s="221"/>
      <c r="W970" s="221"/>
    </row>
    <row r="971" spans="1:24" ht="18.75" customHeight="1">
      <c r="A971" s="221" t="s">
        <v>78</v>
      </c>
      <c r="B971" s="221"/>
      <c r="C971" s="221"/>
      <c r="D971" s="221"/>
      <c r="E971" s="73" t="s">
        <v>39</v>
      </c>
      <c r="F971" s="221">
        <v>2915400</v>
      </c>
      <c r="G971" s="221"/>
      <c r="H971" s="221"/>
      <c r="I971" s="221"/>
      <c r="J971" s="73" t="s">
        <v>38</v>
      </c>
      <c r="K971" s="73"/>
      <c r="M971" s="221" t="s">
        <v>78</v>
      </c>
      <c r="N971" s="221"/>
      <c r="O971" s="221"/>
      <c r="P971" s="221"/>
      <c r="Q971" s="73" t="s">
        <v>39</v>
      </c>
      <c r="R971" s="221">
        <v>2915400</v>
      </c>
      <c r="S971" s="221"/>
      <c r="T971" s="221"/>
      <c r="U971" s="221"/>
      <c r="V971" s="73" t="s">
        <v>38</v>
      </c>
      <c r="W971" s="73"/>
    </row>
    <row r="972" spans="1:24" ht="18.75" customHeight="1">
      <c r="A972" s="73" t="s">
        <v>77</v>
      </c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M972" s="73" t="s">
        <v>77</v>
      </c>
      <c r="N972" s="73"/>
      <c r="O972" s="73"/>
      <c r="P972" s="73"/>
      <c r="Q972" s="73"/>
      <c r="R972" s="73"/>
      <c r="S972" s="73"/>
      <c r="T972" s="73"/>
      <c r="U972" s="73"/>
      <c r="V972" s="73"/>
      <c r="W972" s="73"/>
    </row>
    <row r="973" spans="1:24" ht="18.75" customHeight="1">
      <c r="A973" s="73" t="s">
        <v>76</v>
      </c>
      <c r="B973" s="73"/>
      <c r="C973" s="73"/>
      <c r="D973" s="73"/>
      <c r="E973" s="73"/>
      <c r="F973" s="73"/>
      <c r="G973" s="73"/>
      <c r="H973" s="73"/>
      <c r="I973" s="73" t="e">
        <f>I974/C974/8</f>
        <v>#DIV/0!</v>
      </c>
      <c r="J973" s="73"/>
      <c r="K973" s="73"/>
      <c r="M973" s="73" t="s">
        <v>76</v>
      </c>
      <c r="N973" s="73"/>
      <c r="O973" s="73"/>
      <c r="P973" s="73"/>
      <c r="Q973" s="73"/>
      <c r="R973" s="73"/>
      <c r="S973" s="73"/>
      <c r="T973" s="73"/>
      <c r="U973" s="73" t="e">
        <f>U974/O974/8</f>
        <v>#DIV/0!</v>
      </c>
      <c r="V973" s="73"/>
      <c r="W973" s="73"/>
    </row>
    <row r="974" spans="1:24" ht="18.75" customHeight="1">
      <c r="A974" s="73" t="s">
        <v>75</v>
      </c>
      <c r="B974" s="73" t="s">
        <v>39</v>
      </c>
      <c r="C974" s="73"/>
      <c r="D974" s="73" t="s">
        <v>52</v>
      </c>
      <c r="E974" s="221" t="s">
        <v>74</v>
      </c>
      <c r="F974" s="221"/>
      <c r="G974" s="221"/>
      <c r="H974" s="73" t="s">
        <v>39</v>
      </c>
      <c r="I974" s="221" t="e">
        <f>I972*680/((C974-C981)*8+C981*7+C978)*((C974-C981)*8+C981*7)</f>
        <v>#DIV/0!</v>
      </c>
      <c r="J974" s="221"/>
      <c r="K974" s="73" t="s">
        <v>38</v>
      </c>
      <c r="L974" s="73">
        <f>F971/L964*C974</f>
        <v>0</v>
      </c>
      <c r="M974" s="73" t="s">
        <v>75</v>
      </c>
      <c r="N974" s="73" t="s">
        <v>39</v>
      </c>
      <c r="O974" s="73"/>
      <c r="P974" s="73" t="s">
        <v>52</v>
      </c>
      <c r="Q974" s="221" t="s">
        <v>74</v>
      </c>
      <c r="R974" s="221"/>
      <c r="S974" s="221"/>
      <c r="T974" s="73" t="s">
        <v>39</v>
      </c>
      <c r="U974" s="221" t="e">
        <f>U972*680/((O974-O981)*8+O981*7+O978)*((O974-O981)*8+O981*7)</f>
        <v>#DIV/0!</v>
      </c>
      <c r="V974" s="221"/>
      <c r="W974" s="73" t="s">
        <v>38</v>
      </c>
      <c r="X974" s="73">
        <f>R971/X964*O974</f>
        <v>0</v>
      </c>
    </row>
    <row r="975" spans="1:24" ht="18.75" customHeight="1">
      <c r="A975" s="73" t="s">
        <v>73</v>
      </c>
      <c r="B975" s="73" t="s">
        <v>39</v>
      </c>
      <c r="C975" s="73"/>
      <c r="D975" s="73" t="s">
        <v>52</v>
      </c>
      <c r="E975" s="221" t="s">
        <v>72</v>
      </c>
      <c r="F975" s="221"/>
      <c r="G975" s="221"/>
      <c r="H975" s="73" t="s">
        <v>39</v>
      </c>
      <c r="I975" s="221">
        <f>$F$8/$L$1*C975</f>
        <v>0</v>
      </c>
      <c r="J975" s="221"/>
      <c r="K975" s="73" t="s">
        <v>38</v>
      </c>
      <c r="L975" s="73"/>
      <c r="M975" s="73" t="s">
        <v>73</v>
      </c>
      <c r="N975" s="73" t="s">
        <v>39</v>
      </c>
      <c r="O975" s="73"/>
      <c r="P975" s="73" t="s">
        <v>52</v>
      </c>
      <c r="Q975" s="221" t="s">
        <v>72</v>
      </c>
      <c r="R975" s="221"/>
      <c r="S975" s="221"/>
      <c r="T975" s="73" t="s">
        <v>39</v>
      </c>
      <c r="U975" s="221">
        <f>$F$8/$L$1*O975</f>
        <v>0</v>
      </c>
      <c r="V975" s="221"/>
      <c r="W975" s="73" t="s">
        <v>38</v>
      </c>
      <c r="X975" s="73"/>
    </row>
    <row r="976" spans="1:24" ht="18.75" customHeight="1">
      <c r="A976" s="73" t="s">
        <v>71</v>
      </c>
      <c r="B976" s="73" t="s">
        <v>39</v>
      </c>
      <c r="C976" s="73"/>
      <c r="D976" s="73" t="s">
        <v>52</v>
      </c>
      <c r="E976" s="221" t="s">
        <v>70</v>
      </c>
      <c r="F976" s="221"/>
      <c r="G976" s="221"/>
      <c r="H976" s="73" t="s">
        <v>39</v>
      </c>
      <c r="I976" s="221">
        <f>$F$8/$L$1*C976</f>
        <v>0</v>
      </c>
      <c r="J976" s="221"/>
      <c r="K976" s="73" t="s">
        <v>38</v>
      </c>
      <c r="L976" s="73"/>
      <c r="M976" s="73" t="s">
        <v>71</v>
      </c>
      <c r="N976" s="73" t="s">
        <v>39</v>
      </c>
      <c r="O976" s="73"/>
      <c r="P976" s="73" t="s">
        <v>52</v>
      </c>
      <c r="Q976" s="221" t="s">
        <v>70</v>
      </c>
      <c r="R976" s="221"/>
      <c r="S976" s="221"/>
      <c r="T976" s="73" t="s">
        <v>39</v>
      </c>
      <c r="U976" s="221">
        <f>$F$8/$L$1*O976</f>
        <v>0</v>
      </c>
      <c r="V976" s="221"/>
      <c r="W976" s="73" t="s">
        <v>38</v>
      </c>
      <c r="X976" s="73"/>
    </row>
    <row r="977" spans="1:24" ht="18.75" customHeight="1">
      <c r="A977" s="73" t="s">
        <v>69</v>
      </c>
      <c r="B977" s="73" t="s">
        <v>39</v>
      </c>
      <c r="C977" s="73"/>
      <c r="D977" s="73" t="s">
        <v>52</v>
      </c>
      <c r="E977" s="221" t="s">
        <v>68</v>
      </c>
      <c r="F977" s="221"/>
      <c r="G977" s="221"/>
      <c r="H977" s="73" t="s">
        <v>39</v>
      </c>
      <c r="I977" s="221">
        <f>$F$8/$L$1*C977</f>
        <v>0</v>
      </c>
      <c r="J977" s="221"/>
      <c r="K977" s="73" t="s">
        <v>38</v>
      </c>
      <c r="L977" s="73"/>
      <c r="M977" s="73" t="s">
        <v>69</v>
      </c>
      <c r="N977" s="73" t="s">
        <v>39</v>
      </c>
      <c r="O977" s="73"/>
      <c r="P977" s="73" t="s">
        <v>52</v>
      </c>
      <c r="Q977" s="221" t="s">
        <v>68</v>
      </c>
      <c r="R977" s="221"/>
      <c r="S977" s="221"/>
      <c r="T977" s="73" t="s">
        <v>39</v>
      </c>
      <c r="U977" s="221">
        <f>$F$8/$L$1*O977</f>
        <v>0</v>
      </c>
      <c r="V977" s="221"/>
      <c r="W977" s="73" t="s">
        <v>38</v>
      </c>
      <c r="X977" s="73"/>
    </row>
    <row r="978" spans="1:24" ht="18.75" customHeight="1">
      <c r="A978" s="73" t="s">
        <v>67</v>
      </c>
      <c r="B978" s="73" t="s">
        <v>39</v>
      </c>
      <c r="C978" s="73"/>
      <c r="D978" s="73" t="s">
        <v>58</v>
      </c>
      <c r="E978" s="221" t="s">
        <v>66</v>
      </c>
      <c r="F978" s="221"/>
      <c r="G978" s="221"/>
      <c r="H978" s="73" t="s">
        <v>39</v>
      </c>
      <c r="I978" s="221" t="e">
        <f>I974/C974/8*C978</f>
        <v>#DIV/0!</v>
      </c>
      <c r="J978" s="221"/>
      <c r="K978" s="73" t="s">
        <v>38</v>
      </c>
      <c r="L978" s="73">
        <f>F971*C978/L964/8*1.5</f>
        <v>0</v>
      </c>
      <c r="M978" s="73" t="s">
        <v>67</v>
      </c>
      <c r="N978" s="73" t="s">
        <v>39</v>
      </c>
      <c r="O978" s="73"/>
      <c r="P978" s="73" t="s">
        <v>58</v>
      </c>
      <c r="Q978" s="221" t="s">
        <v>66</v>
      </c>
      <c r="R978" s="221"/>
      <c r="S978" s="221"/>
      <c r="T978" s="73" t="s">
        <v>39</v>
      </c>
      <c r="U978" s="221" t="e">
        <f>U974/O974/8*O978</f>
        <v>#DIV/0!</v>
      </c>
      <c r="V978" s="221"/>
      <c r="W978" s="73" t="s">
        <v>38</v>
      </c>
      <c r="X978" s="73">
        <f>R971*O978/X964/8*1.5</f>
        <v>0</v>
      </c>
    </row>
    <row r="979" spans="1:24" ht="18.75" customHeight="1">
      <c r="A979" s="221" t="s">
        <v>65</v>
      </c>
      <c r="B979" s="221"/>
      <c r="C979" s="73"/>
      <c r="D979" s="73" t="s">
        <v>52</v>
      </c>
      <c r="E979" s="221" t="s">
        <v>64</v>
      </c>
      <c r="F979" s="221"/>
      <c r="G979" s="221"/>
      <c r="H979" s="73" t="s">
        <v>39</v>
      </c>
      <c r="I979" s="221"/>
      <c r="J979" s="221"/>
      <c r="K979" s="73" t="s">
        <v>38</v>
      </c>
      <c r="L979" s="73"/>
      <c r="M979" s="221" t="s">
        <v>65</v>
      </c>
      <c r="N979" s="221"/>
      <c r="O979" s="73"/>
      <c r="P979" s="73" t="s">
        <v>52</v>
      </c>
      <c r="Q979" s="221" t="s">
        <v>64</v>
      </c>
      <c r="R979" s="221"/>
      <c r="S979" s="221"/>
      <c r="T979" s="73" t="s">
        <v>39</v>
      </c>
      <c r="U979" s="221"/>
      <c r="V979" s="221"/>
      <c r="W979" s="73" t="s">
        <v>38</v>
      </c>
      <c r="X979" s="73"/>
    </row>
    <row r="980" spans="1:24" ht="18.75" customHeight="1">
      <c r="A980" s="73" t="s">
        <v>63</v>
      </c>
      <c r="B980" s="73" t="s">
        <v>39</v>
      </c>
      <c r="C980" s="73"/>
      <c r="D980" s="73" t="s">
        <v>52</v>
      </c>
      <c r="E980" s="221" t="s">
        <v>62</v>
      </c>
      <c r="F980" s="221"/>
      <c r="G980" s="221"/>
      <c r="H980" s="73" t="s">
        <v>39</v>
      </c>
      <c r="I980" s="221"/>
      <c r="J980" s="221"/>
      <c r="K980" s="73" t="s">
        <v>38</v>
      </c>
      <c r="L980" s="73"/>
      <c r="M980" s="73" t="s">
        <v>63</v>
      </c>
      <c r="N980" s="73" t="s">
        <v>39</v>
      </c>
      <c r="O980" s="73"/>
      <c r="P980" s="73" t="s">
        <v>52</v>
      </c>
      <c r="Q980" s="221" t="s">
        <v>62</v>
      </c>
      <c r="R980" s="221"/>
      <c r="S980" s="221"/>
      <c r="T980" s="73" t="s">
        <v>39</v>
      </c>
      <c r="U980" s="221"/>
      <c r="V980" s="221"/>
      <c r="W980" s="73" t="s">
        <v>38</v>
      </c>
      <c r="X980" s="73"/>
    </row>
    <row r="981" spans="1:24" ht="18.75" customHeight="1">
      <c r="A981" s="73" t="s">
        <v>61</v>
      </c>
      <c r="B981" s="73"/>
      <c r="C981" s="73"/>
      <c r="D981" s="73" t="s">
        <v>58</v>
      </c>
      <c r="E981" s="221" t="s">
        <v>60</v>
      </c>
      <c r="F981" s="221"/>
      <c r="G981" s="221"/>
      <c r="H981" s="73" t="s">
        <v>39</v>
      </c>
      <c r="I981" s="221">
        <f>$F$8*C981/8/$L$1</f>
        <v>0</v>
      </c>
      <c r="J981" s="221"/>
      <c r="K981" s="73" t="s">
        <v>38</v>
      </c>
      <c r="L981" s="73"/>
      <c r="M981" s="73" t="s">
        <v>61</v>
      </c>
      <c r="N981" s="73"/>
      <c r="O981" s="73"/>
      <c r="P981" s="73" t="s">
        <v>58</v>
      </c>
      <c r="Q981" s="221" t="s">
        <v>60</v>
      </c>
      <c r="R981" s="221"/>
      <c r="S981" s="221"/>
      <c r="T981" s="73" t="s">
        <v>39</v>
      </c>
      <c r="U981" s="221">
        <f>$F$8*O981/8/$L$1</f>
        <v>0</v>
      </c>
      <c r="V981" s="221"/>
      <c r="W981" s="73" t="s">
        <v>38</v>
      </c>
      <c r="X981" s="73"/>
    </row>
    <row r="982" spans="1:24" ht="18.75" customHeight="1">
      <c r="A982" s="73" t="s">
        <v>59</v>
      </c>
      <c r="B982" s="73" t="s">
        <v>39</v>
      </c>
      <c r="C982" s="73"/>
      <c r="D982" s="73" t="s">
        <v>58</v>
      </c>
      <c r="E982" s="221" t="s">
        <v>57</v>
      </c>
      <c r="F982" s="221"/>
      <c r="G982" s="221"/>
      <c r="H982" s="73" t="s">
        <v>39</v>
      </c>
      <c r="I982" s="221"/>
      <c r="J982" s="221"/>
      <c r="K982" s="73" t="s">
        <v>38</v>
      </c>
      <c r="L982" s="73"/>
      <c r="M982" s="73" t="s">
        <v>59</v>
      </c>
      <c r="N982" s="73" t="s">
        <v>39</v>
      </c>
      <c r="O982" s="73"/>
      <c r="P982" s="73" t="s">
        <v>58</v>
      </c>
      <c r="Q982" s="221" t="s">
        <v>57</v>
      </c>
      <c r="R982" s="221"/>
      <c r="S982" s="221"/>
      <c r="T982" s="73" t="s">
        <v>39</v>
      </c>
      <c r="U982" s="221"/>
      <c r="V982" s="221"/>
      <c r="W982" s="73" t="s">
        <v>38</v>
      </c>
      <c r="X982" s="73"/>
    </row>
    <row r="983" spans="1:24" ht="18.75" customHeight="1">
      <c r="A983" s="73" t="s">
        <v>56</v>
      </c>
      <c r="B983" s="73" t="s">
        <v>39</v>
      </c>
      <c r="C983" s="73"/>
      <c r="D983" s="73" t="s">
        <v>55</v>
      </c>
      <c r="E983" s="73" t="s">
        <v>54</v>
      </c>
      <c r="F983" s="73"/>
      <c r="G983" s="73"/>
      <c r="H983" s="73" t="s">
        <v>39</v>
      </c>
      <c r="I983" s="221"/>
      <c r="J983" s="221"/>
      <c r="K983" s="73" t="s">
        <v>38</v>
      </c>
      <c r="L983" s="73" t="e">
        <f>+IF(L974-I974&lt;0,0,L974-I974)+IF(L978-I978&lt;0,0,L978-I978)</f>
        <v>#DIV/0!</v>
      </c>
      <c r="M983" s="73" t="s">
        <v>56</v>
      </c>
      <c r="N983" s="73" t="s">
        <v>39</v>
      </c>
      <c r="O983" s="73"/>
      <c r="P983" s="73" t="s">
        <v>55</v>
      </c>
      <c r="Q983" s="73" t="s">
        <v>54</v>
      </c>
      <c r="R983" s="73"/>
      <c r="S983" s="73"/>
      <c r="T983" s="73" t="s">
        <v>39</v>
      </c>
      <c r="U983" s="221"/>
      <c r="V983" s="221"/>
      <c r="W983" s="73" t="s">
        <v>38</v>
      </c>
      <c r="X983" s="73" t="e">
        <f>+IF(X974-U974&lt;0,0,X974-U974)+IF(X978-U978&lt;0,0,X978-U978)</f>
        <v>#DIV/0!</v>
      </c>
    </row>
    <row r="984" spans="1:24" ht="18.75" customHeight="1">
      <c r="A984" s="73" t="s">
        <v>53</v>
      </c>
      <c r="B984" s="73"/>
      <c r="C984" s="73"/>
      <c r="D984" s="73" t="s">
        <v>52</v>
      </c>
      <c r="E984" s="221" t="s">
        <v>51</v>
      </c>
      <c r="F984" s="221"/>
      <c r="G984" s="221"/>
      <c r="H984" s="73" t="s">
        <v>39</v>
      </c>
      <c r="I984" s="221"/>
      <c r="J984" s="221"/>
      <c r="K984" s="73" t="s">
        <v>38</v>
      </c>
      <c r="L984" s="73"/>
      <c r="M984" s="73" t="s">
        <v>53</v>
      </c>
      <c r="N984" s="73"/>
      <c r="O984" s="73"/>
      <c r="P984" s="73" t="s">
        <v>52</v>
      </c>
      <c r="Q984" s="221" t="s">
        <v>51</v>
      </c>
      <c r="R984" s="221"/>
      <c r="S984" s="221"/>
      <c r="T984" s="73" t="s">
        <v>39</v>
      </c>
      <c r="U984" s="221"/>
      <c r="V984" s="221"/>
      <c r="W984" s="73" t="s">
        <v>38</v>
      </c>
      <c r="X984" s="73"/>
    </row>
    <row r="985" spans="1:24" ht="18.75" customHeight="1">
      <c r="A985" s="221" t="s">
        <v>50</v>
      </c>
      <c r="B985" s="221"/>
      <c r="C985" s="73"/>
      <c r="D985" s="73"/>
      <c r="E985" s="73"/>
      <c r="F985" s="73"/>
      <c r="G985" s="73"/>
      <c r="H985" s="73" t="s">
        <v>39</v>
      </c>
      <c r="I985" s="221"/>
      <c r="J985" s="221"/>
      <c r="K985" s="73" t="s">
        <v>38</v>
      </c>
      <c r="L985" s="73"/>
      <c r="M985" s="221" t="s">
        <v>50</v>
      </c>
      <c r="N985" s="221"/>
      <c r="O985" s="73"/>
      <c r="P985" s="73"/>
      <c r="Q985" s="73"/>
      <c r="R985" s="73"/>
      <c r="S985" s="73"/>
      <c r="T985" s="73" t="s">
        <v>39</v>
      </c>
      <c r="U985" s="221"/>
      <c r="V985" s="221"/>
      <c r="W985" s="73" t="s">
        <v>38</v>
      </c>
      <c r="X985" s="73"/>
    </row>
    <row r="986" spans="1:24" ht="18.75" customHeight="1">
      <c r="A986" s="73" t="s">
        <v>49</v>
      </c>
      <c r="B986" s="73" t="s">
        <v>39</v>
      </c>
      <c r="C986" s="73"/>
      <c r="D986" s="73"/>
      <c r="E986" s="73" t="s">
        <v>48</v>
      </c>
      <c r="F986" s="73"/>
      <c r="G986" s="73"/>
      <c r="H986" s="73" t="s">
        <v>39</v>
      </c>
      <c r="I986" s="221" t="e">
        <f>L983</f>
        <v>#DIV/0!</v>
      </c>
      <c r="J986" s="221"/>
      <c r="K986" s="73" t="s">
        <v>38</v>
      </c>
      <c r="L986" s="73"/>
      <c r="M986" s="73" t="s">
        <v>49</v>
      </c>
      <c r="N986" s="73" t="s">
        <v>39</v>
      </c>
      <c r="O986" s="73"/>
      <c r="P986" s="73"/>
      <c r="Q986" s="73" t="s">
        <v>48</v>
      </c>
      <c r="R986" s="73"/>
      <c r="S986" s="73"/>
      <c r="T986" s="73" t="s">
        <v>39</v>
      </c>
      <c r="U986" s="221" t="e">
        <f>X983</f>
        <v>#DIV/0!</v>
      </c>
      <c r="V986" s="221"/>
      <c r="W986" s="73" t="s">
        <v>38</v>
      </c>
      <c r="X986" s="73"/>
    </row>
    <row r="987" spans="1:24" ht="18.75" customHeight="1">
      <c r="A987" s="221" t="s">
        <v>47</v>
      </c>
      <c r="B987" s="221"/>
      <c r="C987" s="221"/>
      <c r="D987" s="221"/>
      <c r="E987" s="221"/>
      <c r="F987" s="221"/>
      <c r="G987" s="73" t="s">
        <v>39</v>
      </c>
      <c r="H987" s="221" t="e">
        <f>I974+I975+I976+I977+I978+I981+I985+I986</f>
        <v>#DIV/0!</v>
      </c>
      <c r="I987" s="221"/>
      <c r="J987" s="221"/>
      <c r="K987" s="73" t="s">
        <v>38</v>
      </c>
      <c r="M987" s="221" t="s">
        <v>47</v>
      </c>
      <c r="N987" s="221"/>
      <c r="O987" s="221"/>
      <c r="P987" s="221"/>
      <c r="Q987" s="221"/>
      <c r="R987" s="221"/>
      <c r="S987" s="73" t="s">
        <v>39</v>
      </c>
      <c r="T987" s="221" t="e">
        <f>U974+U975+U976+U977+U978+U981+U985+U986</f>
        <v>#DIV/0!</v>
      </c>
      <c r="U987" s="221"/>
      <c r="V987" s="221"/>
      <c r="W987" s="73" t="s">
        <v>38</v>
      </c>
    </row>
    <row r="988" spans="1:24" ht="18.75" customHeight="1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</row>
    <row r="989" spans="1:24" ht="18.75" customHeight="1">
      <c r="A989" s="221" t="s">
        <v>46</v>
      </c>
      <c r="B989" s="221"/>
      <c r="C989" s="221"/>
      <c r="D989" s="221"/>
      <c r="E989" s="221"/>
      <c r="F989" s="221"/>
      <c r="G989" s="73"/>
      <c r="H989" s="73"/>
      <c r="I989" s="73"/>
      <c r="J989" s="73"/>
      <c r="K989" s="73"/>
      <c r="M989" s="221" t="s">
        <v>46</v>
      </c>
      <c r="N989" s="221"/>
      <c r="O989" s="221"/>
      <c r="P989" s="221"/>
      <c r="Q989" s="221"/>
      <c r="R989" s="221"/>
      <c r="S989" s="73"/>
      <c r="T989" s="73"/>
      <c r="U989" s="73"/>
      <c r="V989" s="73"/>
      <c r="W989" s="73"/>
    </row>
    <row r="990" spans="1:24" ht="18.75" customHeight="1">
      <c r="A990" s="221" t="s">
        <v>45</v>
      </c>
      <c r="B990" s="221"/>
      <c r="C990" s="221"/>
      <c r="D990" s="221"/>
      <c r="E990" s="221"/>
      <c r="F990" s="221"/>
      <c r="G990" s="73" t="s">
        <v>39</v>
      </c>
      <c r="H990" s="221">
        <f>IF(($L$1-(C974+C975+C976+C977))&gt;12,0,F971*8%)</f>
        <v>0</v>
      </c>
      <c r="I990" s="221"/>
      <c r="J990" s="221"/>
      <c r="K990" s="73" t="s">
        <v>38</v>
      </c>
      <c r="M990" s="221" t="s">
        <v>45</v>
      </c>
      <c r="N990" s="221"/>
      <c r="O990" s="221"/>
      <c r="P990" s="221"/>
      <c r="Q990" s="221"/>
      <c r="R990" s="221"/>
      <c r="S990" s="73" t="s">
        <v>39</v>
      </c>
      <c r="T990" s="221">
        <f>IF(($L$1-(O974+O975+O976+O977))&gt;12,0,R971*8%)</f>
        <v>0</v>
      </c>
      <c r="U990" s="221"/>
      <c r="V990" s="221"/>
      <c r="W990" s="73" t="s">
        <v>38</v>
      </c>
    </row>
    <row r="991" spans="1:24" ht="18.75" customHeight="1">
      <c r="A991" s="221" t="s">
        <v>44</v>
      </c>
      <c r="B991" s="221"/>
      <c r="C991" s="221"/>
      <c r="D991" s="221"/>
      <c r="E991" s="221"/>
      <c r="F991" s="221"/>
      <c r="G991" s="73" t="s">
        <v>39</v>
      </c>
      <c r="H991" s="221">
        <f>IF(($L$1-(C974+C975+C976+C977))&gt;12,0,F971*1.5%)</f>
        <v>0</v>
      </c>
      <c r="I991" s="221"/>
      <c r="J991" s="221"/>
      <c r="K991" s="73" t="s">
        <v>38</v>
      </c>
      <c r="M991" s="221" t="s">
        <v>44</v>
      </c>
      <c r="N991" s="221"/>
      <c r="O991" s="221"/>
      <c r="P991" s="221"/>
      <c r="Q991" s="221"/>
      <c r="R991" s="221"/>
      <c r="S991" s="73" t="s">
        <v>39</v>
      </c>
      <c r="T991" s="221">
        <f>IF(($L$1-(O974+O975+O976+O977))&gt;12,0,R971*1.5%)</f>
        <v>0</v>
      </c>
      <c r="U991" s="221"/>
      <c r="V991" s="221"/>
      <c r="W991" s="73" t="s">
        <v>38</v>
      </c>
    </row>
    <row r="992" spans="1:24" ht="18.75" customHeight="1">
      <c r="A992" s="221" t="s">
        <v>43</v>
      </c>
      <c r="B992" s="221"/>
      <c r="C992" s="221"/>
      <c r="D992" s="221"/>
      <c r="E992" s="221"/>
      <c r="F992" s="221"/>
      <c r="G992" s="73" t="s">
        <v>39</v>
      </c>
      <c r="H992" s="221">
        <f>IF(($L$1-(C974+C975+C976+C977))&gt;12,0,F971*1%)</f>
        <v>0</v>
      </c>
      <c r="I992" s="221"/>
      <c r="J992" s="221"/>
      <c r="K992" s="73" t="s">
        <v>38</v>
      </c>
      <c r="M992" s="221" t="s">
        <v>43</v>
      </c>
      <c r="N992" s="221"/>
      <c r="O992" s="221"/>
      <c r="P992" s="221"/>
      <c r="Q992" s="221"/>
      <c r="R992" s="221"/>
      <c r="S992" s="73" t="s">
        <v>39</v>
      </c>
      <c r="T992" s="221">
        <f>IF(($L$1-(O974+O975+O976+O977))&gt;12,0,R971*1%)</f>
        <v>0</v>
      </c>
      <c r="U992" s="221"/>
      <c r="V992" s="221"/>
      <c r="W992" s="73" t="s">
        <v>38</v>
      </c>
    </row>
    <row r="993" spans="1:24" ht="18.75" customHeight="1">
      <c r="A993" s="221" t="s">
        <v>42</v>
      </c>
      <c r="B993" s="221"/>
      <c r="C993" s="221"/>
      <c r="D993" s="221"/>
      <c r="E993" s="221"/>
      <c r="F993" s="221"/>
      <c r="G993" s="73" t="s">
        <v>39</v>
      </c>
      <c r="H993" s="221">
        <v>0</v>
      </c>
      <c r="I993" s="221"/>
      <c r="J993" s="221"/>
      <c r="K993" s="73" t="s">
        <v>38</v>
      </c>
      <c r="M993" s="221" t="s">
        <v>42</v>
      </c>
      <c r="N993" s="221"/>
      <c r="O993" s="221"/>
      <c r="P993" s="221"/>
      <c r="Q993" s="221"/>
      <c r="R993" s="221"/>
      <c r="S993" s="73" t="s">
        <v>39</v>
      </c>
      <c r="T993" s="221">
        <v>0</v>
      </c>
      <c r="U993" s="221"/>
      <c r="V993" s="221"/>
      <c r="W993" s="73" t="s">
        <v>38</v>
      </c>
    </row>
    <row r="994" spans="1:24" ht="18.75" customHeight="1">
      <c r="A994" s="221" t="s">
        <v>41</v>
      </c>
      <c r="B994" s="221"/>
      <c r="C994" s="221"/>
      <c r="D994" s="221"/>
      <c r="E994" s="221"/>
      <c r="F994" s="221"/>
      <c r="G994" s="73" t="s">
        <v>39</v>
      </c>
      <c r="H994" s="221">
        <f>SUM(H990:J993)</f>
        <v>0</v>
      </c>
      <c r="I994" s="221"/>
      <c r="J994" s="221"/>
      <c r="K994" s="73" t="s">
        <v>38</v>
      </c>
      <c r="M994" s="221" t="s">
        <v>41</v>
      </c>
      <c r="N994" s="221"/>
      <c r="O994" s="221"/>
      <c r="P994" s="221"/>
      <c r="Q994" s="221"/>
      <c r="R994" s="221"/>
      <c r="S994" s="73" t="s">
        <v>39</v>
      </c>
      <c r="T994" s="221">
        <f>SUM(T990:V993)</f>
        <v>0</v>
      </c>
      <c r="U994" s="221"/>
      <c r="V994" s="221"/>
      <c r="W994" s="73" t="s">
        <v>38</v>
      </c>
    </row>
    <row r="995" spans="1:24" ht="18.75" customHeight="1">
      <c r="A995" s="221" t="s">
        <v>40</v>
      </c>
      <c r="B995" s="221"/>
      <c r="C995" s="221"/>
      <c r="D995" s="221"/>
      <c r="E995" s="221"/>
      <c r="F995" s="221"/>
      <c r="G995" s="73" t="s">
        <v>39</v>
      </c>
      <c r="H995" s="221" t="e">
        <f>ROUND(H987-H994,-2)</f>
        <v>#DIV/0!</v>
      </c>
      <c r="I995" s="221"/>
      <c r="J995" s="221"/>
      <c r="K995" s="73" t="s">
        <v>38</v>
      </c>
      <c r="M995" s="221" t="s">
        <v>40</v>
      </c>
      <c r="N995" s="221"/>
      <c r="O995" s="221"/>
      <c r="P995" s="221"/>
      <c r="Q995" s="221"/>
      <c r="R995" s="221"/>
      <c r="S995" s="73" t="s">
        <v>39</v>
      </c>
      <c r="T995" s="221" t="e">
        <f>ROUND(T987-T994,-2)</f>
        <v>#DIV/0!</v>
      </c>
      <c r="U995" s="221"/>
      <c r="V995" s="221"/>
      <c r="W995" s="73" t="s">
        <v>38</v>
      </c>
    </row>
    <row r="996" spans="1:24" ht="18.75" customHeight="1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</row>
    <row r="997" spans="1:24" ht="18.75" customHeight="1">
      <c r="A997" s="73"/>
      <c r="B997" s="73"/>
      <c r="C997" s="73"/>
      <c r="D997" s="73"/>
      <c r="E997" s="73"/>
      <c r="F997" s="73"/>
      <c r="G997" s="73"/>
      <c r="H997" s="73"/>
      <c r="I997" s="221" t="s">
        <v>37</v>
      </c>
      <c r="J997" s="221"/>
      <c r="K997" s="221"/>
      <c r="M997" s="73"/>
      <c r="N997" s="73"/>
      <c r="O997" s="73"/>
      <c r="P997" s="73"/>
      <c r="Q997" s="73"/>
      <c r="R997" s="73"/>
      <c r="S997" s="73"/>
      <c r="T997" s="73"/>
      <c r="U997" s="221" t="s">
        <v>37</v>
      </c>
      <c r="V997" s="221"/>
      <c r="W997" s="221"/>
    </row>
    <row r="998" spans="1:24" ht="18.75" customHeight="1">
      <c r="A998" s="73"/>
      <c r="B998" s="221"/>
      <c r="C998" s="221"/>
      <c r="D998" s="221"/>
      <c r="E998" s="221"/>
      <c r="F998" s="73"/>
      <c r="G998" s="73"/>
      <c r="H998" s="73"/>
      <c r="I998" s="73"/>
      <c r="J998" s="73"/>
      <c r="K998" s="73"/>
      <c r="M998" s="73"/>
      <c r="N998" s="221"/>
      <c r="O998" s="221"/>
      <c r="P998" s="221"/>
      <c r="Q998" s="221"/>
      <c r="R998" s="73"/>
      <c r="S998" s="73"/>
      <c r="T998" s="73"/>
      <c r="U998" s="73"/>
      <c r="V998" s="73"/>
      <c r="W998" s="73"/>
    </row>
    <row r="999" spans="1:24" ht="18.75" customHeight="1">
      <c r="A999" s="73"/>
      <c r="B999" s="73"/>
      <c r="C999" s="73"/>
      <c r="D999" s="73"/>
      <c r="E999" s="73"/>
      <c r="F999" s="73"/>
      <c r="G999" s="73"/>
      <c r="H999" s="73"/>
      <c r="I999" s="221" t="s">
        <v>36</v>
      </c>
      <c r="J999" s="221"/>
      <c r="K999" s="221"/>
      <c r="M999" s="73"/>
      <c r="N999" s="73"/>
      <c r="O999" s="73"/>
      <c r="P999" s="73"/>
      <c r="Q999" s="73"/>
      <c r="R999" s="73"/>
      <c r="S999" s="73"/>
      <c r="T999" s="73"/>
      <c r="U999" s="221" t="s">
        <v>36</v>
      </c>
      <c r="V999" s="221"/>
      <c r="W999" s="221"/>
    </row>
    <row r="1001" spans="1:24" ht="18.75" customHeight="1">
      <c r="A1001" s="221" t="s">
        <v>87</v>
      </c>
      <c r="B1001" s="221"/>
      <c r="C1001" s="221"/>
      <c r="D1001" s="221"/>
      <c r="E1001" s="221"/>
      <c r="F1001" s="221"/>
      <c r="G1001" s="221"/>
      <c r="H1001" s="221"/>
      <c r="I1001" s="221"/>
      <c r="J1001" s="221"/>
      <c r="K1001" s="221"/>
      <c r="L1001" s="73">
        <v>24</v>
      </c>
      <c r="M1001" s="221" t="s">
        <v>87</v>
      </c>
      <c r="N1001" s="221"/>
      <c r="O1001" s="221"/>
      <c r="P1001" s="221"/>
      <c r="Q1001" s="221"/>
      <c r="R1001" s="221"/>
      <c r="S1001" s="221"/>
      <c r="T1001" s="221"/>
      <c r="U1001" s="221"/>
      <c r="V1001" s="221"/>
      <c r="W1001" s="221"/>
      <c r="X1001" s="73">
        <v>24</v>
      </c>
    </row>
    <row r="1002" spans="1:24" ht="18.75" customHeight="1">
      <c r="A1002" s="73" t="s">
        <v>95</v>
      </c>
      <c r="B1002" s="73"/>
      <c r="C1002" s="73"/>
      <c r="D1002" s="73"/>
      <c r="E1002" s="73"/>
      <c r="F1002" s="73"/>
      <c r="G1002" s="73"/>
      <c r="H1002" s="73"/>
      <c r="I1002" s="73"/>
      <c r="J1002" s="73"/>
      <c r="K1002" s="73"/>
      <c r="M1002" s="73" t="s">
        <v>94</v>
      </c>
      <c r="N1002" s="73"/>
      <c r="O1002" s="73"/>
      <c r="P1002" s="73"/>
      <c r="Q1002" s="73"/>
      <c r="R1002" s="73"/>
      <c r="S1002" s="73"/>
      <c r="T1002" s="73"/>
      <c r="U1002" s="73"/>
      <c r="V1002" s="73"/>
      <c r="W1002" s="73"/>
    </row>
    <row r="1003" spans="1:24" ht="18.75" customHeight="1">
      <c r="A1003" s="221" t="s">
        <v>84</v>
      </c>
      <c r="B1003" s="221"/>
      <c r="C1003" s="221"/>
      <c r="D1003" s="221"/>
      <c r="E1003" s="221"/>
      <c r="F1003" s="221"/>
      <c r="G1003" s="221"/>
      <c r="H1003" s="221"/>
      <c r="I1003" s="221"/>
      <c r="J1003" s="221"/>
      <c r="K1003" s="221"/>
      <c r="M1003" s="221" t="s">
        <v>84</v>
      </c>
      <c r="N1003" s="221"/>
      <c r="O1003" s="221"/>
      <c r="P1003" s="221"/>
      <c r="Q1003" s="221"/>
      <c r="R1003" s="221"/>
      <c r="S1003" s="221"/>
      <c r="T1003" s="221"/>
      <c r="U1003" s="221"/>
      <c r="V1003" s="221"/>
      <c r="W1003" s="221"/>
    </row>
    <row r="1004" spans="1:24" ht="18.75" customHeight="1">
      <c r="A1004" s="221" t="s">
        <v>83</v>
      </c>
      <c r="B1004" s="221"/>
      <c r="C1004" s="221"/>
      <c r="D1004" s="221"/>
      <c r="E1004" s="73" t="s">
        <v>39</v>
      </c>
      <c r="F1004" s="221"/>
      <c r="G1004" s="221"/>
      <c r="H1004" s="221"/>
      <c r="I1004" s="221"/>
      <c r="J1004" s="221"/>
      <c r="K1004" s="221"/>
      <c r="M1004" s="221" t="s">
        <v>83</v>
      </c>
      <c r="N1004" s="221"/>
      <c r="O1004" s="221"/>
      <c r="P1004" s="221"/>
      <c r="Q1004" s="73" t="s">
        <v>39</v>
      </c>
      <c r="R1004" s="221"/>
      <c r="S1004" s="221"/>
      <c r="T1004" s="221"/>
      <c r="U1004" s="221"/>
      <c r="V1004" s="221"/>
      <c r="W1004" s="221"/>
    </row>
    <row r="1005" spans="1:24" ht="18.75" customHeight="1">
      <c r="A1005" s="221" t="s">
        <v>82</v>
      </c>
      <c r="B1005" s="221"/>
      <c r="C1005" s="221"/>
      <c r="D1005" s="221"/>
      <c r="E1005" s="73" t="s">
        <v>39</v>
      </c>
      <c r="F1005" s="221"/>
      <c r="G1005" s="221"/>
      <c r="H1005" s="221"/>
      <c r="I1005" s="221"/>
      <c r="J1005" s="221"/>
      <c r="K1005" s="221"/>
      <c r="M1005" s="221" t="s">
        <v>82</v>
      </c>
      <c r="N1005" s="221"/>
      <c r="O1005" s="221"/>
      <c r="P1005" s="221"/>
      <c r="Q1005" s="73" t="s">
        <v>39</v>
      </c>
      <c r="R1005" s="221"/>
      <c r="S1005" s="221"/>
      <c r="T1005" s="221"/>
      <c r="U1005" s="221"/>
      <c r="V1005" s="221"/>
      <c r="W1005" s="221"/>
    </row>
    <row r="1006" spans="1:24" ht="18.75" customHeight="1">
      <c r="A1006" s="221" t="s">
        <v>81</v>
      </c>
      <c r="B1006" s="221"/>
      <c r="C1006" s="221"/>
      <c r="D1006" s="221"/>
      <c r="E1006" s="73" t="s">
        <v>39</v>
      </c>
      <c r="F1006" s="221" t="s">
        <v>80</v>
      </c>
      <c r="G1006" s="221"/>
      <c r="H1006" s="221"/>
      <c r="I1006" s="221"/>
      <c r="J1006" s="221"/>
      <c r="K1006" s="221"/>
      <c r="M1006" s="221" t="s">
        <v>81</v>
      </c>
      <c r="N1006" s="221"/>
      <c r="O1006" s="221"/>
      <c r="P1006" s="221"/>
      <c r="Q1006" s="73" t="s">
        <v>39</v>
      </c>
      <c r="R1006" s="221" t="s">
        <v>80</v>
      </c>
      <c r="S1006" s="221"/>
      <c r="T1006" s="221"/>
      <c r="U1006" s="221"/>
      <c r="V1006" s="221"/>
      <c r="W1006" s="221"/>
    </row>
    <row r="1007" spans="1:24" ht="18.75" customHeight="1">
      <c r="A1007" s="221" t="s">
        <v>79</v>
      </c>
      <c r="B1007" s="221"/>
      <c r="C1007" s="221"/>
      <c r="D1007" s="221"/>
      <c r="E1007" s="221"/>
      <c r="F1007" s="221"/>
      <c r="G1007" s="221"/>
      <c r="H1007" s="221"/>
      <c r="I1007" s="221"/>
      <c r="J1007" s="221"/>
      <c r="K1007" s="221"/>
      <c r="M1007" s="221" t="s">
        <v>79</v>
      </c>
      <c r="N1007" s="221"/>
      <c r="O1007" s="221"/>
      <c r="P1007" s="221"/>
      <c r="Q1007" s="221"/>
      <c r="R1007" s="221"/>
      <c r="S1007" s="221"/>
      <c r="T1007" s="221"/>
      <c r="U1007" s="221"/>
      <c r="V1007" s="221"/>
      <c r="W1007" s="221"/>
    </row>
    <row r="1008" spans="1:24" ht="18.75" customHeight="1">
      <c r="A1008" s="221" t="s">
        <v>78</v>
      </c>
      <c r="B1008" s="221"/>
      <c r="C1008" s="221"/>
      <c r="D1008" s="221"/>
      <c r="E1008" s="73" t="s">
        <v>39</v>
      </c>
      <c r="F1008" s="221">
        <v>2915400</v>
      </c>
      <c r="G1008" s="221"/>
      <c r="H1008" s="221"/>
      <c r="I1008" s="221"/>
      <c r="J1008" s="73" t="s">
        <v>38</v>
      </c>
      <c r="K1008" s="73"/>
      <c r="M1008" s="221" t="s">
        <v>78</v>
      </c>
      <c r="N1008" s="221"/>
      <c r="O1008" s="221"/>
      <c r="P1008" s="221"/>
      <c r="Q1008" s="73" t="s">
        <v>39</v>
      </c>
      <c r="R1008" s="221">
        <v>2915400</v>
      </c>
      <c r="S1008" s="221"/>
      <c r="T1008" s="221"/>
      <c r="U1008" s="221"/>
      <c r="V1008" s="73" t="s">
        <v>38</v>
      </c>
      <c r="W1008" s="73"/>
    </row>
    <row r="1009" spans="1:24" ht="18.75" customHeight="1">
      <c r="A1009" s="73" t="s">
        <v>77</v>
      </c>
      <c r="B1009" s="73"/>
      <c r="C1009" s="73"/>
      <c r="D1009" s="73"/>
      <c r="E1009" s="73"/>
      <c r="F1009" s="73"/>
      <c r="G1009" s="73"/>
      <c r="H1009" s="73"/>
      <c r="I1009" s="73"/>
      <c r="J1009" s="73"/>
      <c r="K1009" s="73"/>
      <c r="M1009" s="73" t="s">
        <v>77</v>
      </c>
      <c r="N1009" s="73"/>
      <c r="O1009" s="73"/>
      <c r="P1009" s="73"/>
      <c r="Q1009" s="73"/>
      <c r="R1009" s="73"/>
      <c r="S1009" s="73"/>
      <c r="T1009" s="73"/>
      <c r="U1009" s="73"/>
      <c r="V1009" s="73"/>
      <c r="W1009" s="73"/>
    </row>
    <row r="1010" spans="1:24" ht="18.75" customHeight="1">
      <c r="A1010" s="73" t="s">
        <v>76</v>
      </c>
      <c r="B1010" s="73"/>
      <c r="C1010" s="73"/>
      <c r="D1010" s="73"/>
      <c r="E1010" s="73"/>
      <c r="F1010" s="73"/>
      <c r="G1010" s="73"/>
      <c r="H1010" s="73"/>
      <c r="I1010" s="73" t="e">
        <f>I1011/C1011/8</f>
        <v>#DIV/0!</v>
      </c>
      <c r="J1010" s="73"/>
      <c r="K1010" s="73"/>
      <c r="M1010" s="73" t="s">
        <v>76</v>
      </c>
      <c r="N1010" s="73"/>
      <c r="O1010" s="73"/>
      <c r="P1010" s="73"/>
      <c r="Q1010" s="73"/>
      <c r="R1010" s="73"/>
      <c r="S1010" s="73"/>
      <c r="T1010" s="73"/>
      <c r="U1010" s="73" t="e">
        <f>U1011/O1011/8</f>
        <v>#DIV/0!</v>
      </c>
      <c r="V1010" s="73"/>
      <c r="W1010" s="73"/>
    </row>
    <row r="1011" spans="1:24" ht="18.75" customHeight="1">
      <c r="A1011" s="73" t="s">
        <v>75</v>
      </c>
      <c r="B1011" s="73" t="s">
        <v>39</v>
      </c>
      <c r="C1011" s="73"/>
      <c r="D1011" s="73" t="s">
        <v>52</v>
      </c>
      <c r="E1011" s="221" t="s">
        <v>74</v>
      </c>
      <c r="F1011" s="221"/>
      <c r="G1011" s="221"/>
      <c r="H1011" s="73" t="s">
        <v>39</v>
      </c>
      <c r="I1011" s="221" t="e">
        <f>I1009*680/((C1011-C1018)*8+C1018*7+C1015)*((C1011-C1018)*8+C1018*7)</f>
        <v>#DIV/0!</v>
      </c>
      <c r="J1011" s="221"/>
      <c r="K1011" s="73" t="s">
        <v>38</v>
      </c>
      <c r="L1011" s="73">
        <f>F1008/L1001*C1011</f>
        <v>0</v>
      </c>
      <c r="M1011" s="73" t="s">
        <v>75</v>
      </c>
      <c r="N1011" s="73" t="s">
        <v>39</v>
      </c>
      <c r="O1011" s="73"/>
      <c r="P1011" s="73" t="s">
        <v>52</v>
      </c>
      <c r="Q1011" s="221" t="s">
        <v>74</v>
      </c>
      <c r="R1011" s="221"/>
      <c r="S1011" s="221"/>
      <c r="T1011" s="73" t="s">
        <v>39</v>
      </c>
      <c r="U1011" s="221" t="e">
        <f>U1009*680/((O1011-O1018)*8+O1018*7+O1015)*((O1011-O1018)*8+O1018*7)</f>
        <v>#DIV/0!</v>
      </c>
      <c r="V1011" s="221"/>
      <c r="W1011" s="73" t="s">
        <v>38</v>
      </c>
      <c r="X1011" s="73">
        <f>R1008/X1001*O1011</f>
        <v>0</v>
      </c>
    </row>
    <row r="1012" spans="1:24" ht="18.75" customHeight="1">
      <c r="A1012" s="73" t="s">
        <v>73</v>
      </c>
      <c r="B1012" s="73" t="s">
        <v>39</v>
      </c>
      <c r="C1012" s="73"/>
      <c r="D1012" s="73" t="s">
        <v>52</v>
      </c>
      <c r="E1012" s="221" t="s">
        <v>72</v>
      </c>
      <c r="F1012" s="221"/>
      <c r="G1012" s="221"/>
      <c r="H1012" s="73" t="s">
        <v>39</v>
      </c>
      <c r="I1012" s="221">
        <f>$F$8/$L$1*C1012</f>
        <v>0</v>
      </c>
      <c r="J1012" s="221"/>
      <c r="K1012" s="73" t="s">
        <v>38</v>
      </c>
      <c r="L1012" s="73"/>
      <c r="M1012" s="73" t="s">
        <v>73</v>
      </c>
      <c r="N1012" s="73" t="s">
        <v>39</v>
      </c>
      <c r="O1012" s="73"/>
      <c r="P1012" s="73" t="s">
        <v>52</v>
      </c>
      <c r="Q1012" s="221" t="s">
        <v>72</v>
      </c>
      <c r="R1012" s="221"/>
      <c r="S1012" s="221"/>
      <c r="T1012" s="73" t="s">
        <v>39</v>
      </c>
      <c r="U1012" s="221">
        <f>$F$8/$L$1*O1012</f>
        <v>0</v>
      </c>
      <c r="V1012" s="221"/>
      <c r="W1012" s="73" t="s">
        <v>38</v>
      </c>
      <c r="X1012" s="73"/>
    </row>
    <row r="1013" spans="1:24" ht="18.75" customHeight="1">
      <c r="A1013" s="73" t="s">
        <v>71</v>
      </c>
      <c r="B1013" s="73" t="s">
        <v>39</v>
      </c>
      <c r="C1013" s="73"/>
      <c r="D1013" s="73" t="s">
        <v>52</v>
      </c>
      <c r="E1013" s="221" t="s">
        <v>70</v>
      </c>
      <c r="F1013" s="221"/>
      <c r="G1013" s="221"/>
      <c r="H1013" s="73" t="s">
        <v>39</v>
      </c>
      <c r="I1013" s="221">
        <f>$F$8/$L$1*C1013</f>
        <v>0</v>
      </c>
      <c r="J1013" s="221"/>
      <c r="K1013" s="73" t="s">
        <v>38</v>
      </c>
      <c r="L1013" s="73"/>
      <c r="M1013" s="73" t="s">
        <v>71</v>
      </c>
      <c r="N1013" s="73" t="s">
        <v>39</v>
      </c>
      <c r="O1013" s="73"/>
      <c r="P1013" s="73" t="s">
        <v>52</v>
      </c>
      <c r="Q1013" s="221" t="s">
        <v>70</v>
      </c>
      <c r="R1013" s="221"/>
      <c r="S1013" s="221"/>
      <c r="T1013" s="73" t="s">
        <v>39</v>
      </c>
      <c r="U1013" s="221">
        <f>$F$8/$L$1*O1013</f>
        <v>0</v>
      </c>
      <c r="V1013" s="221"/>
      <c r="W1013" s="73" t="s">
        <v>38</v>
      </c>
      <c r="X1013" s="73"/>
    </row>
    <row r="1014" spans="1:24" ht="18.75" customHeight="1">
      <c r="A1014" s="73" t="s">
        <v>69</v>
      </c>
      <c r="B1014" s="73" t="s">
        <v>39</v>
      </c>
      <c r="C1014" s="73"/>
      <c r="D1014" s="73" t="s">
        <v>52</v>
      </c>
      <c r="E1014" s="221" t="s">
        <v>68</v>
      </c>
      <c r="F1014" s="221"/>
      <c r="G1014" s="221"/>
      <c r="H1014" s="73" t="s">
        <v>39</v>
      </c>
      <c r="I1014" s="221">
        <f>$F$8/$L$1*C1014</f>
        <v>0</v>
      </c>
      <c r="J1014" s="221"/>
      <c r="K1014" s="73" t="s">
        <v>38</v>
      </c>
      <c r="L1014" s="73"/>
      <c r="M1014" s="73" t="s">
        <v>69</v>
      </c>
      <c r="N1014" s="73" t="s">
        <v>39</v>
      </c>
      <c r="O1014" s="73"/>
      <c r="P1014" s="73" t="s">
        <v>52</v>
      </c>
      <c r="Q1014" s="221" t="s">
        <v>68</v>
      </c>
      <c r="R1014" s="221"/>
      <c r="S1014" s="221"/>
      <c r="T1014" s="73" t="s">
        <v>39</v>
      </c>
      <c r="U1014" s="221">
        <f>$F$8/$L$1*O1014</f>
        <v>0</v>
      </c>
      <c r="V1014" s="221"/>
      <c r="W1014" s="73" t="s">
        <v>38</v>
      </c>
      <c r="X1014" s="73"/>
    </row>
    <row r="1015" spans="1:24" ht="18.75" customHeight="1">
      <c r="A1015" s="73" t="s">
        <v>67</v>
      </c>
      <c r="B1015" s="73" t="s">
        <v>39</v>
      </c>
      <c r="C1015" s="73"/>
      <c r="D1015" s="73" t="s">
        <v>58</v>
      </c>
      <c r="E1015" s="221" t="s">
        <v>66</v>
      </c>
      <c r="F1015" s="221"/>
      <c r="G1015" s="221"/>
      <c r="H1015" s="73" t="s">
        <v>39</v>
      </c>
      <c r="I1015" s="221" t="e">
        <f>I1011/C1011/8*C1015</f>
        <v>#DIV/0!</v>
      </c>
      <c r="J1015" s="221"/>
      <c r="K1015" s="73" t="s">
        <v>38</v>
      </c>
      <c r="L1015" s="73">
        <f>F1008*C1015/L1001/8*1.5</f>
        <v>0</v>
      </c>
      <c r="M1015" s="73" t="s">
        <v>67</v>
      </c>
      <c r="N1015" s="73" t="s">
        <v>39</v>
      </c>
      <c r="O1015" s="73"/>
      <c r="P1015" s="73" t="s">
        <v>58</v>
      </c>
      <c r="Q1015" s="221" t="s">
        <v>66</v>
      </c>
      <c r="R1015" s="221"/>
      <c r="S1015" s="221"/>
      <c r="T1015" s="73" t="s">
        <v>39</v>
      </c>
      <c r="U1015" s="221" t="e">
        <f>U1011/O1011/8*O1015</f>
        <v>#DIV/0!</v>
      </c>
      <c r="V1015" s="221"/>
      <c r="W1015" s="73" t="s">
        <v>38</v>
      </c>
      <c r="X1015" s="73">
        <f>R1008*O1015/X1001/8*1.5</f>
        <v>0</v>
      </c>
    </row>
    <row r="1016" spans="1:24" ht="18.75" customHeight="1">
      <c r="A1016" s="221" t="s">
        <v>65</v>
      </c>
      <c r="B1016" s="221"/>
      <c r="C1016" s="73"/>
      <c r="D1016" s="73" t="s">
        <v>52</v>
      </c>
      <c r="E1016" s="221" t="s">
        <v>64</v>
      </c>
      <c r="F1016" s="221"/>
      <c r="G1016" s="221"/>
      <c r="H1016" s="73" t="s">
        <v>39</v>
      </c>
      <c r="I1016" s="221"/>
      <c r="J1016" s="221"/>
      <c r="K1016" s="73" t="s">
        <v>38</v>
      </c>
      <c r="L1016" s="73"/>
      <c r="M1016" s="221" t="s">
        <v>65</v>
      </c>
      <c r="N1016" s="221"/>
      <c r="O1016" s="73"/>
      <c r="P1016" s="73" t="s">
        <v>52</v>
      </c>
      <c r="Q1016" s="221" t="s">
        <v>64</v>
      </c>
      <c r="R1016" s="221"/>
      <c r="S1016" s="221"/>
      <c r="T1016" s="73" t="s">
        <v>39</v>
      </c>
      <c r="U1016" s="221"/>
      <c r="V1016" s="221"/>
      <c r="W1016" s="73" t="s">
        <v>38</v>
      </c>
      <c r="X1016" s="73"/>
    </row>
    <row r="1017" spans="1:24" ht="18.75" customHeight="1">
      <c r="A1017" s="73" t="s">
        <v>63</v>
      </c>
      <c r="B1017" s="73" t="s">
        <v>39</v>
      </c>
      <c r="C1017" s="73"/>
      <c r="D1017" s="73" t="s">
        <v>52</v>
      </c>
      <c r="E1017" s="221" t="s">
        <v>62</v>
      </c>
      <c r="F1017" s="221"/>
      <c r="G1017" s="221"/>
      <c r="H1017" s="73" t="s">
        <v>39</v>
      </c>
      <c r="I1017" s="221"/>
      <c r="J1017" s="221"/>
      <c r="K1017" s="73" t="s">
        <v>38</v>
      </c>
      <c r="L1017" s="73"/>
      <c r="M1017" s="73" t="s">
        <v>63</v>
      </c>
      <c r="N1017" s="73" t="s">
        <v>39</v>
      </c>
      <c r="O1017" s="73"/>
      <c r="P1017" s="73" t="s">
        <v>52</v>
      </c>
      <c r="Q1017" s="221" t="s">
        <v>62</v>
      </c>
      <c r="R1017" s="221"/>
      <c r="S1017" s="221"/>
      <c r="T1017" s="73" t="s">
        <v>39</v>
      </c>
      <c r="U1017" s="221"/>
      <c r="V1017" s="221"/>
      <c r="W1017" s="73" t="s">
        <v>38</v>
      </c>
      <c r="X1017" s="73"/>
    </row>
    <row r="1018" spans="1:24" ht="18.75" customHeight="1">
      <c r="A1018" s="73" t="s">
        <v>61</v>
      </c>
      <c r="B1018" s="73"/>
      <c r="C1018" s="73"/>
      <c r="D1018" s="73" t="s">
        <v>58</v>
      </c>
      <c r="E1018" s="221" t="s">
        <v>60</v>
      </c>
      <c r="F1018" s="221"/>
      <c r="G1018" s="221"/>
      <c r="H1018" s="73" t="s">
        <v>39</v>
      </c>
      <c r="I1018" s="221">
        <f>$F$8*C1018/8/$L$1</f>
        <v>0</v>
      </c>
      <c r="J1018" s="221"/>
      <c r="K1018" s="73" t="s">
        <v>38</v>
      </c>
      <c r="L1018" s="73"/>
      <c r="M1018" s="73" t="s">
        <v>61</v>
      </c>
      <c r="N1018" s="73"/>
      <c r="O1018" s="73"/>
      <c r="P1018" s="73" t="s">
        <v>58</v>
      </c>
      <c r="Q1018" s="221" t="s">
        <v>60</v>
      </c>
      <c r="R1018" s="221"/>
      <c r="S1018" s="221"/>
      <c r="T1018" s="73" t="s">
        <v>39</v>
      </c>
      <c r="U1018" s="221">
        <f>$F$8*O1018/8/$L$1</f>
        <v>0</v>
      </c>
      <c r="V1018" s="221"/>
      <c r="W1018" s="73" t="s">
        <v>38</v>
      </c>
      <c r="X1018" s="73"/>
    </row>
    <row r="1019" spans="1:24" ht="18.75" customHeight="1">
      <c r="A1019" s="73" t="s">
        <v>59</v>
      </c>
      <c r="B1019" s="73" t="s">
        <v>39</v>
      </c>
      <c r="C1019" s="73"/>
      <c r="D1019" s="73" t="s">
        <v>58</v>
      </c>
      <c r="E1019" s="221" t="s">
        <v>57</v>
      </c>
      <c r="F1019" s="221"/>
      <c r="G1019" s="221"/>
      <c r="H1019" s="73" t="s">
        <v>39</v>
      </c>
      <c r="I1019" s="221"/>
      <c r="J1019" s="221"/>
      <c r="K1019" s="73" t="s">
        <v>38</v>
      </c>
      <c r="L1019" s="73"/>
      <c r="M1019" s="73" t="s">
        <v>59</v>
      </c>
      <c r="N1019" s="73" t="s">
        <v>39</v>
      </c>
      <c r="O1019" s="73"/>
      <c r="P1019" s="73" t="s">
        <v>58</v>
      </c>
      <c r="Q1019" s="221" t="s">
        <v>57</v>
      </c>
      <c r="R1019" s="221"/>
      <c r="S1019" s="221"/>
      <c r="T1019" s="73" t="s">
        <v>39</v>
      </c>
      <c r="U1019" s="221"/>
      <c r="V1019" s="221"/>
      <c r="W1019" s="73" t="s">
        <v>38</v>
      </c>
      <c r="X1019" s="73"/>
    </row>
    <row r="1020" spans="1:24" ht="18.75" customHeight="1">
      <c r="A1020" s="73" t="s">
        <v>56</v>
      </c>
      <c r="B1020" s="73" t="s">
        <v>39</v>
      </c>
      <c r="C1020" s="73"/>
      <c r="D1020" s="73" t="s">
        <v>55</v>
      </c>
      <c r="E1020" s="73" t="s">
        <v>54</v>
      </c>
      <c r="F1020" s="73"/>
      <c r="G1020" s="73"/>
      <c r="H1020" s="73" t="s">
        <v>39</v>
      </c>
      <c r="I1020" s="221"/>
      <c r="J1020" s="221"/>
      <c r="K1020" s="73" t="s">
        <v>38</v>
      </c>
      <c r="L1020" s="73" t="e">
        <f>+IF(L1011-I1011&lt;0,0,L1011-I1011)+IF(L1015-I1015&lt;0,0,L1015-I1015)</f>
        <v>#DIV/0!</v>
      </c>
      <c r="M1020" s="73" t="s">
        <v>56</v>
      </c>
      <c r="N1020" s="73" t="s">
        <v>39</v>
      </c>
      <c r="O1020" s="73"/>
      <c r="P1020" s="73" t="s">
        <v>55</v>
      </c>
      <c r="Q1020" s="73" t="s">
        <v>54</v>
      </c>
      <c r="R1020" s="73"/>
      <c r="S1020" s="73"/>
      <c r="T1020" s="73" t="s">
        <v>39</v>
      </c>
      <c r="U1020" s="221"/>
      <c r="V1020" s="221"/>
      <c r="W1020" s="73" t="s">
        <v>38</v>
      </c>
      <c r="X1020" s="73" t="e">
        <f>+IF(X1011-U1011&lt;0,0,X1011-U1011)+IF(X1015-U1015&lt;0,0,X1015-U1015)</f>
        <v>#DIV/0!</v>
      </c>
    </row>
    <row r="1021" spans="1:24" ht="18.75" customHeight="1">
      <c r="A1021" s="73" t="s">
        <v>53</v>
      </c>
      <c r="B1021" s="73"/>
      <c r="C1021" s="73"/>
      <c r="D1021" s="73" t="s">
        <v>52</v>
      </c>
      <c r="E1021" s="221" t="s">
        <v>51</v>
      </c>
      <c r="F1021" s="221"/>
      <c r="G1021" s="221"/>
      <c r="H1021" s="73" t="s">
        <v>39</v>
      </c>
      <c r="I1021" s="221"/>
      <c r="J1021" s="221"/>
      <c r="K1021" s="73" t="s">
        <v>38</v>
      </c>
      <c r="L1021" s="73"/>
      <c r="M1021" s="73" t="s">
        <v>53</v>
      </c>
      <c r="N1021" s="73"/>
      <c r="O1021" s="73"/>
      <c r="P1021" s="73" t="s">
        <v>52</v>
      </c>
      <c r="Q1021" s="221" t="s">
        <v>51</v>
      </c>
      <c r="R1021" s="221"/>
      <c r="S1021" s="221"/>
      <c r="T1021" s="73" t="s">
        <v>39</v>
      </c>
      <c r="U1021" s="221"/>
      <c r="V1021" s="221"/>
      <c r="W1021" s="73" t="s">
        <v>38</v>
      </c>
      <c r="X1021" s="73"/>
    </row>
    <row r="1022" spans="1:24" ht="18.75" customHeight="1">
      <c r="A1022" s="221" t="s">
        <v>50</v>
      </c>
      <c r="B1022" s="221"/>
      <c r="C1022" s="73"/>
      <c r="D1022" s="73"/>
      <c r="E1022" s="73"/>
      <c r="F1022" s="73"/>
      <c r="G1022" s="73"/>
      <c r="H1022" s="73" t="s">
        <v>39</v>
      </c>
      <c r="I1022" s="221"/>
      <c r="J1022" s="221"/>
      <c r="K1022" s="73" t="s">
        <v>38</v>
      </c>
      <c r="L1022" s="73"/>
      <c r="M1022" s="221" t="s">
        <v>50</v>
      </c>
      <c r="N1022" s="221"/>
      <c r="O1022" s="73"/>
      <c r="P1022" s="73"/>
      <c r="Q1022" s="73"/>
      <c r="R1022" s="73"/>
      <c r="S1022" s="73"/>
      <c r="T1022" s="73" t="s">
        <v>39</v>
      </c>
      <c r="U1022" s="221"/>
      <c r="V1022" s="221"/>
      <c r="W1022" s="73" t="s">
        <v>38</v>
      </c>
      <c r="X1022" s="73"/>
    </row>
    <row r="1023" spans="1:24" ht="18.75" customHeight="1">
      <c r="A1023" s="73" t="s">
        <v>49</v>
      </c>
      <c r="B1023" s="73" t="s">
        <v>39</v>
      </c>
      <c r="C1023" s="73"/>
      <c r="D1023" s="73"/>
      <c r="E1023" s="73" t="s">
        <v>48</v>
      </c>
      <c r="F1023" s="73"/>
      <c r="G1023" s="73"/>
      <c r="H1023" s="73" t="s">
        <v>39</v>
      </c>
      <c r="I1023" s="221" t="e">
        <f>L1020</f>
        <v>#DIV/0!</v>
      </c>
      <c r="J1023" s="221"/>
      <c r="K1023" s="73" t="s">
        <v>38</v>
      </c>
      <c r="L1023" s="73"/>
      <c r="M1023" s="73" t="s">
        <v>49</v>
      </c>
      <c r="N1023" s="73" t="s">
        <v>39</v>
      </c>
      <c r="O1023" s="73"/>
      <c r="P1023" s="73"/>
      <c r="Q1023" s="73" t="s">
        <v>48</v>
      </c>
      <c r="R1023" s="73"/>
      <c r="S1023" s="73"/>
      <c r="T1023" s="73" t="s">
        <v>39</v>
      </c>
      <c r="U1023" s="221" t="e">
        <f>X1020</f>
        <v>#DIV/0!</v>
      </c>
      <c r="V1023" s="221"/>
      <c r="W1023" s="73" t="s">
        <v>38</v>
      </c>
      <c r="X1023" s="73"/>
    </row>
    <row r="1024" spans="1:24" ht="18.75" customHeight="1">
      <c r="A1024" s="221" t="s">
        <v>47</v>
      </c>
      <c r="B1024" s="221"/>
      <c r="C1024" s="221"/>
      <c r="D1024" s="221"/>
      <c r="E1024" s="221"/>
      <c r="F1024" s="221"/>
      <c r="G1024" s="73" t="s">
        <v>39</v>
      </c>
      <c r="H1024" s="221" t="e">
        <f>I1011+I1012+I1013+I1014+I1015+I1018+I1022+I1023</f>
        <v>#DIV/0!</v>
      </c>
      <c r="I1024" s="221"/>
      <c r="J1024" s="221"/>
      <c r="K1024" s="73" t="s">
        <v>38</v>
      </c>
      <c r="M1024" s="221" t="s">
        <v>47</v>
      </c>
      <c r="N1024" s="221"/>
      <c r="O1024" s="221"/>
      <c r="P1024" s="221"/>
      <c r="Q1024" s="221"/>
      <c r="R1024" s="221"/>
      <c r="S1024" s="73" t="s">
        <v>39</v>
      </c>
      <c r="T1024" s="221" t="e">
        <f>U1011+U1012+U1013+U1014+U1015+U1018+U1022+U1023</f>
        <v>#DIV/0!</v>
      </c>
      <c r="U1024" s="221"/>
      <c r="V1024" s="221"/>
      <c r="W1024" s="73" t="s">
        <v>38</v>
      </c>
    </row>
    <row r="1025" spans="1:24" ht="18.75" customHeight="1">
      <c r="A1025" s="73"/>
      <c r="B1025" s="73"/>
      <c r="C1025" s="73"/>
      <c r="D1025" s="73"/>
      <c r="E1025" s="73"/>
      <c r="F1025" s="73"/>
      <c r="G1025" s="73"/>
      <c r="H1025" s="73"/>
      <c r="I1025" s="73"/>
      <c r="J1025" s="73"/>
      <c r="K1025" s="73"/>
      <c r="M1025" s="73"/>
      <c r="N1025" s="73"/>
      <c r="O1025" s="73"/>
      <c r="P1025" s="73"/>
      <c r="Q1025" s="73"/>
      <c r="R1025" s="73"/>
      <c r="S1025" s="73"/>
      <c r="T1025" s="73"/>
      <c r="U1025" s="73"/>
      <c r="V1025" s="73"/>
      <c r="W1025" s="73"/>
    </row>
    <row r="1026" spans="1:24" ht="18.75" customHeight="1">
      <c r="A1026" s="221" t="s">
        <v>46</v>
      </c>
      <c r="B1026" s="221"/>
      <c r="C1026" s="221"/>
      <c r="D1026" s="221"/>
      <c r="E1026" s="221"/>
      <c r="F1026" s="221"/>
      <c r="G1026" s="73"/>
      <c r="H1026" s="73"/>
      <c r="I1026" s="73"/>
      <c r="J1026" s="73"/>
      <c r="K1026" s="73"/>
      <c r="M1026" s="221" t="s">
        <v>46</v>
      </c>
      <c r="N1026" s="221"/>
      <c r="O1026" s="221"/>
      <c r="P1026" s="221"/>
      <c r="Q1026" s="221"/>
      <c r="R1026" s="221"/>
      <c r="S1026" s="73"/>
      <c r="T1026" s="73"/>
      <c r="U1026" s="73"/>
      <c r="V1026" s="73"/>
      <c r="W1026" s="73"/>
    </row>
    <row r="1027" spans="1:24" ht="18.75" customHeight="1">
      <c r="A1027" s="221" t="s">
        <v>45</v>
      </c>
      <c r="B1027" s="221"/>
      <c r="C1027" s="221"/>
      <c r="D1027" s="221"/>
      <c r="E1027" s="221"/>
      <c r="F1027" s="221"/>
      <c r="G1027" s="73" t="s">
        <v>39</v>
      </c>
      <c r="H1027" s="221">
        <f>IF(($L$1-(C1011+C1012+C1013+C1014))&gt;12,0,F1008*8%)</f>
        <v>0</v>
      </c>
      <c r="I1027" s="221"/>
      <c r="J1027" s="221"/>
      <c r="K1027" s="73" t="s">
        <v>38</v>
      </c>
      <c r="M1027" s="221" t="s">
        <v>45</v>
      </c>
      <c r="N1027" s="221"/>
      <c r="O1027" s="221"/>
      <c r="P1027" s="221"/>
      <c r="Q1027" s="221"/>
      <c r="R1027" s="221"/>
      <c r="S1027" s="73" t="s">
        <v>39</v>
      </c>
      <c r="T1027" s="221">
        <f>IF(($L$1-(O1011+O1012+O1013+O1014))&gt;12,0,R1008*8%)</f>
        <v>0</v>
      </c>
      <c r="U1027" s="221"/>
      <c r="V1027" s="221"/>
      <c r="W1027" s="73" t="s">
        <v>38</v>
      </c>
    </row>
    <row r="1028" spans="1:24" ht="18.75" customHeight="1">
      <c r="A1028" s="221" t="s">
        <v>44</v>
      </c>
      <c r="B1028" s="221"/>
      <c r="C1028" s="221"/>
      <c r="D1028" s="221"/>
      <c r="E1028" s="221"/>
      <c r="F1028" s="221"/>
      <c r="G1028" s="73" t="s">
        <v>39</v>
      </c>
      <c r="H1028" s="221">
        <f>IF(($L$1-(C1011+C1012+C1013+C1014))&gt;12,0,F1008*1.5%)</f>
        <v>0</v>
      </c>
      <c r="I1028" s="221"/>
      <c r="J1028" s="221"/>
      <c r="K1028" s="73" t="s">
        <v>38</v>
      </c>
      <c r="M1028" s="221" t="s">
        <v>44</v>
      </c>
      <c r="N1028" s="221"/>
      <c r="O1028" s="221"/>
      <c r="P1028" s="221"/>
      <c r="Q1028" s="221"/>
      <c r="R1028" s="221"/>
      <c r="S1028" s="73" t="s">
        <v>39</v>
      </c>
      <c r="T1028" s="221">
        <f>IF(($L$1-(O1011+O1012+O1013+O1014))&gt;12,0,R1008*1.5%)</f>
        <v>0</v>
      </c>
      <c r="U1028" s="221"/>
      <c r="V1028" s="221"/>
      <c r="W1028" s="73" t="s">
        <v>38</v>
      </c>
    </row>
    <row r="1029" spans="1:24" ht="18.75" customHeight="1">
      <c r="A1029" s="221" t="s">
        <v>43</v>
      </c>
      <c r="B1029" s="221"/>
      <c r="C1029" s="221"/>
      <c r="D1029" s="221"/>
      <c r="E1029" s="221"/>
      <c r="F1029" s="221"/>
      <c r="G1029" s="73" t="s">
        <v>39</v>
      </c>
      <c r="H1029" s="221">
        <f>IF(($L$1-(C1011+C1012+C1013+C1014))&gt;12,0,F1008*1%)</f>
        <v>0</v>
      </c>
      <c r="I1029" s="221"/>
      <c r="J1029" s="221"/>
      <c r="K1029" s="73" t="s">
        <v>38</v>
      </c>
      <c r="M1029" s="221" t="s">
        <v>43</v>
      </c>
      <c r="N1029" s="221"/>
      <c r="O1029" s="221"/>
      <c r="P1029" s="221"/>
      <c r="Q1029" s="221"/>
      <c r="R1029" s="221"/>
      <c r="S1029" s="73" t="s">
        <v>39</v>
      </c>
      <c r="T1029" s="221">
        <f>IF(($L$1-(O1011+O1012+O1013+O1014))&gt;12,0,R1008*1%)</f>
        <v>0</v>
      </c>
      <c r="U1029" s="221"/>
      <c r="V1029" s="221"/>
      <c r="W1029" s="73" t="s">
        <v>38</v>
      </c>
    </row>
    <row r="1030" spans="1:24" ht="18.75" customHeight="1">
      <c r="A1030" s="221" t="s">
        <v>42</v>
      </c>
      <c r="B1030" s="221"/>
      <c r="C1030" s="221"/>
      <c r="D1030" s="221"/>
      <c r="E1030" s="221"/>
      <c r="F1030" s="221"/>
      <c r="G1030" s="73" t="s">
        <v>39</v>
      </c>
      <c r="H1030" s="221">
        <v>0</v>
      </c>
      <c r="I1030" s="221"/>
      <c r="J1030" s="221"/>
      <c r="K1030" s="73" t="s">
        <v>38</v>
      </c>
      <c r="M1030" s="221" t="s">
        <v>42</v>
      </c>
      <c r="N1030" s="221"/>
      <c r="O1030" s="221"/>
      <c r="P1030" s="221"/>
      <c r="Q1030" s="221"/>
      <c r="R1030" s="221"/>
      <c r="S1030" s="73" t="s">
        <v>39</v>
      </c>
      <c r="T1030" s="221">
        <v>0</v>
      </c>
      <c r="U1030" s="221"/>
      <c r="V1030" s="221"/>
      <c r="W1030" s="73" t="s">
        <v>38</v>
      </c>
    </row>
    <row r="1031" spans="1:24" ht="18.75" customHeight="1">
      <c r="A1031" s="221" t="s">
        <v>41</v>
      </c>
      <c r="B1031" s="221"/>
      <c r="C1031" s="221"/>
      <c r="D1031" s="221"/>
      <c r="E1031" s="221"/>
      <c r="F1031" s="221"/>
      <c r="G1031" s="73" t="s">
        <v>39</v>
      </c>
      <c r="H1031" s="221">
        <f>SUM(H1027:J1030)</f>
        <v>0</v>
      </c>
      <c r="I1031" s="221"/>
      <c r="J1031" s="221"/>
      <c r="K1031" s="73" t="s">
        <v>38</v>
      </c>
      <c r="M1031" s="221" t="s">
        <v>41</v>
      </c>
      <c r="N1031" s="221"/>
      <c r="O1031" s="221"/>
      <c r="P1031" s="221"/>
      <c r="Q1031" s="221"/>
      <c r="R1031" s="221"/>
      <c r="S1031" s="73" t="s">
        <v>39</v>
      </c>
      <c r="T1031" s="221">
        <f>SUM(T1027:V1030)</f>
        <v>0</v>
      </c>
      <c r="U1031" s="221"/>
      <c r="V1031" s="221"/>
      <c r="W1031" s="73" t="s">
        <v>38</v>
      </c>
    </row>
    <row r="1032" spans="1:24" ht="18.75" customHeight="1">
      <c r="A1032" s="221" t="s">
        <v>40</v>
      </c>
      <c r="B1032" s="221"/>
      <c r="C1032" s="221"/>
      <c r="D1032" s="221"/>
      <c r="E1032" s="221"/>
      <c r="F1032" s="221"/>
      <c r="G1032" s="73" t="s">
        <v>39</v>
      </c>
      <c r="H1032" s="221" t="e">
        <f>ROUND(H1024-H1031,-2)</f>
        <v>#DIV/0!</v>
      </c>
      <c r="I1032" s="221"/>
      <c r="J1032" s="221"/>
      <c r="K1032" s="73" t="s">
        <v>38</v>
      </c>
      <c r="M1032" s="221" t="s">
        <v>40</v>
      </c>
      <c r="N1032" s="221"/>
      <c r="O1032" s="221"/>
      <c r="P1032" s="221"/>
      <c r="Q1032" s="221"/>
      <c r="R1032" s="221"/>
      <c r="S1032" s="73" t="s">
        <v>39</v>
      </c>
      <c r="T1032" s="221" t="e">
        <f>ROUND(T1024-T1031,-2)</f>
        <v>#DIV/0!</v>
      </c>
      <c r="U1032" s="221"/>
      <c r="V1032" s="221"/>
      <c r="W1032" s="73" t="s">
        <v>38</v>
      </c>
    </row>
    <row r="1033" spans="1:24" ht="18.75" customHeight="1">
      <c r="A1033" s="73"/>
      <c r="B1033" s="73"/>
      <c r="C1033" s="73"/>
      <c r="D1033" s="73"/>
      <c r="E1033" s="73"/>
      <c r="F1033" s="73"/>
      <c r="G1033" s="73"/>
      <c r="H1033" s="73"/>
      <c r="I1033" s="73"/>
      <c r="J1033" s="73"/>
      <c r="K1033" s="73"/>
      <c r="M1033" s="73"/>
      <c r="N1033" s="73"/>
      <c r="O1033" s="73"/>
      <c r="P1033" s="73"/>
      <c r="Q1033" s="73"/>
      <c r="R1033" s="73"/>
      <c r="S1033" s="73"/>
      <c r="T1033" s="73"/>
      <c r="U1033" s="73"/>
      <c r="V1033" s="73"/>
      <c r="W1033" s="73"/>
    </row>
    <row r="1034" spans="1:24" ht="18.75" customHeight="1">
      <c r="A1034" s="73"/>
      <c r="B1034" s="73"/>
      <c r="C1034" s="73"/>
      <c r="D1034" s="73"/>
      <c r="E1034" s="73"/>
      <c r="F1034" s="73"/>
      <c r="G1034" s="73"/>
      <c r="H1034" s="73"/>
      <c r="I1034" s="221" t="s">
        <v>37</v>
      </c>
      <c r="J1034" s="221"/>
      <c r="K1034" s="221"/>
      <c r="M1034" s="73"/>
      <c r="N1034" s="73"/>
      <c r="O1034" s="73"/>
      <c r="P1034" s="73"/>
      <c r="Q1034" s="73"/>
      <c r="R1034" s="73"/>
      <c r="S1034" s="73"/>
      <c r="T1034" s="73"/>
      <c r="U1034" s="221" t="s">
        <v>37</v>
      </c>
      <c r="V1034" s="221"/>
      <c r="W1034" s="221"/>
    </row>
    <row r="1035" spans="1:24" ht="18.75" customHeight="1">
      <c r="A1035" s="73"/>
      <c r="B1035" s="221"/>
      <c r="C1035" s="221"/>
      <c r="D1035" s="221"/>
      <c r="E1035" s="221"/>
      <c r="F1035" s="73"/>
      <c r="G1035" s="73"/>
      <c r="H1035" s="73"/>
      <c r="I1035" s="73"/>
      <c r="J1035" s="73"/>
      <c r="K1035" s="73"/>
      <c r="M1035" s="73"/>
      <c r="N1035" s="221"/>
      <c r="O1035" s="221"/>
      <c r="P1035" s="221"/>
      <c r="Q1035" s="221"/>
      <c r="R1035" s="73"/>
      <c r="S1035" s="73"/>
      <c r="T1035" s="73"/>
      <c r="U1035" s="73"/>
      <c r="V1035" s="73"/>
      <c r="W1035" s="73"/>
    </row>
    <row r="1036" spans="1:24" ht="18.75" customHeight="1">
      <c r="A1036" s="73"/>
      <c r="B1036" s="73"/>
      <c r="C1036" s="73"/>
      <c r="D1036" s="73"/>
      <c r="E1036" s="73"/>
      <c r="F1036" s="73"/>
      <c r="G1036" s="73"/>
      <c r="H1036" s="73"/>
      <c r="I1036" s="221" t="s">
        <v>36</v>
      </c>
      <c r="J1036" s="221"/>
      <c r="K1036" s="221"/>
      <c r="M1036" s="73"/>
      <c r="N1036" s="73"/>
      <c r="O1036" s="73"/>
      <c r="P1036" s="73"/>
      <c r="Q1036" s="73"/>
      <c r="R1036" s="73"/>
      <c r="S1036" s="73"/>
      <c r="T1036" s="73"/>
      <c r="U1036" s="221" t="s">
        <v>36</v>
      </c>
      <c r="V1036" s="221"/>
      <c r="W1036" s="221"/>
    </row>
    <row r="1038" spans="1:24" ht="18.75" customHeight="1">
      <c r="A1038" s="221" t="s">
        <v>87</v>
      </c>
      <c r="B1038" s="221"/>
      <c r="C1038" s="221"/>
      <c r="D1038" s="221"/>
      <c r="E1038" s="221"/>
      <c r="F1038" s="221"/>
      <c r="G1038" s="221"/>
      <c r="H1038" s="221"/>
      <c r="I1038" s="221"/>
      <c r="J1038" s="221"/>
      <c r="K1038" s="221"/>
      <c r="L1038" s="73">
        <v>24</v>
      </c>
      <c r="M1038" s="221" t="s">
        <v>87</v>
      </c>
      <c r="N1038" s="221"/>
      <c r="O1038" s="221"/>
      <c r="P1038" s="221"/>
      <c r="Q1038" s="221"/>
      <c r="R1038" s="221"/>
      <c r="S1038" s="221"/>
      <c r="T1038" s="221"/>
      <c r="U1038" s="221"/>
      <c r="V1038" s="221"/>
      <c r="W1038" s="221"/>
      <c r="X1038" s="73">
        <v>24</v>
      </c>
    </row>
    <row r="1039" spans="1:24" ht="18.75" customHeight="1">
      <c r="A1039" s="73" t="s">
        <v>93</v>
      </c>
      <c r="B1039" s="73"/>
      <c r="C1039" s="73"/>
      <c r="D1039" s="73"/>
      <c r="E1039" s="73"/>
      <c r="F1039" s="73"/>
      <c r="G1039" s="73"/>
      <c r="H1039" s="73"/>
      <c r="I1039" s="73"/>
      <c r="J1039" s="73"/>
      <c r="K1039" s="73"/>
      <c r="M1039" s="73" t="s">
        <v>92</v>
      </c>
      <c r="N1039" s="73"/>
      <c r="O1039" s="73"/>
      <c r="P1039" s="73"/>
      <c r="Q1039" s="73"/>
      <c r="R1039" s="73"/>
      <c r="S1039" s="73"/>
      <c r="T1039" s="73"/>
      <c r="U1039" s="73"/>
      <c r="V1039" s="73"/>
      <c r="W1039" s="73"/>
    </row>
    <row r="1040" spans="1:24" ht="18.75" customHeight="1">
      <c r="A1040" s="221" t="s">
        <v>84</v>
      </c>
      <c r="B1040" s="221"/>
      <c r="C1040" s="221"/>
      <c r="D1040" s="221"/>
      <c r="E1040" s="221"/>
      <c r="F1040" s="221"/>
      <c r="G1040" s="221"/>
      <c r="H1040" s="221"/>
      <c r="I1040" s="221"/>
      <c r="J1040" s="221"/>
      <c r="K1040" s="221"/>
      <c r="M1040" s="221" t="s">
        <v>84</v>
      </c>
      <c r="N1040" s="221"/>
      <c r="O1040" s="221"/>
      <c r="P1040" s="221"/>
      <c r="Q1040" s="221"/>
      <c r="R1040" s="221"/>
      <c r="S1040" s="221"/>
      <c r="T1040" s="221"/>
      <c r="U1040" s="221"/>
      <c r="V1040" s="221"/>
      <c r="W1040" s="221"/>
    </row>
    <row r="1041" spans="1:24" ht="18.75" customHeight="1">
      <c r="A1041" s="221" t="s">
        <v>83</v>
      </c>
      <c r="B1041" s="221"/>
      <c r="C1041" s="221"/>
      <c r="D1041" s="221"/>
      <c r="E1041" s="73" t="s">
        <v>39</v>
      </c>
      <c r="F1041" s="221"/>
      <c r="G1041" s="221"/>
      <c r="H1041" s="221"/>
      <c r="I1041" s="221"/>
      <c r="J1041" s="221"/>
      <c r="K1041" s="221"/>
      <c r="M1041" s="221" t="s">
        <v>83</v>
      </c>
      <c r="N1041" s="221"/>
      <c r="O1041" s="221"/>
      <c r="P1041" s="221"/>
      <c r="Q1041" s="73" t="s">
        <v>39</v>
      </c>
      <c r="R1041" s="221"/>
      <c r="S1041" s="221"/>
      <c r="T1041" s="221"/>
      <c r="U1041" s="221"/>
      <c r="V1041" s="221"/>
      <c r="W1041" s="221"/>
    </row>
    <row r="1042" spans="1:24" ht="18.75" customHeight="1">
      <c r="A1042" s="221" t="s">
        <v>82</v>
      </c>
      <c r="B1042" s="221"/>
      <c r="C1042" s="221"/>
      <c r="D1042" s="221"/>
      <c r="E1042" s="73" t="s">
        <v>39</v>
      </c>
      <c r="F1042" s="221"/>
      <c r="G1042" s="221"/>
      <c r="H1042" s="221"/>
      <c r="I1042" s="221"/>
      <c r="J1042" s="221"/>
      <c r="K1042" s="221"/>
      <c r="M1042" s="221" t="s">
        <v>82</v>
      </c>
      <c r="N1042" s="221"/>
      <c r="O1042" s="221"/>
      <c r="P1042" s="221"/>
      <c r="Q1042" s="73" t="s">
        <v>39</v>
      </c>
      <c r="R1042" s="221"/>
      <c r="S1042" s="221"/>
      <c r="T1042" s="221"/>
      <c r="U1042" s="221"/>
      <c r="V1042" s="221"/>
      <c r="W1042" s="221"/>
    </row>
    <row r="1043" spans="1:24" ht="18.75" customHeight="1">
      <c r="A1043" s="221" t="s">
        <v>81</v>
      </c>
      <c r="B1043" s="221"/>
      <c r="C1043" s="221"/>
      <c r="D1043" s="221"/>
      <c r="E1043" s="73" t="s">
        <v>39</v>
      </c>
      <c r="F1043" s="221" t="s">
        <v>80</v>
      </c>
      <c r="G1043" s="221"/>
      <c r="H1043" s="221"/>
      <c r="I1043" s="221"/>
      <c r="J1043" s="221"/>
      <c r="K1043" s="221"/>
      <c r="M1043" s="221" t="s">
        <v>81</v>
      </c>
      <c r="N1043" s="221"/>
      <c r="O1043" s="221"/>
      <c r="P1043" s="221"/>
      <c r="Q1043" s="73" t="s">
        <v>39</v>
      </c>
      <c r="R1043" s="221" t="s">
        <v>80</v>
      </c>
      <c r="S1043" s="221"/>
      <c r="T1043" s="221"/>
      <c r="U1043" s="221"/>
      <c r="V1043" s="221"/>
      <c r="W1043" s="221"/>
    </row>
    <row r="1044" spans="1:24" ht="18.75" customHeight="1">
      <c r="A1044" s="221" t="s">
        <v>79</v>
      </c>
      <c r="B1044" s="221"/>
      <c r="C1044" s="221"/>
      <c r="D1044" s="221"/>
      <c r="E1044" s="221"/>
      <c r="F1044" s="221"/>
      <c r="G1044" s="221"/>
      <c r="H1044" s="221"/>
      <c r="I1044" s="221"/>
      <c r="J1044" s="221"/>
      <c r="K1044" s="221"/>
      <c r="M1044" s="221" t="s">
        <v>79</v>
      </c>
      <c r="N1044" s="221"/>
      <c r="O1044" s="221"/>
      <c r="P1044" s="221"/>
      <c r="Q1044" s="221"/>
      <c r="R1044" s="221"/>
      <c r="S1044" s="221"/>
      <c r="T1044" s="221"/>
      <c r="U1044" s="221"/>
      <c r="V1044" s="221"/>
      <c r="W1044" s="221"/>
    </row>
    <row r="1045" spans="1:24" ht="18.75" customHeight="1">
      <c r="A1045" s="221" t="s">
        <v>78</v>
      </c>
      <c r="B1045" s="221"/>
      <c r="C1045" s="221"/>
      <c r="D1045" s="221"/>
      <c r="E1045" s="73" t="s">
        <v>39</v>
      </c>
      <c r="F1045" s="221">
        <v>2915400</v>
      </c>
      <c r="G1045" s="221"/>
      <c r="H1045" s="221"/>
      <c r="I1045" s="221"/>
      <c r="J1045" s="73" t="s">
        <v>38</v>
      </c>
      <c r="K1045" s="73"/>
      <c r="M1045" s="221" t="s">
        <v>78</v>
      </c>
      <c r="N1045" s="221"/>
      <c r="O1045" s="221"/>
      <c r="P1045" s="221"/>
      <c r="Q1045" s="73" t="s">
        <v>39</v>
      </c>
      <c r="R1045" s="221">
        <v>2915400</v>
      </c>
      <c r="S1045" s="221"/>
      <c r="T1045" s="221"/>
      <c r="U1045" s="221"/>
      <c r="V1045" s="73" t="s">
        <v>38</v>
      </c>
      <c r="W1045" s="73"/>
    </row>
    <row r="1046" spans="1:24" ht="18.75" customHeight="1">
      <c r="A1046" s="73" t="s">
        <v>77</v>
      </c>
      <c r="B1046" s="73"/>
      <c r="C1046" s="73"/>
      <c r="D1046" s="73"/>
      <c r="E1046" s="73"/>
      <c r="F1046" s="73"/>
      <c r="G1046" s="73"/>
      <c r="H1046" s="73"/>
      <c r="I1046" s="73"/>
      <c r="J1046" s="73"/>
      <c r="K1046" s="73"/>
      <c r="M1046" s="73" t="s">
        <v>77</v>
      </c>
      <c r="N1046" s="73"/>
      <c r="O1046" s="73"/>
      <c r="P1046" s="73"/>
      <c r="Q1046" s="73"/>
      <c r="R1046" s="73"/>
      <c r="S1046" s="73"/>
      <c r="T1046" s="73"/>
      <c r="U1046" s="73"/>
      <c r="V1046" s="73"/>
      <c r="W1046" s="73"/>
    </row>
    <row r="1047" spans="1:24" ht="18.75" customHeight="1">
      <c r="A1047" s="73" t="s">
        <v>76</v>
      </c>
      <c r="B1047" s="73"/>
      <c r="C1047" s="73"/>
      <c r="D1047" s="73"/>
      <c r="E1047" s="73"/>
      <c r="F1047" s="73"/>
      <c r="G1047" s="73"/>
      <c r="H1047" s="73"/>
      <c r="I1047" s="73" t="e">
        <f>I1048/C1048/8</f>
        <v>#DIV/0!</v>
      </c>
      <c r="J1047" s="73"/>
      <c r="K1047" s="73"/>
      <c r="M1047" s="73" t="s">
        <v>76</v>
      </c>
      <c r="N1047" s="73"/>
      <c r="O1047" s="73"/>
      <c r="P1047" s="73"/>
      <c r="Q1047" s="73"/>
      <c r="R1047" s="73"/>
      <c r="S1047" s="73"/>
      <c r="T1047" s="73"/>
      <c r="U1047" s="73" t="e">
        <f>U1048/O1048/8</f>
        <v>#DIV/0!</v>
      </c>
      <c r="V1047" s="73"/>
      <c r="W1047" s="73"/>
    </row>
    <row r="1048" spans="1:24" ht="18.75" customHeight="1">
      <c r="A1048" s="73" t="s">
        <v>75</v>
      </c>
      <c r="B1048" s="73" t="s">
        <v>39</v>
      </c>
      <c r="C1048" s="73"/>
      <c r="D1048" s="73" t="s">
        <v>52</v>
      </c>
      <c r="E1048" s="221" t="s">
        <v>74</v>
      </c>
      <c r="F1048" s="221"/>
      <c r="G1048" s="221"/>
      <c r="H1048" s="73" t="s">
        <v>39</v>
      </c>
      <c r="I1048" s="221" t="e">
        <f>I1046*680/((C1048-C1055)*8+C1055*7+C1052)*((C1048-C1055)*8+C1055*7)</f>
        <v>#DIV/0!</v>
      </c>
      <c r="J1048" s="221"/>
      <c r="K1048" s="73" t="s">
        <v>38</v>
      </c>
      <c r="L1048" s="73">
        <f>F1045/L1038*C1048</f>
        <v>0</v>
      </c>
      <c r="M1048" s="73" t="s">
        <v>75</v>
      </c>
      <c r="N1048" s="73" t="s">
        <v>39</v>
      </c>
      <c r="O1048" s="73"/>
      <c r="P1048" s="73" t="s">
        <v>52</v>
      </c>
      <c r="Q1048" s="221" t="s">
        <v>74</v>
      </c>
      <c r="R1048" s="221"/>
      <c r="S1048" s="221"/>
      <c r="T1048" s="73" t="s">
        <v>39</v>
      </c>
      <c r="U1048" s="221" t="e">
        <f>U1046*680/((O1048-O1055)*8+O1055*7+O1052)*((O1048-O1055)*8+O1055*7)</f>
        <v>#DIV/0!</v>
      </c>
      <c r="V1048" s="221"/>
      <c r="W1048" s="73" t="s">
        <v>38</v>
      </c>
      <c r="X1048" s="73">
        <f>R1045/X1038*O1048</f>
        <v>0</v>
      </c>
    </row>
    <row r="1049" spans="1:24" ht="18.75" customHeight="1">
      <c r="A1049" s="73" t="s">
        <v>73</v>
      </c>
      <c r="B1049" s="73" t="s">
        <v>39</v>
      </c>
      <c r="C1049" s="73"/>
      <c r="D1049" s="73" t="s">
        <v>52</v>
      </c>
      <c r="E1049" s="221" t="s">
        <v>72</v>
      </c>
      <c r="F1049" s="221"/>
      <c r="G1049" s="221"/>
      <c r="H1049" s="73" t="s">
        <v>39</v>
      </c>
      <c r="I1049" s="221">
        <f>$F$8/$L$1*C1049</f>
        <v>0</v>
      </c>
      <c r="J1049" s="221"/>
      <c r="K1049" s="73" t="s">
        <v>38</v>
      </c>
      <c r="L1049" s="73"/>
      <c r="M1049" s="73" t="s">
        <v>73</v>
      </c>
      <c r="N1049" s="73" t="s">
        <v>39</v>
      </c>
      <c r="O1049" s="73"/>
      <c r="P1049" s="73" t="s">
        <v>52</v>
      </c>
      <c r="Q1049" s="221" t="s">
        <v>72</v>
      </c>
      <c r="R1049" s="221"/>
      <c r="S1049" s="221"/>
      <c r="T1049" s="73" t="s">
        <v>39</v>
      </c>
      <c r="U1049" s="221">
        <f>$F$8/$L$1*O1049</f>
        <v>0</v>
      </c>
      <c r="V1049" s="221"/>
      <c r="W1049" s="73" t="s">
        <v>38</v>
      </c>
      <c r="X1049" s="73"/>
    </row>
    <row r="1050" spans="1:24" ht="18.75" customHeight="1">
      <c r="A1050" s="73" t="s">
        <v>71</v>
      </c>
      <c r="B1050" s="73" t="s">
        <v>39</v>
      </c>
      <c r="C1050" s="73"/>
      <c r="D1050" s="73" t="s">
        <v>52</v>
      </c>
      <c r="E1050" s="221" t="s">
        <v>70</v>
      </c>
      <c r="F1050" s="221"/>
      <c r="G1050" s="221"/>
      <c r="H1050" s="73" t="s">
        <v>39</v>
      </c>
      <c r="I1050" s="221">
        <f>$F$8/$L$1*C1050</f>
        <v>0</v>
      </c>
      <c r="J1050" s="221"/>
      <c r="K1050" s="73" t="s">
        <v>38</v>
      </c>
      <c r="L1050" s="73"/>
      <c r="M1050" s="73" t="s">
        <v>71</v>
      </c>
      <c r="N1050" s="73" t="s">
        <v>39</v>
      </c>
      <c r="O1050" s="73"/>
      <c r="P1050" s="73" t="s">
        <v>52</v>
      </c>
      <c r="Q1050" s="221" t="s">
        <v>70</v>
      </c>
      <c r="R1050" s="221"/>
      <c r="S1050" s="221"/>
      <c r="T1050" s="73" t="s">
        <v>39</v>
      </c>
      <c r="U1050" s="221">
        <f>$F$8/$L$1*O1050</f>
        <v>0</v>
      </c>
      <c r="V1050" s="221"/>
      <c r="W1050" s="73" t="s">
        <v>38</v>
      </c>
      <c r="X1050" s="73"/>
    </row>
    <row r="1051" spans="1:24" ht="18.75" customHeight="1">
      <c r="A1051" s="73" t="s">
        <v>69</v>
      </c>
      <c r="B1051" s="73" t="s">
        <v>39</v>
      </c>
      <c r="C1051" s="73"/>
      <c r="D1051" s="73" t="s">
        <v>52</v>
      </c>
      <c r="E1051" s="221" t="s">
        <v>68</v>
      </c>
      <c r="F1051" s="221"/>
      <c r="G1051" s="221"/>
      <c r="H1051" s="73" t="s">
        <v>39</v>
      </c>
      <c r="I1051" s="221">
        <f>$F$8/$L$1*C1051</f>
        <v>0</v>
      </c>
      <c r="J1051" s="221"/>
      <c r="K1051" s="73" t="s">
        <v>38</v>
      </c>
      <c r="L1051" s="73"/>
      <c r="M1051" s="73" t="s">
        <v>69</v>
      </c>
      <c r="N1051" s="73" t="s">
        <v>39</v>
      </c>
      <c r="O1051" s="73"/>
      <c r="P1051" s="73" t="s">
        <v>52</v>
      </c>
      <c r="Q1051" s="221" t="s">
        <v>68</v>
      </c>
      <c r="R1051" s="221"/>
      <c r="S1051" s="221"/>
      <c r="T1051" s="73" t="s">
        <v>39</v>
      </c>
      <c r="U1051" s="221">
        <f>$F$8/$L$1*O1051</f>
        <v>0</v>
      </c>
      <c r="V1051" s="221"/>
      <c r="W1051" s="73" t="s">
        <v>38</v>
      </c>
      <c r="X1051" s="73"/>
    </row>
    <row r="1052" spans="1:24" ht="18.75" customHeight="1">
      <c r="A1052" s="73" t="s">
        <v>67</v>
      </c>
      <c r="B1052" s="73" t="s">
        <v>39</v>
      </c>
      <c r="C1052" s="73"/>
      <c r="D1052" s="73" t="s">
        <v>58</v>
      </c>
      <c r="E1052" s="221" t="s">
        <v>66</v>
      </c>
      <c r="F1052" s="221"/>
      <c r="G1052" s="221"/>
      <c r="H1052" s="73" t="s">
        <v>39</v>
      </c>
      <c r="I1052" s="221" t="e">
        <f>I1048/C1048/8*C1052</f>
        <v>#DIV/0!</v>
      </c>
      <c r="J1052" s="221"/>
      <c r="K1052" s="73" t="s">
        <v>38</v>
      </c>
      <c r="L1052" s="73">
        <f>F1045*C1052/L1038/8*1.5</f>
        <v>0</v>
      </c>
      <c r="M1052" s="73" t="s">
        <v>67</v>
      </c>
      <c r="N1052" s="73" t="s">
        <v>39</v>
      </c>
      <c r="O1052" s="73"/>
      <c r="P1052" s="73" t="s">
        <v>58</v>
      </c>
      <c r="Q1052" s="221" t="s">
        <v>66</v>
      </c>
      <c r="R1052" s="221"/>
      <c r="S1052" s="221"/>
      <c r="T1052" s="73" t="s">
        <v>39</v>
      </c>
      <c r="U1052" s="221" t="e">
        <f>U1048/O1048/8*O1052</f>
        <v>#DIV/0!</v>
      </c>
      <c r="V1052" s="221"/>
      <c r="W1052" s="73" t="s">
        <v>38</v>
      </c>
      <c r="X1052" s="73">
        <f>R1045*O1052/X1038/8*1.5</f>
        <v>0</v>
      </c>
    </row>
    <row r="1053" spans="1:24" ht="18.75" customHeight="1">
      <c r="A1053" s="221" t="s">
        <v>65</v>
      </c>
      <c r="B1053" s="221"/>
      <c r="C1053" s="73"/>
      <c r="D1053" s="73" t="s">
        <v>52</v>
      </c>
      <c r="E1053" s="221" t="s">
        <v>64</v>
      </c>
      <c r="F1053" s="221"/>
      <c r="G1053" s="221"/>
      <c r="H1053" s="73" t="s">
        <v>39</v>
      </c>
      <c r="I1053" s="221"/>
      <c r="J1053" s="221"/>
      <c r="K1053" s="73" t="s">
        <v>38</v>
      </c>
      <c r="L1053" s="73"/>
      <c r="M1053" s="221" t="s">
        <v>65</v>
      </c>
      <c r="N1053" s="221"/>
      <c r="O1053" s="73"/>
      <c r="P1053" s="73" t="s">
        <v>52</v>
      </c>
      <c r="Q1053" s="221" t="s">
        <v>64</v>
      </c>
      <c r="R1053" s="221"/>
      <c r="S1053" s="221"/>
      <c r="T1053" s="73" t="s">
        <v>39</v>
      </c>
      <c r="U1053" s="221"/>
      <c r="V1053" s="221"/>
      <c r="W1053" s="73" t="s">
        <v>38</v>
      </c>
      <c r="X1053" s="73"/>
    </row>
    <row r="1054" spans="1:24" ht="18.75" customHeight="1">
      <c r="A1054" s="73" t="s">
        <v>63</v>
      </c>
      <c r="B1054" s="73" t="s">
        <v>39</v>
      </c>
      <c r="C1054" s="73"/>
      <c r="D1054" s="73" t="s">
        <v>52</v>
      </c>
      <c r="E1054" s="221" t="s">
        <v>62</v>
      </c>
      <c r="F1054" s="221"/>
      <c r="G1054" s="221"/>
      <c r="H1054" s="73" t="s">
        <v>39</v>
      </c>
      <c r="I1054" s="221"/>
      <c r="J1054" s="221"/>
      <c r="K1054" s="73" t="s">
        <v>38</v>
      </c>
      <c r="L1054" s="73"/>
      <c r="M1054" s="73" t="s">
        <v>63</v>
      </c>
      <c r="N1054" s="73" t="s">
        <v>39</v>
      </c>
      <c r="O1054" s="73"/>
      <c r="P1054" s="73" t="s">
        <v>52</v>
      </c>
      <c r="Q1054" s="221" t="s">
        <v>62</v>
      </c>
      <c r="R1054" s="221"/>
      <c r="S1054" s="221"/>
      <c r="T1054" s="73" t="s">
        <v>39</v>
      </c>
      <c r="U1054" s="221"/>
      <c r="V1054" s="221"/>
      <c r="W1054" s="73" t="s">
        <v>38</v>
      </c>
      <c r="X1054" s="73"/>
    </row>
    <row r="1055" spans="1:24" ht="18.75" customHeight="1">
      <c r="A1055" s="73" t="s">
        <v>61</v>
      </c>
      <c r="B1055" s="73"/>
      <c r="C1055" s="73"/>
      <c r="D1055" s="73" t="s">
        <v>58</v>
      </c>
      <c r="E1055" s="221" t="s">
        <v>60</v>
      </c>
      <c r="F1055" s="221"/>
      <c r="G1055" s="221"/>
      <c r="H1055" s="73" t="s">
        <v>39</v>
      </c>
      <c r="I1055" s="221">
        <f>$F$8*C1055/8/$L$1</f>
        <v>0</v>
      </c>
      <c r="J1055" s="221"/>
      <c r="K1055" s="73" t="s">
        <v>38</v>
      </c>
      <c r="L1055" s="73"/>
      <c r="M1055" s="73" t="s">
        <v>61</v>
      </c>
      <c r="N1055" s="73"/>
      <c r="O1055" s="73"/>
      <c r="P1055" s="73" t="s">
        <v>58</v>
      </c>
      <c r="Q1055" s="221" t="s">
        <v>60</v>
      </c>
      <c r="R1055" s="221"/>
      <c r="S1055" s="221"/>
      <c r="T1055" s="73" t="s">
        <v>39</v>
      </c>
      <c r="U1055" s="221">
        <f>$F$8*O1055/8/$L$1</f>
        <v>0</v>
      </c>
      <c r="V1055" s="221"/>
      <c r="W1055" s="73" t="s">
        <v>38</v>
      </c>
      <c r="X1055" s="73"/>
    </row>
    <row r="1056" spans="1:24" ht="18.75" customHeight="1">
      <c r="A1056" s="73" t="s">
        <v>59</v>
      </c>
      <c r="B1056" s="73" t="s">
        <v>39</v>
      </c>
      <c r="C1056" s="73"/>
      <c r="D1056" s="73" t="s">
        <v>58</v>
      </c>
      <c r="E1056" s="221" t="s">
        <v>57</v>
      </c>
      <c r="F1056" s="221"/>
      <c r="G1056" s="221"/>
      <c r="H1056" s="73" t="s">
        <v>39</v>
      </c>
      <c r="I1056" s="221"/>
      <c r="J1056" s="221"/>
      <c r="K1056" s="73" t="s">
        <v>38</v>
      </c>
      <c r="L1056" s="73"/>
      <c r="M1056" s="73" t="s">
        <v>59</v>
      </c>
      <c r="N1056" s="73" t="s">
        <v>39</v>
      </c>
      <c r="O1056" s="73"/>
      <c r="P1056" s="73" t="s">
        <v>58</v>
      </c>
      <c r="Q1056" s="221" t="s">
        <v>57</v>
      </c>
      <c r="R1056" s="221"/>
      <c r="S1056" s="221"/>
      <c r="T1056" s="73" t="s">
        <v>39</v>
      </c>
      <c r="U1056" s="221"/>
      <c r="V1056" s="221"/>
      <c r="W1056" s="73" t="s">
        <v>38</v>
      </c>
      <c r="X1056" s="73"/>
    </row>
    <row r="1057" spans="1:24" ht="18.75" customHeight="1">
      <c r="A1057" s="73" t="s">
        <v>56</v>
      </c>
      <c r="B1057" s="73" t="s">
        <v>39</v>
      </c>
      <c r="C1057" s="73"/>
      <c r="D1057" s="73" t="s">
        <v>55</v>
      </c>
      <c r="E1057" s="73" t="s">
        <v>54</v>
      </c>
      <c r="F1057" s="73"/>
      <c r="G1057" s="73"/>
      <c r="H1057" s="73" t="s">
        <v>39</v>
      </c>
      <c r="I1057" s="221"/>
      <c r="J1057" s="221"/>
      <c r="K1057" s="73" t="s">
        <v>38</v>
      </c>
      <c r="L1057" s="73" t="e">
        <f>+IF(L1048-I1048&lt;0,0,L1048-I1048)+IF(L1052-I1052&lt;0,0,L1052-I1052)</f>
        <v>#DIV/0!</v>
      </c>
      <c r="M1057" s="73" t="s">
        <v>56</v>
      </c>
      <c r="N1057" s="73" t="s">
        <v>39</v>
      </c>
      <c r="O1057" s="73"/>
      <c r="P1057" s="73" t="s">
        <v>55</v>
      </c>
      <c r="Q1057" s="73" t="s">
        <v>54</v>
      </c>
      <c r="R1057" s="73"/>
      <c r="S1057" s="73"/>
      <c r="T1057" s="73" t="s">
        <v>39</v>
      </c>
      <c r="U1057" s="221"/>
      <c r="V1057" s="221"/>
      <c r="W1057" s="73" t="s">
        <v>38</v>
      </c>
      <c r="X1057" s="73" t="e">
        <f>+IF(X1048-U1048&lt;0,0,X1048-U1048)+IF(X1052-U1052&lt;0,0,X1052-U1052)</f>
        <v>#DIV/0!</v>
      </c>
    </row>
    <row r="1058" spans="1:24" ht="18.75" customHeight="1">
      <c r="A1058" s="73" t="s">
        <v>53</v>
      </c>
      <c r="B1058" s="73"/>
      <c r="C1058" s="73"/>
      <c r="D1058" s="73" t="s">
        <v>52</v>
      </c>
      <c r="E1058" s="221" t="s">
        <v>51</v>
      </c>
      <c r="F1058" s="221"/>
      <c r="G1058" s="221"/>
      <c r="H1058" s="73" t="s">
        <v>39</v>
      </c>
      <c r="I1058" s="221"/>
      <c r="J1058" s="221"/>
      <c r="K1058" s="73" t="s">
        <v>38</v>
      </c>
      <c r="L1058" s="73"/>
      <c r="M1058" s="73" t="s">
        <v>53</v>
      </c>
      <c r="N1058" s="73"/>
      <c r="O1058" s="73"/>
      <c r="P1058" s="73" t="s">
        <v>52</v>
      </c>
      <c r="Q1058" s="221" t="s">
        <v>51</v>
      </c>
      <c r="R1058" s="221"/>
      <c r="S1058" s="221"/>
      <c r="T1058" s="73" t="s">
        <v>39</v>
      </c>
      <c r="U1058" s="221"/>
      <c r="V1058" s="221"/>
      <c r="W1058" s="73" t="s">
        <v>38</v>
      </c>
      <c r="X1058" s="73"/>
    </row>
    <row r="1059" spans="1:24" ht="18.75" customHeight="1">
      <c r="A1059" s="221" t="s">
        <v>50</v>
      </c>
      <c r="B1059" s="221"/>
      <c r="C1059" s="73"/>
      <c r="D1059" s="73"/>
      <c r="E1059" s="73"/>
      <c r="F1059" s="73"/>
      <c r="G1059" s="73"/>
      <c r="H1059" s="73" t="s">
        <v>39</v>
      </c>
      <c r="I1059" s="221"/>
      <c r="J1059" s="221"/>
      <c r="K1059" s="73" t="s">
        <v>38</v>
      </c>
      <c r="L1059" s="73"/>
      <c r="M1059" s="221" t="s">
        <v>50</v>
      </c>
      <c r="N1059" s="221"/>
      <c r="O1059" s="73"/>
      <c r="P1059" s="73"/>
      <c r="Q1059" s="73"/>
      <c r="R1059" s="73"/>
      <c r="S1059" s="73"/>
      <c r="T1059" s="73" t="s">
        <v>39</v>
      </c>
      <c r="U1059" s="221"/>
      <c r="V1059" s="221"/>
      <c r="W1059" s="73" t="s">
        <v>38</v>
      </c>
      <c r="X1059" s="73"/>
    </row>
    <row r="1060" spans="1:24" ht="18.75" customHeight="1">
      <c r="A1060" s="73" t="s">
        <v>49</v>
      </c>
      <c r="B1060" s="73" t="s">
        <v>39</v>
      </c>
      <c r="C1060" s="73"/>
      <c r="D1060" s="73"/>
      <c r="E1060" s="73" t="s">
        <v>48</v>
      </c>
      <c r="F1060" s="73"/>
      <c r="G1060" s="73"/>
      <c r="H1060" s="73" t="s">
        <v>39</v>
      </c>
      <c r="I1060" s="221" t="e">
        <f>L1057</f>
        <v>#DIV/0!</v>
      </c>
      <c r="J1060" s="221"/>
      <c r="K1060" s="73" t="s">
        <v>38</v>
      </c>
      <c r="L1060" s="73"/>
      <c r="M1060" s="73" t="s">
        <v>49</v>
      </c>
      <c r="N1060" s="73" t="s">
        <v>39</v>
      </c>
      <c r="O1060" s="73"/>
      <c r="P1060" s="73"/>
      <c r="Q1060" s="73" t="s">
        <v>48</v>
      </c>
      <c r="R1060" s="73"/>
      <c r="S1060" s="73"/>
      <c r="T1060" s="73" t="s">
        <v>39</v>
      </c>
      <c r="U1060" s="221" t="e">
        <f>X1057</f>
        <v>#DIV/0!</v>
      </c>
      <c r="V1060" s="221"/>
      <c r="W1060" s="73" t="s">
        <v>38</v>
      </c>
      <c r="X1060" s="73"/>
    </row>
    <row r="1061" spans="1:24" ht="18.75" customHeight="1">
      <c r="A1061" s="221" t="s">
        <v>47</v>
      </c>
      <c r="B1061" s="221"/>
      <c r="C1061" s="221"/>
      <c r="D1061" s="221"/>
      <c r="E1061" s="221"/>
      <c r="F1061" s="221"/>
      <c r="G1061" s="73" t="s">
        <v>39</v>
      </c>
      <c r="H1061" s="221" t="e">
        <f>I1048+I1049+I1050+I1051+I1052+I1055+I1059+I1060</f>
        <v>#DIV/0!</v>
      </c>
      <c r="I1061" s="221"/>
      <c r="J1061" s="221"/>
      <c r="K1061" s="73" t="s">
        <v>38</v>
      </c>
      <c r="M1061" s="221" t="s">
        <v>47</v>
      </c>
      <c r="N1061" s="221"/>
      <c r="O1061" s="221"/>
      <c r="P1061" s="221"/>
      <c r="Q1061" s="221"/>
      <c r="R1061" s="221"/>
      <c r="S1061" s="73" t="s">
        <v>39</v>
      </c>
      <c r="T1061" s="221" t="e">
        <f>U1048+U1049+U1050+U1051+U1052+U1055+U1059+U1060</f>
        <v>#DIV/0!</v>
      </c>
      <c r="U1061" s="221"/>
      <c r="V1061" s="221"/>
      <c r="W1061" s="73" t="s">
        <v>38</v>
      </c>
    </row>
    <row r="1062" spans="1:24" ht="18.75" customHeight="1">
      <c r="A1062" s="73"/>
      <c r="B1062" s="73"/>
      <c r="C1062" s="73"/>
      <c r="D1062" s="73"/>
      <c r="E1062" s="73"/>
      <c r="F1062" s="73"/>
      <c r="G1062" s="73"/>
      <c r="H1062" s="73"/>
      <c r="I1062" s="73"/>
      <c r="J1062" s="73"/>
      <c r="K1062" s="73"/>
      <c r="M1062" s="73"/>
      <c r="N1062" s="73"/>
      <c r="O1062" s="73"/>
      <c r="P1062" s="73"/>
      <c r="Q1062" s="73"/>
      <c r="R1062" s="73"/>
      <c r="S1062" s="73"/>
      <c r="T1062" s="73"/>
      <c r="U1062" s="73"/>
      <c r="V1062" s="73"/>
      <c r="W1062" s="73"/>
    </row>
    <row r="1063" spans="1:24" ht="18.75" customHeight="1">
      <c r="A1063" s="221" t="s">
        <v>46</v>
      </c>
      <c r="B1063" s="221"/>
      <c r="C1063" s="221"/>
      <c r="D1063" s="221"/>
      <c r="E1063" s="221"/>
      <c r="F1063" s="221"/>
      <c r="G1063" s="73"/>
      <c r="H1063" s="73"/>
      <c r="I1063" s="73"/>
      <c r="J1063" s="73"/>
      <c r="K1063" s="73"/>
      <c r="M1063" s="221" t="s">
        <v>46</v>
      </c>
      <c r="N1063" s="221"/>
      <c r="O1063" s="221"/>
      <c r="P1063" s="221"/>
      <c r="Q1063" s="221"/>
      <c r="R1063" s="221"/>
      <c r="S1063" s="73"/>
      <c r="T1063" s="73"/>
      <c r="U1063" s="73"/>
      <c r="V1063" s="73"/>
      <c r="W1063" s="73"/>
    </row>
    <row r="1064" spans="1:24" ht="18.75" customHeight="1">
      <c r="A1064" s="221" t="s">
        <v>45</v>
      </c>
      <c r="B1064" s="221"/>
      <c r="C1064" s="221"/>
      <c r="D1064" s="221"/>
      <c r="E1064" s="221"/>
      <c r="F1064" s="221"/>
      <c r="G1064" s="73" t="s">
        <v>39</v>
      </c>
      <c r="H1064" s="221">
        <f>IF(($L$1-(C1048+C1049+C1050+C1051))&gt;12,0,F1045*8%)</f>
        <v>0</v>
      </c>
      <c r="I1064" s="221"/>
      <c r="J1064" s="221"/>
      <c r="K1064" s="73" t="s">
        <v>38</v>
      </c>
      <c r="M1064" s="221" t="s">
        <v>45</v>
      </c>
      <c r="N1064" s="221"/>
      <c r="O1064" s="221"/>
      <c r="P1064" s="221"/>
      <c r="Q1064" s="221"/>
      <c r="R1064" s="221"/>
      <c r="S1064" s="73" t="s">
        <v>39</v>
      </c>
      <c r="T1064" s="221">
        <f>IF(($L$1-(O1048+O1049+O1050+O1051))&gt;12,0,R1045*8%)</f>
        <v>0</v>
      </c>
      <c r="U1064" s="221"/>
      <c r="V1064" s="221"/>
      <c r="W1064" s="73" t="s">
        <v>38</v>
      </c>
    </row>
    <row r="1065" spans="1:24" ht="18.75" customHeight="1">
      <c r="A1065" s="221" t="s">
        <v>44</v>
      </c>
      <c r="B1065" s="221"/>
      <c r="C1065" s="221"/>
      <c r="D1065" s="221"/>
      <c r="E1065" s="221"/>
      <c r="F1065" s="221"/>
      <c r="G1065" s="73" t="s">
        <v>39</v>
      </c>
      <c r="H1065" s="221">
        <f>IF(($L$1-(C1048+C1049+C1050+C1051))&gt;12,0,F1045*1.5%)</f>
        <v>0</v>
      </c>
      <c r="I1065" s="221"/>
      <c r="J1065" s="221"/>
      <c r="K1065" s="73" t="s">
        <v>38</v>
      </c>
      <c r="M1065" s="221" t="s">
        <v>44</v>
      </c>
      <c r="N1065" s="221"/>
      <c r="O1065" s="221"/>
      <c r="P1065" s="221"/>
      <c r="Q1065" s="221"/>
      <c r="R1065" s="221"/>
      <c r="S1065" s="73" t="s">
        <v>39</v>
      </c>
      <c r="T1065" s="221">
        <f>IF(($L$1-(O1048+O1049+O1050+O1051))&gt;12,0,R1045*1.5%)</f>
        <v>0</v>
      </c>
      <c r="U1065" s="221"/>
      <c r="V1065" s="221"/>
      <c r="W1065" s="73" t="s">
        <v>38</v>
      </c>
    </row>
    <row r="1066" spans="1:24" ht="18.75" customHeight="1">
      <c r="A1066" s="221" t="s">
        <v>43</v>
      </c>
      <c r="B1066" s="221"/>
      <c r="C1066" s="221"/>
      <c r="D1066" s="221"/>
      <c r="E1066" s="221"/>
      <c r="F1066" s="221"/>
      <c r="G1066" s="73" t="s">
        <v>39</v>
      </c>
      <c r="H1066" s="221">
        <f>IF(($L$1-(C1048+C1049+C1050+C1051))&gt;12,0,F1045*1%)</f>
        <v>0</v>
      </c>
      <c r="I1066" s="221"/>
      <c r="J1066" s="221"/>
      <c r="K1066" s="73" t="s">
        <v>38</v>
      </c>
      <c r="M1066" s="221" t="s">
        <v>43</v>
      </c>
      <c r="N1066" s="221"/>
      <c r="O1066" s="221"/>
      <c r="P1066" s="221"/>
      <c r="Q1066" s="221"/>
      <c r="R1066" s="221"/>
      <c r="S1066" s="73" t="s">
        <v>39</v>
      </c>
      <c r="T1066" s="221">
        <f>IF(($L$1-(O1048+O1049+O1050+O1051))&gt;12,0,R1045*1%)</f>
        <v>0</v>
      </c>
      <c r="U1066" s="221"/>
      <c r="V1066" s="221"/>
      <c r="W1066" s="73" t="s">
        <v>38</v>
      </c>
    </row>
    <row r="1067" spans="1:24" ht="18.75" customHeight="1">
      <c r="A1067" s="221" t="s">
        <v>42</v>
      </c>
      <c r="B1067" s="221"/>
      <c r="C1067" s="221"/>
      <c r="D1067" s="221"/>
      <c r="E1067" s="221"/>
      <c r="F1067" s="221"/>
      <c r="G1067" s="73" t="s">
        <v>39</v>
      </c>
      <c r="H1067" s="221">
        <v>0</v>
      </c>
      <c r="I1067" s="221"/>
      <c r="J1067" s="221"/>
      <c r="K1067" s="73" t="s">
        <v>38</v>
      </c>
      <c r="M1067" s="221" t="s">
        <v>42</v>
      </c>
      <c r="N1067" s="221"/>
      <c r="O1067" s="221"/>
      <c r="P1067" s="221"/>
      <c r="Q1067" s="221"/>
      <c r="R1067" s="221"/>
      <c r="S1067" s="73" t="s">
        <v>39</v>
      </c>
      <c r="T1067" s="221">
        <v>0</v>
      </c>
      <c r="U1067" s="221"/>
      <c r="V1067" s="221"/>
      <c r="W1067" s="73" t="s">
        <v>38</v>
      </c>
    </row>
    <row r="1068" spans="1:24" ht="18.75" customHeight="1">
      <c r="A1068" s="221" t="s">
        <v>41</v>
      </c>
      <c r="B1068" s="221"/>
      <c r="C1068" s="221"/>
      <c r="D1068" s="221"/>
      <c r="E1068" s="221"/>
      <c r="F1068" s="221"/>
      <c r="G1068" s="73" t="s">
        <v>39</v>
      </c>
      <c r="H1068" s="221">
        <f>SUM(H1064:J1067)</f>
        <v>0</v>
      </c>
      <c r="I1068" s="221"/>
      <c r="J1068" s="221"/>
      <c r="K1068" s="73" t="s">
        <v>38</v>
      </c>
      <c r="M1068" s="221" t="s">
        <v>41</v>
      </c>
      <c r="N1068" s="221"/>
      <c r="O1068" s="221"/>
      <c r="P1068" s="221"/>
      <c r="Q1068" s="221"/>
      <c r="R1068" s="221"/>
      <c r="S1068" s="73" t="s">
        <v>39</v>
      </c>
      <c r="T1068" s="221">
        <f>SUM(T1064:V1067)</f>
        <v>0</v>
      </c>
      <c r="U1068" s="221"/>
      <c r="V1068" s="221"/>
      <c r="W1068" s="73" t="s">
        <v>38</v>
      </c>
    </row>
    <row r="1069" spans="1:24" ht="18.75" customHeight="1">
      <c r="A1069" s="221" t="s">
        <v>40</v>
      </c>
      <c r="B1069" s="221"/>
      <c r="C1069" s="221"/>
      <c r="D1069" s="221"/>
      <c r="E1069" s="221"/>
      <c r="F1069" s="221"/>
      <c r="G1069" s="73" t="s">
        <v>39</v>
      </c>
      <c r="H1069" s="221" t="e">
        <f>ROUND(H1061-H1068,-2)</f>
        <v>#DIV/0!</v>
      </c>
      <c r="I1069" s="221"/>
      <c r="J1069" s="221"/>
      <c r="K1069" s="73" t="s">
        <v>38</v>
      </c>
      <c r="M1069" s="221" t="s">
        <v>40</v>
      </c>
      <c r="N1069" s="221"/>
      <c r="O1069" s="221"/>
      <c r="P1069" s="221"/>
      <c r="Q1069" s="221"/>
      <c r="R1069" s="221"/>
      <c r="S1069" s="73" t="s">
        <v>39</v>
      </c>
      <c r="T1069" s="221" t="e">
        <f>ROUND(T1061-T1068,-2)</f>
        <v>#DIV/0!</v>
      </c>
      <c r="U1069" s="221"/>
      <c r="V1069" s="221"/>
      <c r="W1069" s="73" t="s">
        <v>38</v>
      </c>
    </row>
    <row r="1070" spans="1:24" ht="18.75" customHeight="1">
      <c r="A1070" s="73"/>
      <c r="B1070" s="73"/>
      <c r="C1070" s="73"/>
      <c r="D1070" s="73"/>
      <c r="E1070" s="73"/>
      <c r="F1070" s="73"/>
      <c r="G1070" s="73"/>
      <c r="H1070" s="73"/>
      <c r="I1070" s="73"/>
      <c r="J1070" s="73"/>
      <c r="K1070" s="73"/>
      <c r="M1070" s="73"/>
      <c r="N1070" s="73"/>
      <c r="O1070" s="73"/>
      <c r="P1070" s="73"/>
      <c r="Q1070" s="73"/>
      <c r="R1070" s="73"/>
      <c r="S1070" s="73"/>
      <c r="T1070" s="73"/>
      <c r="U1070" s="73"/>
      <c r="V1070" s="73"/>
      <c r="W1070" s="73"/>
    </row>
    <row r="1071" spans="1:24" ht="18.75" customHeight="1">
      <c r="A1071" s="73"/>
      <c r="B1071" s="73"/>
      <c r="C1071" s="73"/>
      <c r="D1071" s="73"/>
      <c r="E1071" s="73"/>
      <c r="F1071" s="73"/>
      <c r="G1071" s="73"/>
      <c r="H1071" s="73"/>
      <c r="I1071" s="221" t="s">
        <v>37</v>
      </c>
      <c r="J1071" s="221"/>
      <c r="K1071" s="221"/>
      <c r="M1071" s="73"/>
      <c r="N1071" s="73"/>
      <c r="O1071" s="73"/>
      <c r="P1071" s="73"/>
      <c r="Q1071" s="73"/>
      <c r="R1071" s="73"/>
      <c r="S1071" s="73"/>
      <c r="T1071" s="73"/>
      <c r="U1071" s="221" t="s">
        <v>37</v>
      </c>
      <c r="V1071" s="221"/>
      <c r="W1071" s="221"/>
    </row>
    <row r="1072" spans="1:24" ht="18.75" customHeight="1">
      <c r="A1072" s="73"/>
      <c r="B1072" s="221"/>
      <c r="C1072" s="221"/>
      <c r="D1072" s="221"/>
      <c r="E1072" s="221"/>
      <c r="F1072" s="73"/>
      <c r="G1072" s="73"/>
      <c r="H1072" s="73"/>
      <c r="I1072" s="73"/>
      <c r="J1072" s="73"/>
      <c r="K1072" s="73"/>
      <c r="M1072" s="73"/>
      <c r="N1072" s="221"/>
      <c r="O1072" s="221"/>
      <c r="P1072" s="221"/>
      <c r="Q1072" s="221"/>
      <c r="R1072" s="73"/>
      <c r="S1072" s="73"/>
      <c r="T1072" s="73"/>
      <c r="U1072" s="73"/>
      <c r="V1072" s="73"/>
      <c r="W1072" s="73"/>
    </row>
    <row r="1073" spans="1:24" ht="18.75" customHeight="1">
      <c r="A1073" s="73"/>
      <c r="B1073" s="73"/>
      <c r="C1073" s="73"/>
      <c r="D1073" s="73"/>
      <c r="E1073" s="73"/>
      <c r="F1073" s="73"/>
      <c r="G1073" s="73"/>
      <c r="H1073" s="73"/>
      <c r="I1073" s="221" t="s">
        <v>36</v>
      </c>
      <c r="J1073" s="221"/>
      <c r="K1073" s="221"/>
      <c r="M1073" s="73"/>
      <c r="N1073" s="73"/>
      <c r="O1073" s="73"/>
      <c r="P1073" s="73"/>
      <c r="Q1073" s="73"/>
      <c r="R1073" s="73"/>
      <c r="S1073" s="73"/>
      <c r="T1073" s="73"/>
      <c r="U1073" s="221" t="s">
        <v>36</v>
      </c>
      <c r="V1073" s="221"/>
      <c r="W1073" s="221"/>
    </row>
    <row r="1075" spans="1:24" ht="18.75" customHeight="1">
      <c r="A1075" s="221" t="s">
        <v>87</v>
      </c>
      <c r="B1075" s="221"/>
      <c r="C1075" s="221"/>
      <c r="D1075" s="221"/>
      <c r="E1075" s="221"/>
      <c r="F1075" s="221"/>
      <c r="G1075" s="221"/>
      <c r="H1075" s="221"/>
      <c r="I1075" s="221"/>
      <c r="J1075" s="221"/>
      <c r="K1075" s="221"/>
      <c r="L1075" s="73">
        <v>24</v>
      </c>
      <c r="M1075" s="221" t="s">
        <v>87</v>
      </c>
      <c r="N1075" s="221"/>
      <c r="O1075" s="221"/>
      <c r="P1075" s="221"/>
      <c r="Q1075" s="221"/>
      <c r="R1075" s="221"/>
      <c r="S1075" s="221"/>
      <c r="T1075" s="221"/>
      <c r="U1075" s="221"/>
      <c r="V1075" s="221"/>
      <c r="W1075" s="221"/>
      <c r="X1075" s="73">
        <v>24</v>
      </c>
    </row>
    <row r="1076" spans="1:24" ht="18.75" customHeight="1">
      <c r="A1076" s="73" t="s">
        <v>91</v>
      </c>
      <c r="B1076" s="73"/>
      <c r="C1076" s="73"/>
      <c r="D1076" s="73"/>
      <c r="E1076" s="73"/>
      <c r="F1076" s="73"/>
      <c r="G1076" s="73"/>
      <c r="H1076" s="73"/>
      <c r="I1076" s="73"/>
      <c r="J1076" s="73"/>
      <c r="K1076" s="73"/>
      <c r="M1076" s="73" t="s">
        <v>90</v>
      </c>
      <c r="N1076" s="73"/>
      <c r="O1076" s="73"/>
      <c r="P1076" s="73"/>
      <c r="Q1076" s="73"/>
      <c r="R1076" s="73"/>
      <c r="S1076" s="73"/>
      <c r="T1076" s="73"/>
      <c r="U1076" s="73"/>
      <c r="V1076" s="73"/>
      <c r="W1076" s="73"/>
    </row>
    <row r="1077" spans="1:24" ht="18.75" customHeight="1">
      <c r="A1077" s="221" t="s">
        <v>84</v>
      </c>
      <c r="B1077" s="221"/>
      <c r="C1077" s="221"/>
      <c r="D1077" s="221"/>
      <c r="E1077" s="221"/>
      <c r="F1077" s="221"/>
      <c r="G1077" s="221"/>
      <c r="H1077" s="221"/>
      <c r="I1077" s="221"/>
      <c r="J1077" s="221"/>
      <c r="K1077" s="221"/>
      <c r="M1077" s="221" t="s">
        <v>84</v>
      </c>
      <c r="N1077" s="221"/>
      <c r="O1077" s="221"/>
      <c r="P1077" s="221"/>
      <c r="Q1077" s="221"/>
      <c r="R1077" s="221"/>
      <c r="S1077" s="221"/>
      <c r="T1077" s="221"/>
      <c r="U1077" s="221"/>
      <c r="V1077" s="221"/>
      <c r="W1077" s="221"/>
    </row>
    <row r="1078" spans="1:24" ht="18.75" customHeight="1">
      <c r="A1078" s="221" t="s">
        <v>83</v>
      </c>
      <c r="B1078" s="221"/>
      <c r="C1078" s="221"/>
      <c r="D1078" s="221"/>
      <c r="E1078" s="73" t="s">
        <v>39</v>
      </c>
      <c r="F1078" s="221"/>
      <c r="G1078" s="221"/>
      <c r="H1078" s="221"/>
      <c r="I1078" s="221"/>
      <c r="J1078" s="221"/>
      <c r="K1078" s="221"/>
      <c r="M1078" s="221" t="s">
        <v>83</v>
      </c>
      <c r="N1078" s="221"/>
      <c r="O1078" s="221"/>
      <c r="P1078" s="221"/>
      <c r="Q1078" s="73" t="s">
        <v>39</v>
      </c>
      <c r="R1078" s="221"/>
      <c r="S1078" s="221"/>
      <c r="T1078" s="221"/>
      <c r="U1078" s="221"/>
      <c r="V1078" s="221"/>
      <c r="W1078" s="221"/>
    </row>
    <row r="1079" spans="1:24" ht="18.75" customHeight="1">
      <c r="A1079" s="221" t="s">
        <v>82</v>
      </c>
      <c r="B1079" s="221"/>
      <c r="C1079" s="221"/>
      <c r="D1079" s="221"/>
      <c r="E1079" s="73" t="s">
        <v>39</v>
      </c>
      <c r="F1079" s="221"/>
      <c r="G1079" s="221"/>
      <c r="H1079" s="221"/>
      <c r="I1079" s="221"/>
      <c r="J1079" s="221"/>
      <c r="K1079" s="221"/>
      <c r="M1079" s="221" t="s">
        <v>82</v>
      </c>
      <c r="N1079" s="221"/>
      <c r="O1079" s="221"/>
      <c r="P1079" s="221"/>
      <c r="Q1079" s="73" t="s">
        <v>39</v>
      </c>
      <c r="R1079" s="221"/>
      <c r="S1079" s="221"/>
      <c r="T1079" s="221"/>
      <c r="U1079" s="221"/>
      <c r="V1079" s="221"/>
      <c r="W1079" s="221"/>
    </row>
    <row r="1080" spans="1:24" ht="18.75" customHeight="1">
      <c r="A1080" s="221" t="s">
        <v>81</v>
      </c>
      <c r="B1080" s="221"/>
      <c r="C1080" s="221"/>
      <c r="D1080" s="221"/>
      <c r="E1080" s="73" t="s">
        <v>39</v>
      </c>
      <c r="F1080" s="221" t="s">
        <v>80</v>
      </c>
      <c r="G1080" s="221"/>
      <c r="H1080" s="221"/>
      <c r="I1080" s="221"/>
      <c r="J1080" s="221"/>
      <c r="K1080" s="221"/>
      <c r="M1080" s="221" t="s">
        <v>81</v>
      </c>
      <c r="N1080" s="221"/>
      <c r="O1080" s="221"/>
      <c r="P1080" s="221"/>
      <c r="Q1080" s="73" t="s">
        <v>39</v>
      </c>
      <c r="R1080" s="221" t="s">
        <v>80</v>
      </c>
      <c r="S1080" s="221"/>
      <c r="T1080" s="221"/>
      <c r="U1080" s="221"/>
      <c r="V1080" s="221"/>
      <c r="W1080" s="221"/>
    </row>
    <row r="1081" spans="1:24" ht="18.75" customHeight="1">
      <c r="A1081" s="221" t="s">
        <v>79</v>
      </c>
      <c r="B1081" s="221"/>
      <c r="C1081" s="221"/>
      <c r="D1081" s="221"/>
      <c r="E1081" s="221"/>
      <c r="F1081" s="221"/>
      <c r="G1081" s="221"/>
      <c r="H1081" s="221"/>
      <c r="I1081" s="221"/>
      <c r="J1081" s="221"/>
      <c r="K1081" s="221"/>
      <c r="M1081" s="221" t="s">
        <v>79</v>
      </c>
      <c r="N1081" s="221"/>
      <c r="O1081" s="221"/>
      <c r="P1081" s="221"/>
      <c r="Q1081" s="221"/>
      <c r="R1081" s="221"/>
      <c r="S1081" s="221"/>
      <c r="T1081" s="221"/>
      <c r="U1081" s="221"/>
      <c r="V1081" s="221"/>
      <c r="W1081" s="221"/>
    </row>
    <row r="1082" spans="1:24" ht="18.75" customHeight="1">
      <c r="A1082" s="221" t="s">
        <v>78</v>
      </c>
      <c r="B1082" s="221"/>
      <c r="C1082" s="221"/>
      <c r="D1082" s="221"/>
      <c r="E1082" s="73" t="s">
        <v>39</v>
      </c>
      <c r="F1082" s="221">
        <v>2915400</v>
      </c>
      <c r="G1082" s="221"/>
      <c r="H1082" s="221"/>
      <c r="I1082" s="221"/>
      <c r="J1082" s="73" t="s">
        <v>38</v>
      </c>
      <c r="K1082" s="73"/>
      <c r="M1082" s="221" t="s">
        <v>78</v>
      </c>
      <c r="N1082" s="221"/>
      <c r="O1082" s="221"/>
      <c r="P1082" s="221"/>
      <c r="Q1082" s="73" t="s">
        <v>39</v>
      </c>
      <c r="R1082" s="221">
        <v>2915400</v>
      </c>
      <c r="S1082" s="221"/>
      <c r="T1082" s="221"/>
      <c r="U1082" s="221"/>
      <c r="V1082" s="73" t="s">
        <v>38</v>
      </c>
      <c r="W1082" s="73"/>
    </row>
    <row r="1083" spans="1:24" ht="18.75" customHeight="1">
      <c r="A1083" s="73" t="s">
        <v>77</v>
      </c>
      <c r="B1083" s="73"/>
      <c r="C1083" s="73"/>
      <c r="D1083" s="73"/>
      <c r="E1083" s="73"/>
      <c r="F1083" s="73"/>
      <c r="G1083" s="73"/>
      <c r="H1083" s="73"/>
      <c r="I1083" s="73"/>
      <c r="J1083" s="73"/>
      <c r="K1083" s="73"/>
      <c r="M1083" s="73" t="s">
        <v>77</v>
      </c>
      <c r="N1083" s="73"/>
      <c r="O1083" s="73"/>
      <c r="P1083" s="73"/>
      <c r="Q1083" s="73"/>
      <c r="R1083" s="73"/>
      <c r="S1083" s="73"/>
      <c r="T1083" s="73"/>
      <c r="U1083" s="73"/>
      <c r="V1083" s="73"/>
      <c r="W1083" s="73"/>
    </row>
    <row r="1084" spans="1:24" ht="18.75" customHeight="1">
      <c r="A1084" s="73" t="s">
        <v>76</v>
      </c>
      <c r="B1084" s="73"/>
      <c r="C1084" s="73"/>
      <c r="D1084" s="73"/>
      <c r="E1084" s="73"/>
      <c r="F1084" s="73"/>
      <c r="G1084" s="73"/>
      <c r="H1084" s="73"/>
      <c r="I1084" s="73" t="e">
        <f>I1085/C1085/8</f>
        <v>#DIV/0!</v>
      </c>
      <c r="J1084" s="73"/>
      <c r="K1084" s="73"/>
      <c r="M1084" s="73" t="s">
        <v>76</v>
      </c>
      <c r="N1084" s="73"/>
      <c r="O1084" s="73"/>
      <c r="P1084" s="73"/>
      <c r="Q1084" s="73"/>
      <c r="R1084" s="73"/>
      <c r="S1084" s="73"/>
      <c r="T1084" s="73"/>
      <c r="U1084" s="73" t="e">
        <f>U1085/O1085/8</f>
        <v>#DIV/0!</v>
      </c>
      <c r="V1084" s="73"/>
      <c r="W1084" s="73"/>
    </row>
    <row r="1085" spans="1:24" ht="18.75" customHeight="1">
      <c r="A1085" s="73" t="s">
        <v>75</v>
      </c>
      <c r="B1085" s="73" t="s">
        <v>39</v>
      </c>
      <c r="C1085" s="73"/>
      <c r="D1085" s="73" t="s">
        <v>52</v>
      </c>
      <c r="E1085" s="221" t="s">
        <v>74</v>
      </c>
      <c r="F1085" s="221"/>
      <c r="G1085" s="221"/>
      <c r="H1085" s="73" t="s">
        <v>39</v>
      </c>
      <c r="I1085" s="221" t="e">
        <f>I1083*680/((C1085-C1092)*8+C1092*7+C1089)*((C1085-C1092)*8+C1092*7)</f>
        <v>#DIV/0!</v>
      </c>
      <c r="J1085" s="221"/>
      <c r="K1085" s="73" t="s">
        <v>38</v>
      </c>
      <c r="L1085" s="73">
        <f>F1082/L1075*C1085</f>
        <v>0</v>
      </c>
      <c r="M1085" s="73" t="s">
        <v>75</v>
      </c>
      <c r="N1085" s="73" t="s">
        <v>39</v>
      </c>
      <c r="O1085" s="73"/>
      <c r="P1085" s="73" t="s">
        <v>52</v>
      </c>
      <c r="Q1085" s="221" t="s">
        <v>74</v>
      </c>
      <c r="R1085" s="221"/>
      <c r="S1085" s="221"/>
      <c r="T1085" s="73" t="s">
        <v>39</v>
      </c>
      <c r="U1085" s="221" t="e">
        <f>U1083*680/((O1085-O1092)*8+O1092*7+O1089)*((O1085-O1092)*8+O1092*7)</f>
        <v>#DIV/0!</v>
      </c>
      <c r="V1085" s="221"/>
      <c r="W1085" s="73" t="s">
        <v>38</v>
      </c>
      <c r="X1085" s="73">
        <f>R1082/X1075*O1085</f>
        <v>0</v>
      </c>
    </row>
    <row r="1086" spans="1:24" ht="18.75" customHeight="1">
      <c r="A1086" s="73" t="s">
        <v>73</v>
      </c>
      <c r="B1086" s="73" t="s">
        <v>39</v>
      </c>
      <c r="C1086" s="73"/>
      <c r="D1086" s="73" t="s">
        <v>52</v>
      </c>
      <c r="E1086" s="221" t="s">
        <v>72</v>
      </c>
      <c r="F1086" s="221"/>
      <c r="G1086" s="221"/>
      <c r="H1086" s="73" t="s">
        <v>39</v>
      </c>
      <c r="I1086" s="221">
        <f>$F$8/$L$1*C1086</f>
        <v>0</v>
      </c>
      <c r="J1086" s="221"/>
      <c r="K1086" s="73" t="s">
        <v>38</v>
      </c>
      <c r="L1086" s="73"/>
      <c r="M1086" s="73" t="s">
        <v>73</v>
      </c>
      <c r="N1086" s="73" t="s">
        <v>39</v>
      </c>
      <c r="O1086" s="73"/>
      <c r="P1086" s="73" t="s">
        <v>52</v>
      </c>
      <c r="Q1086" s="221" t="s">
        <v>72</v>
      </c>
      <c r="R1086" s="221"/>
      <c r="S1086" s="221"/>
      <c r="T1086" s="73" t="s">
        <v>39</v>
      </c>
      <c r="U1086" s="221">
        <f>$F$8/$L$1*O1086</f>
        <v>0</v>
      </c>
      <c r="V1086" s="221"/>
      <c r="W1086" s="73" t="s">
        <v>38</v>
      </c>
      <c r="X1086" s="73"/>
    </row>
    <row r="1087" spans="1:24" ht="18.75" customHeight="1">
      <c r="A1087" s="73" t="s">
        <v>71</v>
      </c>
      <c r="B1087" s="73" t="s">
        <v>39</v>
      </c>
      <c r="C1087" s="73"/>
      <c r="D1087" s="73" t="s">
        <v>52</v>
      </c>
      <c r="E1087" s="221" t="s">
        <v>70</v>
      </c>
      <c r="F1087" s="221"/>
      <c r="G1087" s="221"/>
      <c r="H1087" s="73" t="s">
        <v>39</v>
      </c>
      <c r="I1087" s="221">
        <f>$F$8/$L$1*C1087</f>
        <v>0</v>
      </c>
      <c r="J1087" s="221"/>
      <c r="K1087" s="73" t="s">
        <v>38</v>
      </c>
      <c r="L1087" s="73"/>
      <c r="M1087" s="73" t="s">
        <v>71</v>
      </c>
      <c r="N1087" s="73" t="s">
        <v>39</v>
      </c>
      <c r="O1087" s="73"/>
      <c r="P1087" s="73" t="s">
        <v>52</v>
      </c>
      <c r="Q1087" s="221" t="s">
        <v>70</v>
      </c>
      <c r="R1087" s="221"/>
      <c r="S1087" s="221"/>
      <c r="T1087" s="73" t="s">
        <v>39</v>
      </c>
      <c r="U1087" s="221">
        <f>$F$8/$L$1*O1087</f>
        <v>0</v>
      </c>
      <c r="V1087" s="221"/>
      <c r="W1087" s="73" t="s">
        <v>38</v>
      </c>
      <c r="X1087" s="73"/>
    </row>
    <row r="1088" spans="1:24" ht="18.75" customHeight="1">
      <c r="A1088" s="73" t="s">
        <v>69</v>
      </c>
      <c r="B1088" s="73" t="s">
        <v>39</v>
      </c>
      <c r="C1088" s="73"/>
      <c r="D1088" s="73" t="s">
        <v>52</v>
      </c>
      <c r="E1088" s="221" t="s">
        <v>68</v>
      </c>
      <c r="F1088" s="221"/>
      <c r="G1088" s="221"/>
      <c r="H1088" s="73" t="s">
        <v>39</v>
      </c>
      <c r="I1088" s="221">
        <f>$F$8/$L$1*C1088</f>
        <v>0</v>
      </c>
      <c r="J1088" s="221"/>
      <c r="K1088" s="73" t="s">
        <v>38</v>
      </c>
      <c r="L1088" s="73"/>
      <c r="M1088" s="73" t="s">
        <v>69</v>
      </c>
      <c r="N1088" s="73" t="s">
        <v>39</v>
      </c>
      <c r="O1088" s="73"/>
      <c r="P1088" s="73" t="s">
        <v>52</v>
      </c>
      <c r="Q1088" s="221" t="s">
        <v>68</v>
      </c>
      <c r="R1088" s="221"/>
      <c r="S1088" s="221"/>
      <c r="T1088" s="73" t="s">
        <v>39</v>
      </c>
      <c r="U1088" s="221">
        <f>$F$8/$L$1*O1088</f>
        <v>0</v>
      </c>
      <c r="V1088" s="221"/>
      <c r="W1088" s="73" t="s">
        <v>38</v>
      </c>
      <c r="X1088" s="73"/>
    </row>
    <row r="1089" spans="1:24" ht="18.75" customHeight="1">
      <c r="A1089" s="73" t="s">
        <v>67</v>
      </c>
      <c r="B1089" s="73" t="s">
        <v>39</v>
      </c>
      <c r="C1089" s="73"/>
      <c r="D1089" s="73" t="s">
        <v>58</v>
      </c>
      <c r="E1089" s="221" t="s">
        <v>66</v>
      </c>
      <c r="F1089" s="221"/>
      <c r="G1089" s="221"/>
      <c r="H1089" s="73" t="s">
        <v>39</v>
      </c>
      <c r="I1089" s="221" t="e">
        <f>I1085/C1085/8*C1089</f>
        <v>#DIV/0!</v>
      </c>
      <c r="J1089" s="221"/>
      <c r="K1089" s="73" t="s">
        <v>38</v>
      </c>
      <c r="L1089" s="73">
        <f>F1082*C1089/L1075/8*1.5</f>
        <v>0</v>
      </c>
      <c r="M1089" s="73" t="s">
        <v>67</v>
      </c>
      <c r="N1089" s="73" t="s">
        <v>39</v>
      </c>
      <c r="O1089" s="73"/>
      <c r="P1089" s="73" t="s">
        <v>58</v>
      </c>
      <c r="Q1089" s="221" t="s">
        <v>66</v>
      </c>
      <c r="R1089" s="221"/>
      <c r="S1089" s="221"/>
      <c r="T1089" s="73" t="s">
        <v>39</v>
      </c>
      <c r="U1089" s="221" t="e">
        <f>U1085/O1085/8*O1089</f>
        <v>#DIV/0!</v>
      </c>
      <c r="V1089" s="221"/>
      <c r="W1089" s="73" t="s">
        <v>38</v>
      </c>
      <c r="X1089" s="73">
        <f>R1082*O1089/X1075/8*1.5</f>
        <v>0</v>
      </c>
    </row>
    <row r="1090" spans="1:24" ht="18.75" customHeight="1">
      <c r="A1090" s="221" t="s">
        <v>65</v>
      </c>
      <c r="B1090" s="221"/>
      <c r="C1090" s="73"/>
      <c r="D1090" s="73" t="s">
        <v>52</v>
      </c>
      <c r="E1090" s="221" t="s">
        <v>64</v>
      </c>
      <c r="F1090" s="221"/>
      <c r="G1090" s="221"/>
      <c r="H1090" s="73" t="s">
        <v>39</v>
      </c>
      <c r="I1090" s="221"/>
      <c r="J1090" s="221"/>
      <c r="K1090" s="73" t="s">
        <v>38</v>
      </c>
      <c r="L1090" s="73"/>
      <c r="M1090" s="221" t="s">
        <v>65</v>
      </c>
      <c r="N1090" s="221"/>
      <c r="O1090" s="73"/>
      <c r="P1090" s="73" t="s">
        <v>52</v>
      </c>
      <c r="Q1090" s="221" t="s">
        <v>64</v>
      </c>
      <c r="R1090" s="221"/>
      <c r="S1090" s="221"/>
      <c r="T1090" s="73" t="s">
        <v>39</v>
      </c>
      <c r="U1090" s="221"/>
      <c r="V1090" s="221"/>
      <c r="W1090" s="73" t="s">
        <v>38</v>
      </c>
      <c r="X1090" s="73"/>
    </row>
    <row r="1091" spans="1:24" ht="18.75" customHeight="1">
      <c r="A1091" s="73" t="s">
        <v>63</v>
      </c>
      <c r="B1091" s="73" t="s">
        <v>39</v>
      </c>
      <c r="C1091" s="73"/>
      <c r="D1091" s="73" t="s">
        <v>52</v>
      </c>
      <c r="E1091" s="221" t="s">
        <v>62</v>
      </c>
      <c r="F1091" s="221"/>
      <c r="G1091" s="221"/>
      <c r="H1091" s="73" t="s">
        <v>39</v>
      </c>
      <c r="I1091" s="221"/>
      <c r="J1091" s="221"/>
      <c r="K1091" s="73" t="s">
        <v>38</v>
      </c>
      <c r="L1091" s="73"/>
      <c r="M1091" s="73" t="s">
        <v>63</v>
      </c>
      <c r="N1091" s="73" t="s">
        <v>39</v>
      </c>
      <c r="O1091" s="73"/>
      <c r="P1091" s="73" t="s">
        <v>52</v>
      </c>
      <c r="Q1091" s="221" t="s">
        <v>62</v>
      </c>
      <c r="R1091" s="221"/>
      <c r="S1091" s="221"/>
      <c r="T1091" s="73" t="s">
        <v>39</v>
      </c>
      <c r="U1091" s="221"/>
      <c r="V1091" s="221"/>
      <c r="W1091" s="73" t="s">
        <v>38</v>
      </c>
      <c r="X1091" s="73"/>
    </row>
    <row r="1092" spans="1:24" ht="18.75" customHeight="1">
      <c r="A1092" s="73" t="s">
        <v>61</v>
      </c>
      <c r="B1092" s="73"/>
      <c r="C1092" s="73"/>
      <c r="D1092" s="73" t="s">
        <v>58</v>
      </c>
      <c r="E1092" s="221" t="s">
        <v>60</v>
      </c>
      <c r="F1092" s="221"/>
      <c r="G1092" s="221"/>
      <c r="H1092" s="73" t="s">
        <v>39</v>
      </c>
      <c r="I1092" s="221">
        <f>$F$8*C1092/8/$L$1</f>
        <v>0</v>
      </c>
      <c r="J1092" s="221"/>
      <c r="K1092" s="73" t="s">
        <v>38</v>
      </c>
      <c r="L1092" s="73"/>
      <c r="M1092" s="73" t="s">
        <v>61</v>
      </c>
      <c r="N1092" s="73"/>
      <c r="O1092" s="73"/>
      <c r="P1092" s="73" t="s">
        <v>58</v>
      </c>
      <c r="Q1092" s="221" t="s">
        <v>60</v>
      </c>
      <c r="R1092" s="221"/>
      <c r="S1092" s="221"/>
      <c r="T1092" s="73" t="s">
        <v>39</v>
      </c>
      <c r="U1092" s="221">
        <f>$F$8*O1092/8/$L$1</f>
        <v>0</v>
      </c>
      <c r="V1092" s="221"/>
      <c r="W1092" s="73" t="s">
        <v>38</v>
      </c>
      <c r="X1092" s="73"/>
    </row>
    <row r="1093" spans="1:24" ht="18.75" customHeight="1">
      <c r="A1093" s="73" t="s">
        <v>59</v>
      </c>
      <c r="B1093" s="73" t="s">
        <v>39</v>
      </c>
      <c r="C1093" s="73"/>
      <c r="D1093" s="73" t="s">
        <v>58</v>
      </c>
      <c r="E1093" s="221" t="s">
        <v>57</v>
      </c>
      <c r="F1093" s="221"/>
      <c r="G1093" s="221"/>
      <c r="H1093" s="73" t="s">
        <v>39</v>
      </c>
      <c r="I1093" s="221"/>
      <c r="J1093" s="221"/>
      <c r="K1093" s="73" t="s">
        <v>38</v>
      </c>
      <c r="L1093" s="73"/>
      <c r="M1093" s="73" t="s">
        <v>59</v>
      </c>
      <c r="N1093" s="73" t="s">
        <v>39</v>
      </c>
      <c r="O1093" s="73"/>
      <c r="P1093" s="73" t="s">
        <v>58</v>
      </c>
      <c r="Q1093" s="221" t="s">
        <v>57</v>
      </c>
      <c r="R1093" s="221"/>
      <c r="S1093" s="221"/>
      <c r="T1093" s="73" t="s">
        <v>39</v>
      </c>
      <c r="U1093" s="221"/>
      <c r="V1093" s="221"/>
      <c r="W1093" s="73" t="s">
        <v>38</v>
      </c>
      <c r="X1093" s="73"/>
    </row>
    <row r="1094" spans="1:24" ht="18.75" customHeight="1">
      <c r="A1094" s="73" t="s">
        <v>56</v>
      </c>
      <c r="B1094" s="73" t="s">
        <v>39</v>
      </c>
      <c r="C1094" s="73"/>
      <c r="D1094" s="73" t="s">
        <v>55</v>
      </c>
      <c r="E1094" s="73" t="s">
        <v>54</v>
      </c>
      <c r="F1094" s="73"/>
      <c r="G1094" s="73"/>
      <c r="H1094" s="73" t="s">
        <v>39</v>
      </c>
      <c r="I1094" s="221"/>
      <c r="J1094" s="221"/>
      <c r="K1094" s="73" t="s">
        <v>38</v>
      </c>
      <c r="L1094" s="73" t="e">
        <f>+IF(L1085-I1085&lt;0,0,L1085-I1085)+IF(L1089-I1089&lt;0,0,L1089-I1089)</f>
        <v>#DIV/0!</v>
      </c>
      <c r="M1094" s="73" t="s">
        <v>56</v>
      </c>
      <c r="N1094" s="73" t="s">
        <v>39</v>
      </c>
      <c r="O1094" s="73"/>
      <c r="P1094" s="73" t="s">
        <v>55</v>
      </c>
      <c r="Q1094" s="73" t="s">
        <v>54</v>
      </c>
      <c r="R1094" s="73"/>
      <c r="S1094" s="73"/>
      <c r="T1094" s="73" t="s">
        <v>39</v>
      </c>
      <c r="U1094" s="221"/>
      <c r="V1094" s="221"/>
      <c r="W1094" s="73" t="s">
        <v>38</v>
      </c>
      <c r="X1094" s="73" t="e">
        <f>+IF(X1085-U1085&lt;0,0,X1085-U1085)+IF(X1089-U1089&lt;0,0,X1089-U1089)</f>
        <v>#DIV/0!</v>
      </c>
    </row>
    <row r="1095" spans="1:24" ht="18.75" customHeight="1">
      <c r="A1095" s="73" t="s">
        <v>53</v>
      </c>
      <c r="B1095" s="73"/>
      <c r="C1095" s="73"/>
      <c r="D1095" s="73" t="s">
        <v>52</v>
      </c>
      <c r="E1095" s="221" t="s">
        <v>51</v>
      </c>
      <c r="F1095" s="221"/>
      <c r="G1095" s="221"/>
      <c r="H1095" s="73" t="s">
        <v>39</v>
      </c>
      <c r="I1095" s="221"/>
      <c r="J1095" s="221"/>
      <c r="K1095" s="73" t="s">
        <v>38</v>
      </c>
      <c r="L1095" s="73"/>
      <c r="M1095" s="73" t="s">
        <v>53</v>
      </c>
      <c r="N1095" s="73"/>
      <c r="O1095" s="73"/>
      <c r="P1095" s="73" t="s">
        <v>52</v>
      </c>
      <c r="Q1095" s="221" t="s">
        <v>51</v>
      </c>
      <c r="R1095" s="221"/>
      <c r="S1095" s="221"/>
      <c r="T1095" s="73" t="s">
        <v>39</v>
      </c>
      <c r="U1095" s="221"/>
      <c r="V1095" s="221"/>
      <c r="W1095" s="73" t="s">
        <v>38</v>
      </c>
      <c r="X1095" s="73"/>
    </row>
    <row r="1096" spans="1:24" ht="18.75" customHeight="1">
      <c r="A1096" s="221" t="s">
        <v>50</v>
      </c>
      <c r="B1096" s="221"/>
      <c r="C1096" s="73"/>
      <c r="D1096" s="73"/>
      <c r="E1096" s="73"/>
      <c r="F1096" s="73"/>
      <c r="G1096" s="73"/>
      <c r="H1096" s="73" t="s">
        <v>39</v>
      </c>
      <c r="I1096" s="221"/>
      <c r="J1096" s="221"/>
      <c r="K1096" s="73" t="s">
        <v>38</v>
      </c>
      <c r="L1096" s="73"/>
      <c r="M1096" s="221" t="s">
        <v>50</v>
      </c>
      <c r="N1096" s="221"/>
      <c r="O1096" s="73"/>
      <c r="P1096" s="73"/>
      <c r="Q1096" s="73"/>
      <c r="R1096" s="73"/>
      <c r="S1096" s="73"/>
      <c r="T1096" s="73" t="s">
        <v>39</v>
      </c>
      <c r="U1096" s="221"/>
      <c r="V1096" s="221"/>
      <c r="W1096" s="73" t="s">
        <v>38</v>
      </c>
      <c r="X1096" s="73"/>
    </row>
    <row r="1097" spans="1:24" ht="18.75" customHeight="1">
      <c r="A1097" s="73" t="s">
        <v>49</v>
      </c>
      <c r="B1097" s="73" t="s">
        <v>39</v>
      </c>
      <c r="C1097" s="73"/>
      <c r="D1097" s="73"/>
      <c r="E1097" s="73" t="s">
        <v>48</v>
      </c>
      <c r="F1097" s="73"/>
      <c r="G1097" s="73"/>
      <c r="H1097" s="73" t="s">
        <v>39</v>
      </c>
      <c r="I1097" s="221" t="e">
        <f>L1094</f>
        <v>#DIV/0!</v>
      </c>
      <c r="J1097" s="221"/>
      <c r="K1097" s="73" t="s">
        <v>38</v>
      </c>
      <c r="L1097" s="73"/>
      <c r="M1097" s="73" t="s">
        <v>49</v>
      </c>
      <c r="N1097" s="73" t="s">
        <v>39</v>
      </c>
      <c r="O1097" s="73"/>
      <c r="P1097" s="73"/>
      <c r="Q1097" s="73" t="s">
        <v>48</v>
      </c>
      <c r="R1097" s="73"/>
      <c r="S1097" s="73"/>
      <c r="T1097" s="73" t="s">
        <v>39</v>
      </c>
      <c r="U1097" s="221" t="e">
        <f>X1094</f>
        <v>#DIV/0!</v>
      </c>
      <c r="V1097" s="221"/>
      <c r="W1097" s="73" t="s">
        <v>38</v>
      </c>
      <c r="X1097" s="73"/>
    </row>
    <row r="1098" spans="1:24" ht="18.75" customHeight="1">
      <c r="A1098" s="221" t="s">
        <v>47</v>
      </c>
      <c r="B1098" s="221"/>
      <c r="C1098" s="221"/>
      <c r="D1098" s="221"/>
      <c r="E1098" s="221"/>
      <c r="F1098" s="221"/>
      <c r="G1098" s="73" t="s">
        <v>39</v>
      </c>
      <c r="H1098" s="221" t="e">
        <f>I1085+I1086+I1087+I1088+I1089+I1092+I1096+I1097</f>
        <v>#DIV/0!</v>
      </c>
      <c r="I1098" s="221"/>
      <c r="J1098" s="221"/>
      <c r="K1098" s="73" t="s">
        <v>38</v>
      </c>
      <c r="M1098" s="221" t="s">
        <v>47</v>
      </c>
      <c r="N1098" s="221"/>
      <c r="O1098" s="221"/>
      <c r="P1098" s="221"/>
      <c r="Q1098" s="221"/>
      <c r="R1098" s="221"/>
      <c r="S1098" s="73" t="s">
        <v>39</v>
      </c>
      <c r="T1098" s="221" t="e">
        <f>U1085+U1086+U1087+U1088+U1089+U1092+U1096+U1097</f>
        <v>#DIV/0!</v>
      </c>
      <c r="U1098" s="221"/>
      <c r="V1098" s="221"/>
      <c r="W1098" s="73" t="s">
        <v>38</v>
      </c>
    </row>
    <row r="1099" spans="1:24" ht="18.75" customHeight="1">
      <c r="A1099" s="73"/>
      <c r="B1099" s="73"/>
      <c r="C1099" s="73"/>
      <c r="D1099" s="73"/>
      <c r="E1099" s="73"/>
      <c r="F1099" s="73"/>
      <c r="G1099" s="73"/>
      <c r="H1099" s="73"/>
      <c r="I1099" s="73"/>
      <c r="J1099" s="73"/>
      <c r="K1099" s="73"/>
      <c r="M1099" s="73"/>
      <c r="N1099" s="73"/>
      <c r="O1099" s="73"/>
      <c r="P1099" s="73"/>
      <c r="Q1099" s="73"/>
      <c r="R1099" s="73"/>
      <c r="S1099" s="73"/>
      <c r="T1099" s="73"/>
      <c r="U1099" s="73"/>
      <c r="V1099" s="73"/>
      <c r="W1099" s="73"/>
    </row>
    <row r="1100" spans="1:24" ht="18.75" customHeight="1">
      <c r="A1100" s="221" t="s">
        <v>46</v>
      </c>
      <c r="B1100" s="221"/>
      <c r="C1100" s="221"/>
      <c r="D1100" s="221"/>
      <c r="E1100" s="221"/>
      <c r="F1100" s="221"/>
      <c r="G1100" s="73"/>
      <c r="H1100" s="73"/>
      <c r="I1100" s="73"/>
      <c r="J1100" s="73"/>
      <c r="K1100" s="73"/>
      <c r="M1100" s="221" t="s">
        <v>46</v>
      </c>
      <c r="N1100" s="221"/>
      <c r="O1100" s="221"/>
      <c r="P1100" s="221"/>
      <c r="Q1100" s="221"/>
      <c r="R1100" s="221"/>
      <c r="S1100" s="73"/>
      <c r="T1100" s="73"/>
      <c r="U1100" s="73"/>
      <c r="V1100" s="73"/>
      <c r="W1100" s="73"/>
    </row>
    <row r="1101" spans="1:24" ht="18.75" customHeight="1">
      <c r="A1101" s="221" t="s">
        <v>45</v>
      </c>
      <c r="B1101" s="221"/>
      <c r="C1101" s="221"/>
      <c r="D1101" s="221"/>
      <c r="E1101" s="221"/>
      <c r="F1101" s="221"/>
      <c r="G1101" s="73" t="s">
        <v>39</v>
      </c>
      <c r="H1101" s="221">
        <f>IF(($L$1-(C1085+C1086+C1087+C1088))&gt;12,0,F1082*8%)</f>
        <v>0</v>
      </c>
      <c r="I1101" s="221"/>
      <c r="J1101" s="221"/>
      <c r="K1101" s="73" t="s">
        <v>38</v>
      </c>
      <c r="M1101" s="221" t="s">
        <v>45</v>
      </c>
      <c r="N1101" s="221"/>
      <c r="O1101" s="221"/>
      <c r="P1101" s="221"/>
      <c r="Q1101" s="221"/>
      <c r="R1101" s="221"/>
      <c r="S1101" s="73" t="s">
        <v>39</v>
      </c>
      <c r="T1101" s="221">
        <f>IF(($L$1-(O1085+O1086+O1087+O1088))&gt;12,0,R1082*8%)</f>
        <v>0</v>
      </c>
      <c r="U1101" s="221"/>
      <c r="V1101" s="221"/>
      <c r="W1101" s="73" t="s">
        <v>38</v>
      </c>
    </row>
    <row r="1102" spans="1:24" ht="18.75" customHeight="1">
      <c r="A1102" s="221" t="s">
        <v>44</v>
      </c>
      <c r="B1102" s="221"/>
      <c r="C1102" s="221"/>
      <c r="D1102" s="221"/>
      <c r="E1102" s="221"/>
      <c r="F1102" s="221"/>
      <c r="G1102" s="73" t="s">
        <v>39</v>
      </c>
      <c r="H1102" s="221">
        <f>IF(($L$1-(C1085+C1086+C1087+C1088))&gt;12,0,F1082*1.5%)</f>
        <v>0</v>
      </c>
      <c r="I1102" s="221"/>
      <c r="J1102" s="221"/>
      <c r="K1102" s="73" t="s">
        <v>38</v>
      </c>
      <c r="M1102" s="221" t="s">
        <v>44</v>
      </c>
      <c r="N1102" s="221"/>
      <c r="O1102" s="221"/>
      <c r="P1102" s="221"/>
      <c r="Q1102" s="221"/>
      <c r="R1102" s="221"/>
      <c r="S1102" s="73" t="s">
        <v>39</v>
      </c>
      <c r="T1102" s="221">
        <f>IF(($L$1-(O1085+O1086+O1087+O1088))&gt;12,0,R1082*1.5%)</f>
        <v>0</v>
      </c>
      <c r="U1102" s="221"/>
      <c r="V1102" s="221"/>
      <c r="W1102" s="73" t="s">
        <v>38</v>
      </c>
    </row>
    <row r="1103" spans="1:24" ht="18.75" customHeight="1">
      <c r="A1103" s="221" t="s">
        <v>43</v>
      </c>
      <c r="B1103" s="221"/>
      <c r="C1103" s="221"/>
      <c r="D1103" s="221"/>
      <c r="E1103" s="221"/>
      <c r="F1103" s="221"/>
      <c r="G1103" s="73" t="s">
        <v>39</v>
      </c>
      <c r="H1103" s="221">
        <f>IF(($L$1-(C1085+C1086+C1087+C1088))&gt;12,0,F1082*1%)</f>
        <v>0</v>
      </c>
      <c r="I1103" s="221"/>
      <c r="J1103" s="221"/>
      <c r="K1103" s="73" t="s">
        <v>38</v>
      </c>
      <c r="M1103" s="221" t="s">
        <v>43</v>
      </c>
      <c r="N1103" s="221"/>
      <c r="O1103" s="221"/>
      <c r="P1103" s="221"/>
      <c r="Q1103" s="221"/>
      <c r="R1103" s="221"/>
      <c r="S1103" s="73" t="s">
        <v>39</v>
      </c>
      <c r="T1103" s="221">
        <f>IF(($L$1-(O1085+O1086+O1087+O1088))&gt;12,0,R1082*1%)</f>
        <v>0</v>
      </c>
      <c r="U1103" s="221"/>
      <c r="V1103" s="221"/>
      <c r="W1103" s="73" t="s">
        <v>38</v>
      </c>
    </row>
    <row r="1104" spans="1:24" ht="18.75" customHeight="1">
      <c r="A1104" s="221" t="s">
        <v>42</v>
      </c>
      <c r="B1104" s="221"/>
      <c r="C1104" s="221"/>
      <c r="D1104" s="221"/>
      <c r="E1104" s="221"/>
      <c r="F1104" s="221"/>
      <c r="G1104" s="73" t="s">
        <v>39</v>
      </c>
      <c r="H1104" s="221">
        <v>0</v>
      </c>
      <c r="I1104" s="221"/>
      <c r="J1104" s="221"/>
      <c r="K1104" s="73" t="s">
        <v>38</v>
      </c>
      <c r="M1104" s="221" t="s">
        <v>42</v>
      </c>
      <c r="N1104" s="221"/>
      <c r="O1104" s="221"/>
      <c r="P1104" s="221"/>
      <c r="Q1104" s="221"/>
      <c r="R1104" s="221"/>
      <c r="S1104" s="73" t="s">
        <v>39</v>
      </c>
      <c r="T1104" s="221">
        <v>0</v>
      </c>
      <c r="U1104" s="221"/>
      <c r="V1104" s="221"/>
      <c r="W1104" s="73" t="s">
        <v>38</v>
      </c>
    </row>
    <row r="1105" spans="1:24" ht="18.75" customHeight="1">
      <c r="A1105" s="221" t="s">
        <v>41</v>
      </c>
      <c r="B1105" s="221"/>
      <c r="C1105" s="221"/>
      <c r="D1105" s="221"/>
      <c r="E1105" s="221"/>
      <c r="F1105" s="221"/>
      <c r="G1105" s="73" t="s">
        <v>39</v>
      </c>
      <c r="H1105" s="221">
        <f>SUM(H1101:J1104)</f>
        <v>0</v>
      </c>
      <c r="I1105" s="221"/>
      <c r="J1105" s="221"/>
      <c r="K1105" s="73" t="s">
        <v>38</v>
      </c>
      <c r="M1105" s="221" t="s">
        <v>41</v>
      </c>
      <c r="N1105" s="221"/>
      <c r="O1105" s="221"/>
      <c r="P1105" s="221"/>
      <c r="Q1105" s="221"/>
      <c r="R1105" s="221"/>
      <c r="S1105" s="73" t="s">
        <v>39</v>
      </c>
      <c r="T1105" s="221">
        <f>SUM(T1101:V1104)</f>
        <v>0</v>
      </c>
      <c r="U1105" s="221"/>
      <c r="V1105" s="221"/>
      <c r="W1105" s="73" t="s">
        <v>38</v>
      </c>
    </row>
    <row r="1106" spans="1:24" ht="18.75" customHeight="1">
      <c r="A1106" s="221" t="s">
        <v>40</v>
      </c>
      <c r="B1106" s="221"/>
      <c r="C1106" s="221"/>
      <c r="D1106" s="221"/>
      <c r="E1106" s="221"/>
      <c r="F1106" s="221"/>
      <c r="G1106" s="73" t="s">
        <v>39</v>
      </c>
      <c r="H1106" s="221" t="e">
        <f>ROUND(H1098-H1105,-2)</f>
        <v>#DIV/0!</v>
      </c>
      <c r="I1106" s="221"/>
      <c r="J1106" s="221"/>
      <c r="K1106" s="73" t="s">
        <v>38</v>
      </c>
      <c r="M1106" s="221" t="s">
        <v>40</v>
      </c>
      <c r="N1106" s="221"/>
      <c r="O1106" s="221"/>
      <c r="P1106" s="221"/>
      <c r="Q1106" s="221"/>
      <c r="R1106" s="221"/>
      <c r="S1106" s="73" t="s">
        <v>39</v>
      </c>
      <c r="T1106" s="221" t="e">
        <f>ROUND(T1098-T1105,-2)</f>
        <v>#DIV/0!</v>
      </c>
      <c r="U1106" s="221"/>
      <c r="V1106" s="221"/>
      <c r="W1106" s="73" t="s">
        <v>38</v>
      </c>
    </row>
    <row r="1107" spans="1:24" ht="18.75" customHeight="1">
      <c r="A1107" s="73"/>
      <c r="B1107" s="73"/>
      <c r="C1107" s="73"/>
      <c r="D1107" s="73"/>
      <c r="E1107" s="73"/>
      <c r="F1107" s="73"/>
      <c r="G1107" s="73"/>
      <c r="H1107" s="73"/>
      <c r="I1107" s="73"/>
      <c r="J1107" s="73"/>
      <c r="K1107" s="73"/>
      <c r="M1107" s="73"/>
      <c r="N1107" s="73"/>
      <c r="O1107" s="73"/>
      <c r="P1107" s="73"/>
      <c r="Q1107" s="73"/>
      <c r="R1107" s="73"/>
      <c r="S1107" s="73"/>
      <c r="T1107" s="73"/>
      <c r="U1107" s="73"/>
      <c r="V1107" s="73"/>
      <c r="W1107" s="73"/>
    </row>
    <row r="1108" spans="1:24" ht="18.75" customHeight="1">
      <c r="A1108" s="73"/>
      <c r="B1108" s="73"/>
      <c r="C1108" s="73"/>
      <c r="D1108" s="73"/>
      <c r="E1108" s="73"/>
      <c r="F1108" s="73"/>
      <c r="G1108" s="73"/>
      <c r="H1108" s="73"/>
      <c r="I1108" s="221" t="s">
        <v>37</v>
      </c>
      <c r="J1108" s="221"/>
      <c r="K1108" s="221"/>
      <c r="M1108" s="73"/>
      <c r="N1108" s="73"/>
      <c r="O1108" s="73"/>
      <c r="P1108" s="73"/>
      <c r="Q1108" s="73"/>
      <c r="R1108" s="73"/>
      <c r="S1108" s="73"/>
      <c r="T1108" s="73"/>
      <c r="U1108" s="221" t="s">
        <v>37</v>
      </c>
      <c r="V1108" s="221"/>
      <c r="W1108" s="221"/>
    </row>
    <row r="1109" spans="1:24" ht="18.75" customHeight="1">
      <c r="A1109" s="73"/>
      <c r="B1109" s="221"/>
      <c r="C1109" s="221"/>
      <c r="D1109" s="221"/>
      <c r="E1109" s="221"/>
      <c r="F1109" s="73"/>
      <c r="G1109" s="73"/>
      <c r="H1109" s="73"/>
      <c r="I1109" s="73"/>
      <c r="J1109" s="73"/>
      <c r="K1109" s="73"/>
      <c r="M1109" s="73"/>
      <c r="N1109" s="221"/>
      <c r="O1109" s="221"/>
      <c r="P1109" s="221"/>
      <c r="Q1109" s="221"/>
      <c r="R1109" s="73"/>
      <c r="S1109" s="73"/>
      <c r="T1109" s="73"/>
      <c r="U1109" s="73"/>
      <c r="V1109" s="73"/>
      <c r="W1109" s="73"/>
    </row>
    <row r="1110" spans="1:24" ht="18.75" customHeight="1">
      <c r="A1110" s="73"/>
      <c r="B1110" s="73"/>
      <c r="C1110" s="73"/>
      <c r="D1110" s="73"/>
      <c r="E1110" s="73"/>
      <c r="F1110" s="73"/>
      <c r="G1110" s="73"/>
      <c r="H1110" s="73"/>
      <c r="I1110" s="221" t="s">
        <v>36</v>
      </c>
      <c r="J1110" s="221"/>
      <c r="K1110" s="221"/>
      <c r="M1110" s="73"/>
      <c r="N1110" s="73"/>
      <c r="O1110" s="73"/>
      <c r="P1110" s="73"/>
      <c r="Q1110" s="73"/>
      <c r="R1110" s="73"/>
      <c r="S1110" s="73"/>
      <c r="T1110" s="73"/>
      <c r="U1110" s="221" t="s">
        <v>36</v>
      </c>
      <c r="V1110" s="221"/>
      <c r="W1110" s="221"/>
    </row>
    <row r="1112" spans="1:24" ht="18.75" customHeight="1">
      <c r="A1112" s="221" t="s">
        <v>87</v>
      </c>
      <c r="B1112" s="221"/>
      <c r="C1112" s="221"/>
      <c r="D1112" s="221"/>
      <c r="E1112" s="221"/>
      <c r="F1112" s="221"/>
      <c r="G1112" s="221"/>
      <c r="H1112" s="221"/>
      <c r="I1112" s="221"/>
      <c r="J1112" s="221"/>
      <c r="K1112" s="221"/>
      <c r="L1112" s="73">
        <v>24</v>
      </c>
      <c r="M1112" s="221" t="s">
        <v>87</v>
      </c>
      <c r="N1112" s="221"/>
      <c r="O1112" s="221"/>
      <c r="P1112" s="221"/>
      <c r="Q1112" s="221"/>
      <c r="R1112" s="221"/>
      <c r="S1112" s="221"/>
      <c r="T1112" s="221"/>
      <c r="U1112" s="221"/>
      <c r="V1112" s="221"/>
      <c r="W1112" s="221"/>
      <c r="X1112" s="73">
        <v>24</v>
      </c>
    </row>
    <row r="1113" spans="1:24" ht="18.75" customHeight="1">
      <c r="A1113" s="73" t="s">
        <v>89</v>
      </c>
      <c r="B1113" s="73"/>
      <c r="C1113" s="73"/>
      <c r="D1113" s="73"/>
      <c r="E1113" s="73"/>
      <c r="F1113" s="73"/>
      <c r="G1113" s="73"/>
      <c r="H1113" s="73"/>
      <c r="I1113" s="73"/>
      <c r="J1113" s="73"/>
      <c r="K1113" s="73"/>
      <c r="M1113" s="73" t="s">
        <v>88</v>
      </c>
      <c r="N1113" s="73"/>
      <c r="O1113" s="73"/>
      <c r="P1113" s="73"/>
      <c r="Q1113" s="73"/>
      <c r="R1113" s="73"/>
      <c r="S1113" s="73"/>
      <c r="T1113" s="73"/>
      <c r="U1113" s="73"/>
      <c r="V1113" s="73"/>
      <c r="W1113" s="73"/>
    </row>
    <row r="1114" spans="1:24" ht="18.75" customHeight="1">
      <c r="A1114" s="221" t="s">
        <v>84</v>
      </c>
      <c r="B1114" s="221"/>
      <c r="C1114" s="221"/>
      <c r="D1114" s="221"/>
      <c r="E1114" s="221"/>
      <c r="F1114" s="221"/>
      <c r="G1114" s="221"/>
      <c r="H1114" s="221"/>
      <c r="I1114" s="221"/>
      <c r="J1114" s="221"/>
      <c r="K1114" s="221"/>
      <c r="M1114" s="221" t="s">
        <v>84</v>
      </c>
      <c r="N1114" s="221"/>
      <c r="O1114" s="221"/>
      <c r="P1114" s="221"/>
      <c r="Q1114" s="221"/>
      <c r="R1114" s="221"/>
      <c r="S1114" s="221"/>
      <c r="T1114" s="221"/>
      <c r="U1114" s="221"/>
      <c r="V1114" s="221"/>
      <c r="W1114" s="221"/>
    </row>
    <row r="1115" spans="1:24" ht="18.75" customHeight="1">
      <c r="A1115" s="221" t="s">
        <v>83</v>
      </c>
      <c r="B1115" s="221"/>
      <c r="C1115" s="221"/>
      <c r="D1115" s="221"/>
      <c r="E1115" s="73" t="s">
        <v>39</v>
      </c>
      <c r="F1115" s="221"/>
      <c r="G1115" s="221"/>
      <c r="H1115" s="221"/>
      <c r="I1115" s="221"/>
      <c r="J1115" s="221"/>
      <c r="K1115" s="221"/>
      <c r="M1115" s="221" t="s">
        <v>83</v>
      </c>
      <c r="N1115" s="221"/>
      <c r="O1115" s="221"/>
      <c r="P1115" s="221"/>
      <c r="Q1115" s="73" t="s">
        <v>39</v>
      </c>
      <c r="R1115" s="221"/>
      <c r="S1115" s="221"/>
      <c r="T1115" s="221"/>
      <c r="U1115" s="221"/>
      <c r="V1115" s="221"/>
      <c r="W1115" s="221"/>
    </row>
    <row r="1116" spans="1:24" ht="18.75" customHeight="1">
      <c r="A1116" s="221" t="s">
        <v>82</v>
      </c>
      <c r="B1116" s="221"/>
      <c r="C1116" s="221"/>
      <c r="D1116" s="221"/>
      <c r="E1116" s="73" t="s">
        <v>39</v>
      </c>
      <c r="F1116" s="221"/>
      <c r="G1116" s="221"/>
      <c r="H1116" s="221"/>
      <c r="I1116" s="221"/>
      <c r="J1116" s="221"/>
      <c r="K1116" s="221"/>
      <c r="M1116" s="221" t="s">
        <v>82</v>
      </c>
      <c r="N1116" s="221"/>
      <c r="O1116" s="221"/>
      <c r="P1116" s="221"/>
      <c r="Q1116" s="73" t="s">
        <v>39</v>
      </c>
      <c r="R1116" s="221"/>
      <c r="S1116" s="221"/>
      <c r="T1116" s="221"/>
      <c r="U1116" s="221"/>
      <c r="V1116" s="221"/>
      <c r="W1116" s="221"/>
    </row>
    <row r="1117" spans="1:24" ht="18.75" customHeight="1">
      <c r="A1117" s="221" t="s">
        <v>81</v>
      </c>
      <c r="B1117" s="221"/>
      <c r="C1117" s="221"/>
      <c r="D1117" s="221"/>
      <c r="E1117" s="73" t="s">
        <v>39</v>
      </c>
      <c r="F1117" s="221" t="s">
        <v>80</v>
      </c>
      <c r="G1117" s="221"/>
      <c r="H1117" s="221"/>
      <c r="I1117" s="221"/>
      <c r="J1117" s="221"/>
      <c r="K1117" s="221"/>
      <c r="M1117" s="221" t="s">
        <v>81</v>
      </c>
      <c r="N1117" s="221"/>
      <c r="O1117" s="221"/>
      <c r="P1117" s="221"/>
      <c r="Q1117" s="73" t="s">
        <v>39</v>
      </c>
      <c r="R1117" s="221" t="s">
        <v>80</v>
      </c>
      <c r="S1117" s="221"/>
      <c r="T1117" s="221"/>
      <c r="U1117" s="221"/>
      <c r="V1117" s="221"/>
      <c r="W1117" s="221"/>
    </row>
    <row r="1118" spans="1:24" ht="18.75" customHeight="1">
      <c r="A1118" s="221" t="s">
        <v>79</v>
      </c>
      <c r="B1118" s="221"/>
      <c r="C1118" s="221"/>
      <c r="D1118" s="221"/>
      <c r="E1118" s="221"/>
      <c r="F1118" s="221"/>
      <c r="G1118" s="221"/>
      <c r="H1118" s="221"/>
      <c r="I1118" s="221"/>
      <c r="J1118" s="221"/>
      <c r="K1118" s="221"/>
      <c r="M1118" s="221" t="s">
        <v>79</v>
      </c>
      <c r="N1118" s="221"/>
      <c r="O1118" s="221"/>
      <c r="P1118" s="221"/>
      <c r="Q1118" s="221"/>
      <c r="R1118" s="221"/>
      <c r="S1118" s="221"/>
      <c r="T1118" s="221"/>
      <c r="U1118" s="221"/>
      <c r="V1118" s="221"/>
      <c r="W1118" s="221"/>
    </row>
    <row r="1119" spans="1:24" ht="18.75" customHeight="1">
      <c r="A1119" s="221" t="s">
        <v>78</v>
      </c>
      <c r="B1119" s="221"/>
      <c r="C1119" s="221"/>
      <c r="D1119" s="221"/>
      <c r="E1119" s="73" t="s">
        <v>39</v>
      </c>
      <c r="F1119" s="221">
        <v>2915400</v>
      </c>
      <c r="G1119" s="221"/>
      <c r="H1119" s="221"/>
      <c r="I1119" s="221"/>
      <c r="J1119" s="73" t="s">
        <v>38</v>
      </c>
      <c r="K1119" s="73"/>
      <c r="M1119" s="221" t="s">
        <v>78</v>
      </c>
      <c r="N1119" s="221"/>
      <c r="O1119" s="221"/>
      <c r="P1119" s="221"/>
      <c r="Q1119" s="73" t="s">
        <v>39</v>
      </c>
      <c r="R1119" s="221">
        <v>2915400</v>
      </c>
      <c r="S1119" s="221"/>
      <c r="T1119" s="221"/>
      <c r="U1119" s="221"/>
      <c r="V1119" s="73" t="s">
        <v>38</v>
      </c>
      <c r="W1119" s="73"/>
    </row>
    <row r="1120" spans="1:24" ht="18.75" customHeight="1">
      <c r="A1120" s="73" t="s">
        <v>77</v>
      </c>
      <c r="B1120" s="73"/>
      <c r="C1120" s="73"/>
      <c r="D1120" s="73"/>
      <c r="E1120" s="73"/>
      <c r="F1120" s="73"/>
      <c r="G1120" s="73"/>
      <c r="H1120" s="73"/>
      <c r="I1120" s="73"/>
      <c r="J1120" s="73"/>
      <c r="K1120" s="73"/>
      <c r="M1120" s="73" t="s">
        <v>77</v>
      </c>
      <c r="N1120" s="73"/>
      <c r="O1120" s="73"/>
      <c r="P1120" s="73"/>
      <c r="Q1120" s="73"/>
      <c r="R1120" s="73"/>
      <c r="S1120" s="73"/>
      <c r="T1120" s="73"/>
      <c r="U1120" s="73"/>
      <c r="V1120" s="73"/>
      <c r="W1120" s="73"/>
    </row>
    <row r="1121" spans="1:24" ht="18.75" customHeight="1">
      <c r="A1121" s="73" t="s">
        <v>76</v>
      </c>
      <c r="B1121" s="73"/>
      <c r="C1121" s="73"/>
      <c r="D1121" s="73"/>
      <c r="E1121" s="73"/>
      <c r="F1121" s="73"/>
      <c r="G1121" s="73"/>
      <c r="H1121" s="73"/>
      <c r="I1121" s="73" t="e">
        <f>I1122/C1122/8</f>
        <v>#DIV/0!</v>
      </c>
      <c r="J1121" s="73"/>
      <c r="K1121" s="73"/>
      <c r="M1121" s="73" t="s">
        <v>76</v>
      </c>
      <c r="N1121" s="73"/>
      <c r="O1121" s="73"/>
      <c r="P1121" s="73"/>
      <c r="Q1121" s="73"/>
      <c r="R1121" s="73"/>
      <c r="S1121" s="73"/>
      <c r="T1121" s="73"/>
      <c r="U1121" s="73" t="e">
        <f>U1122/O1122/8</f>
        <v>#DIV/0!</v>
      </c>
      <c r="V1121" s="73"/>
      <c r="W1121" s="73"/>
    </row>
    <row r="1122" spans="1:24" ht="18.75" customHeight="1">
      <c r="A1122" s="73" t="s">
        <v>75</v>
      </c>
      <c r="B1122" s="73" t="s">
        <v>39</v>
      </c>
      <c r="C1122" s="73"/>
      <c r="D1122" s="73" t="s">
        <v>52</v>
      </c>
      <c r="E1122" s="221" t="s">
        <v>74</v>
      </c>
      <c r="F1122" s="221"/>
      <c r="G1122" s="221"/>
      <c r="H1122" s="73" t="s">
        <v>39</v>
      </c>
      <c r="I1122" s="221" t="e">
        <f>I1120*680/((C1122-C1129)*8+C1129*7+C1126)*((C1122-C1129)*8+C1129*7)</f>
        <v>#DIV/0!</v>
      </c>
      <c r="J1122" s="221"/>
      <c r="K1122" s="73" t="s">
        <v>38</v>
      </c>
      <c r="L1122" s="73">
        <f>F1119/L1112*C1122</f>
        <v>0</v>
      </c>
      <c r="M1122" s="73" t="s">
        <v>75</v>
      </c>
      <c r="N1122" s="73" t="s">
        <v>39</v>
      </c>
      <c r="O1122" s="73"/>
      <c r="P1122" s="73" t="s">
        <v>52</v>
      </c>
      <c r="Q1122" s="221" t="s">
        <v>74</v>
      </c>
      <c r="R1122" s="221"/>
      <c r="S1122" s="221"/>
      <c r="T1122" s="73" t="s">
        <v>39</v>
      </c>
      <c r="U1122" s="221" t="e">
        <f>U1120*680/((O1122-O1129)*8+O1129*7+O1126)*((O1122-O1129)*8+O1129*7)</f>
        <v>#DIV/0!</v>
      </c>
      <c r="V1122" s="221"/>
      <c r="W1122" s="73" t="s">
        <v>38</v>
      </c>
      <c r="X1122" s="73">
        <f>R1119/X1112*O1122</f>
        <v>0</v>
      </c>
    </row>
    <row r="1123" spans="1:24" ht="18.75" customHeight="1">
      <c r="A1123" s="73" t="s">
        <v>73</v>
      </c>
      <c r="B1123" s="73" t="s">
        <v>39</v>
      </c>
      <c r="C1123" s="73"/>
      <c r="D1123" s="73" t="s">
        <v>52</v>
      </c>
      <c r="E1123" s="221" t="s">
        <v>72</v>
      </c>
      <c r="F1123" s="221"/>
      <c r="G1123" s="221"/>
      <c r="H1123" s="73" t="s">
        <v>39</v>
      </c>
      <c r="I1123" s="221">
        <f>$F$8/$L$1*C1123</f>
        <v>0</v>
      </c>
      <c r="J1123" s="221"/>
      <c r="K1123" s="73" t="s">
        <v>38</v>
      </c>
      <c r="L1123" s="73"/>
      <c r="M1123" s="73" t="s">
        <v>73</v>
      </c>
      <c r="N1123" s="73" t="s">
        <v>39</v>
      </c>
      <c r="O1123" s="73"/>
      <c r="P1123" s="73" t="s">
        <v>52</v>
      </c>
      <c r="Q1123" s="221" t="s">
        <v>72</v>
      </c>
      <c r="R1123" s="221"/>
      <c r="S1123" s="221"/>
      <c r="T1123" s="73" t="s">
        <v>39</v>
      </c>
      <c r="U1123" s="221">
        <f>$F$8/$L$1*O1123</f>
        <v>0</v>
      </c>
      <c r="V1123" s="221"/>
      <c r="W1123" s="73" t="s">
        <v>38</v>
      </c>
      <c r="X1123" s="73"/>
    </row>
    <row r="1124" spans="1:24" ht="18.75" customHeight="1">
      <c r="A1124" s="73" t="s">
        <v>71</v>
      </c>
      <c r="B1124" s="73" t="s">
        <v>39</v>
      </c>
      <c r="C1124" s="73"/>
      <c r="D1124" s="73" t="s">
        <v>52</v>
      </c>
      <c r="E1124" s="221" t="s">
        <v>70</v>
      </c>
      <c r="F1124" s="221"/>
      <c r="G1124" s="221"/>
      <c r="H1124" s="73" t="s">
        <v>39</v>
      </c>
      <c r="I1124" s="221">
        <f>$F$8/$L$1*C1124</f>
        <v>0</v>
      </c>
      <c r="J1124" s="221"/>
      <c r="K1124" s="73" t="s">
        <v>38</v>
      </c>
      <c r="L1124" s="73"/>
      <c r="M1124" s="73" t="s">
        <v>71</v>
      </c>
      <c r="N1124" s="73" t="s">
        <v>39</v>
      </c>
      <c r="O1124" s="73"/>
      <c r="P1124" s="73" t="s">
        <v>52</v>
      </c>
      <c r="Q1124" s="221" t="s">
        <v>70</v>
      </c>
      <c r="R1124" s="221"/>
      <c r="S1124" s="221"/>
      <c r="T1124" s="73" t="s">
        <v>39</v>
      </c>
      <c r="U1124" s="221">
        <f>$F$8/$L$1*O1124</f>
        <v>0</v>
      </c>
      <c r="V1124" s="221"/>
      <c r="W1124" s="73" t="s">
        <v>38</v>
      </c>
      <c r="X1124" s="73"/>
    </row>
    <row r="1125" spans="1:24" ht="18.75" customHeight="1">
      <c r="A1125" s="73" t="s">
        <v>69</v>
      </c>
      <c r="B1125" s="73" t="s">
        <v>39</v>
      </c>
      <c r="C1125" s="73"/>
      <c r="D1125" s="73" t="s">
        <v>52</v>
      </c>
      <c r="E1125" s="221" t="s">
        <v>68</v>
      </c>
      <c r="F1125" s="221"/>
      <c r="G1125" s="221"/>
      <c r="H1125" s="73" t="s">
        <v>39</v>
      </c>
      <c r="I1125" s="221">
        <f>$F$8/$L$1*C1125</f>
        <v>0</v>
      </c>
      <c r="J1125" s="221"/>
      <c r="K1125" s="73" t="s">
        <v>38</v>
      </c>
      <c r="L1125" s="73"/>
      <c r="M1125" s="73" t="s">
        <v>69</v>
      </c>
      <c r="N1125" s="73" t="s">
        <v>39</v>
      </c>
      <c r="O1125" s="73"/>
      <c r="P1125" s="73" t="s">
        <v>52</v>
      </c>
      <c r="Q1125" s="221" t="s">
        <v>68</v>
      </c>
      <c r="R1125" s="221"/>
      <c r="S1125" s="221"/>
      <c r="T1125" s="73" t="s">
        <v>39</v>
      </c>
      <c r="U1125" s="221">
        <f>$F$8/$L$1*O1125</f>
        <v>0</v>
      </c>
      <c r="V1125" s="221"/>
      <c r="W1125" s="73" t="s">
        <v>38</v>
      </c>
      <c r="X1125" s="73"/>
    </row>
    <row r="1126" spans="1:24" ht="18.75" customHeight="1">
      <c r="A1126" s="73" t="s">
        <v>67</v>
      </c>
      <c r="B1126" s="73" t="s">
        <v>39</v>
      </c>
      <c r="C1126" s="73"/>
      <c r="D1126" s="73" t="s">
        <v>58</v>
      </c>
      <c r="E1126" s="221" t="s">
        <v>66</v>
      </c>
      <c r="F1126" s="221"/>
      <c r="G1126" s="221"/>
      <c r="H1126" s="73" t="s">
        <v>39</v>
      </c>
      <c r="I1126" s="221" t="e">
        <f>I1122/C1122/8*C1126</f>
        <v>#DIV/0!</v>
      </c>
      <c r="J1126" s="221"/>
      <c r="K1126" s="73" t="s">
        <v>38</v>
      </c>
      <c r="L1126" s="73">
        <f>F1119*C1126/L1112/8*1.5</f>
        <v>0</v>
      </c>
      <c r="M1126" s="73" t="s">
        <v>67</v>
      </c>
      <c r="N1126" s="73" t="s">
        <v>39</v>
      </c>
      <c r="O1126" s="73"/>
      <c r="P1126" s="73" t="s">
        <v>58</v>
      </c>
      <c r="Q1126" s="221" t="s">
        <v>66</v>
      </c>
      <c r="R1126" s="221"/>
      <c r="S1126" s="221"/>
      <c r="T1126" s="73" t="s">
        <v>39</v>
      </c>
      <c r="U1126" s="221" t="e">
        <f>U1122/O1122/8*O1126</f>
        <v>#DIV/0!</v>
      </c>
      <c r="V1126" s="221"/>
      <c r="W1126" s="73" t="s">
        <v>38</v>
      </c>
      <c r="X1126" s="73">
        <f>R1119*O1126/X1112/8*1.5</f>
        <v>0</v>
      </c>
    </row>
    <row r="1127" spans="1:24" ht="18.75" customHeight="1">
      <c r="A1127" s="221" t="s">
        <v>65</v>
      </c>
      <c r="B1127" s="221"/>
      <c r="C1127" s="73"/>
      <c r="D1127" s="73" t="s">
        <v>52</v>
      </c>
      <c r="E1127" s="221" t="s">
        <v>64</v>
      </c>
      <c r="F1127" s="221"/>
      <c r="G1127" s="221"/>
      <c r="H1127" s="73" t="s">
        <v>39</v>
      </c>
      <c r="I1127" s="221"/>
      <c r="J1127" s="221"/>
      <c r="K1127" s="73" t="s">
        <v>38</v>
      </c>
      <c r="L1127" s="73"/>
      <c r="M1127" s="221" t="s">
        <v>65</v>
      </c>
      <c r="N1127" s="221"/>
      <c r="O1127" s="73"/>
      <c r="P1127" s="73" t="s">
        <v>52</v>
      </c>
      <c r="Q1127" s="221" t="s">
        <v>64</v>
      </c>
      <c r="R1127" s="221"/>
      <c r="S1127" s="221"/>
      <c r="T1127" s="73" t="s">
        <v>39</v>
      </c>
      <c r="U1127" s="221"/>
      <c r="V1127" s="221"/>
      <c r="W1127" s="73" t="s">
        <v>38</v>
      </c>
      <c r="X1127" s="73"/>
    </row>
    <row r="1128" spans="1:24" ht="18.75" customHeight="1">
      <c r="A1128" s="73" t="s">
        <v>63</v>
      </c>
      <c r="B1128" s="73" t="s">
        <v>39</v>
      </c>
      <c r="C1128" s="73"/>
      <c r="D1128" s="73" t="s">
        <v>52</v>
      </c>
      <c r="E1128" s="221" t="s">
        <v>62</v>
      </c>
      <c r="F1128" s="221"/>
      <c r="G1128" s="221"/>
      <c r="H1128" s="73" t="s">
        <v>39</v>
      </c>
      <c r="I1128" s="221"/>
      <c r="J1128" s="221"/>
      <c r="K1128" s="73" t="s">
        <v>38</v>
      </c>
      <c r="L1128" s="73"/>
      <c r="M1128" s="73" t="s">
        <v>63</v>
      </c>
      <c r="N1128" s="73" t="s">
        <v>39</v>
      </c>
      <c r="O1128" s="73"/>
      <c r="P1128" s="73" t="s">
        <v>52</v>
      </c>
      <c r="Q1128" s="221" t="s">
        <v>62</v>
      </c>
      <c r="R1128" s="221"/>
      <c r="S1128" s="221"/>
      <c r="T1128" s="73" t="s">
        <v>39</v>
      </c>
      <c r="U1128" s="221"/>
      <c r="V1128" s="221"/>
      <c r="W1128" s="73" t="s">
        <v>38</v>
      </c>
      <c r="X1128" s="73"/>
    </row>
    <row r="1129" spans="1:24" ht="18.75" customHeight="1">
      <c r="A1129" s="73" t="s">
        <v>61</v>
      </c>
      <c r="B1129" s="73"/>
      <c r="C1129" s="73"/>
      <c r="D1129" s="73" t="s">
        <v>58</v>
      </c>
      <c r="E1129" s="221" t="s">
        <v>60</v>
      </c>
      <c r="F1129" s="221"/>
      <c r="G1129" s="221"/>
      <c r="H1129" s="73" t="s">
        <v>39</v>
      </c>
      <c r="I1129" s="221">
        <f>$F$8*C1129/8/$L$1</f>
        <v>0</v>
      </c>
      <c r="J1129" s="221"/>
      <c r="K1129" s="73" t="s">
        <v>38</v>
      </c>
      <c r="L1129" s="73"/>
      <c r="M1129" s="73" t="s">
        <v>61</v>
      </c>
      <c r="N1129" s="73"/>
      <c r="O1129" s="73"/>
      <c r="P1129" s="73" t="s">
        <v>58</v>
      </c>
      <c r="Q1129" s="221" t="s">
        <v>60</v>
      </c>
      <c r="R1129" s="221"/>
      <c r="S1129" s="221"/>
      <c r="T1129" s="73" t="s">
        <v>39</v>
      </c>
      <c r="U1129" s="221">
        <f>$F$8*O1129/8/$L$1</f>
        <v>0</v>
      </c>
      <c r="V1129" s="221"/>
      <c r="W1129" s="73" t="s">
        <v>38</v>
      </c>
      <c r="X1129" s="73"/>
    </row>
    <row r="1130" spans="1:24" ht="18.75" customHeight="1">
      <c r="A1130" s="73" t="s">
        <v>59</v>
      </c>
      <c r="B1130" s="73" t="s">
        <v>39</v>
      </c>
      <c r="C1130" s="73"/>
      <c r="D1130" s="73" t="s">
        <v>58</v>
      </c>
      <c r="E1130" s="221" t="s">
        <v>57</v>
      </c>
      <c r="F1130" s="221"/>
      <c r="G1130" s="221"/>
      <c r="H1130" s="73" t="s">
        <v>39</v>
      </c>
      <c r="I1130" s="221"/>
      <c r="J1130" s="221"/>
      <c r="K1130" s="73" t="s">
        <v>38</v>
      </c>
      <c r="L1130" s="73"/>
      <c r="M1130" s="73" t="s">
        <v>59</v>
      </c>
      <c r="N1130" s="73" t="s">
        <v>39</v>
      </c>
      <c r="O1130" s="73"/>
      <c r="P1130" s="73" t="s">
        <v>58</v>
      </c>
      <c r="Q1130" s="221" t="s">
        <v>57</v>
      </c>
      <c r="R1130" s="221"/>
      <c r="S1130" s="221"/>
      <c r="T1130" s="73" t="s">
        <v>39</v>
      </c>
      <c r="U1130" s="221"/>
      <c r="V1130" s="221"/>
      <c r="W1130" s="73" t="s">
        <v>38</v>
      </c>
      <c r="X1130" s="73"/>
    </row>
    <row r="1131" spans="1:24" ht="18.75" customHeight="1">
      <c r="A1131" s="73" t="s">
        <v>56</v>
      </c>
      <c r="B1131" s="73" t="s">
        <v>39</v>
      </c>
      <c r="C1131" s="73"/>
      <c r="D1131" s="73" t="s">
        <v>55</v>
      </c>
      <c r="E1131" s="73" t="s">
        <v>54</v>
      </c>
      <c r="F1131" s="73"/>
      <c r="G1131" s="73"/>
      <c r="H1131" s="73" t="s">
        <v>39</v>
      </c>
      <c r="I1131" s="221"/>
      <c r="J1131" s="221"/>
      <c r="K1131" s="73" t="s">
        <v>38</v>
      </c>
      <c r="L1131" s="73" t="e">
        <f>+IF(L1122-I1122&lt;0,0,L1122-I1122)+IF(L1126-I1126&lt;0,0,L1126-I1126)</f>
        <v>#DIV/0!</v>
      </c>
      <c r="M1131" s="73" t="s">
        <v>56</v>
      </c>
      <c r="N1131" s="73" t="s">
        <v>39</v>
      </c>
      <c r="O1131" s="73"/>
      <c r="P1131" s="73" t="s">
        <v>55</v>
      </c>
      <c r="Q1131" s="73" t="s">
        <v>54</v>
      </c>
      <c r="R1131" s="73"/>
      <c r="S1131" s="73"/>
      <c r="T1131" s="73" t="s">
        <v>39</v>
      </c>
      <c r="U1131" s="221"/>
      <c r="V1131" s="221"/>
      <c r="W1131" s="73" t="s">
        <v>38</v>
      </c>
      <c r="X1131" s="73" t="e">
        <f>+IF(X1122-U1122&lt;0,0,X1122-U1122)+IF(X1126-U1126&lt;0,0,X1126-U1126)</f>
        <v>#DIV/0!</v>
      </c>
    </row>
    <row r="1132" spans="1:24" ht="18.75" customHeight="1">
      <c r="A1132" s="73" t="s">
        <v>53</v>
      </c>
      <c r="B1132" s="73"/>
      <c r="C1132" s="73"/>
      <c r="D1132" s="73" t="s">
        <v>52</v>
      </c>
      <c r="E1132" s="221" t="s">
        <v>51</v>
      </c>
      <c r="F1132" s="221"/>
      <c r="G1132" s="221"/>
      <c r="H1132" s="73" t="s">
        <v>39</v>
      </c>
      <c r="I1132" s="221"/>
      <c r="J1132" s="221"/>
      <c r="K1132" s="73" t="s">
        <v>38</v>
      </c>
      <c r="L1132" s="73"/>
      <c r="M1132" s="73" t="s">
        <v>53</v>
      </c>
      <c r="N1132" s="73"/>
      <c r="O1132" s="73"/>
      <c r="P1132" s="73" t="s">
        <v>52</v>
      </c>
      <c r="Q1132" s="221" t="s">
        <v>51</v>
      </c>
      <c r="R1132" s="221"/>
      <c r="S1132" s="221"/>
      <c r="T1132" s="73" t="s">
        <v>39</v>
      </c>
      <c r="U1132" s="221"/>
      <c r="V1132" s="221"/>
      <c r="W1132" s="73" t="s">
        <v>38</v>
      </c>
      <c r="X1132" s="73"/>
    </row>
    <row r="1133" spans="1:24" ht="18.75" customHeight="1">
      <c r="A1133" s="221" t="s">
        <v>50</v>
      </c>
      <c r="B1133" s="221"/>
      <c r="C1133" s="73"/>
      <c r="D1133" s="73"/>
      <c r="E1133" s="73"/>
      <c r="F1133" s="73"/>
      <c r="G1133" s="73"/>
      <c r="H1133" s="73" t="s">
        <v>39</v>
      </c>
      <c r="I1133" s="221"/>
      <c r="J1133" s="221"/>
      <c r="K1133" s="73" t="s">
        <v>38</v>
      </c>
      <c r="L1133" s="73"/>
      <c r="M1133" s="221" t="s">
        <v>50</v>
      </c>
      <c r="N1133" s="221"/>
      <c r="O1133" s="73"/>
      <c r="P1133" s="73"/>
      <c r="Q1133" s="73"/>
      <c r="R1133" s="73"/>
      <c r="S1133" s="73"/>
      <c r="T1133" s="73" t="s">
        <v>39</v>
      </c>
      <c r="U1133" s="221"/>
      <c r="V1133" s="221"/>
      <c r="W1133" s="73" t="s">
        <v>38</v>
      </c>
      <c r="X1133" s="73"/>
    </row>
    <row r="1134" spans="1:24" ht="18.75" customHeight="1">
      <c r="A1134" s="73" t="s">
        <v>49</v>
      </c>
      <c r="B1134" s="73" t="s">
        <v>39</v>
      </c>
      <c r="C1134" s="73"/>
      <c r="D1134" s="73"/>
      <c r="E1134" s="73" t="s">
        <v>48</v>
      </c>
      <c r="F1134" s="73"/>
      <c r="G1134" s="73"/>
      <c r="H1134" s="73" t="s">
        <v>39</v>
      </c>
      <c r="I1134" s="221" t="e">
        <f>L1131</f>
        <v>#DIV/0!</v>
      </c>
      <c r="J1134" s="221"/>
      <c r="K1134" s="73" t="s">
        <v>38</v>
      </c>
      <c r="L1134" s="73"/>
      <c r="M1134" s="73" t="s">
        <v>49</v>
      </c>
      <c r="N1134" s="73" t="s">
        <v>39</v>
      </c>
      <c r="O1134" s="73"/>
      <c r="P1134" s="73"/>
      <c r="Q1134" s="73" t="s">
        <v>48</v>
      </c>
      <c r="R1134" s="73"/>
      <c r="S1134" s="73"/>
      <c r="T1134" s="73" t="s">
        <v>39</v>
      </c>
      <c r="U1134" s="221" t="e">
        <f>X1131</f>
        <v>#DIV/0!</v>
      </c>
      <c r="V1134" s="221"/>
      <c r="W1134" s="73" t="s">
        <v>38</v>
      </c>
      <c r="X1134" s="73"/>
    </row>
    <row r="1135" spans="1:24" ht="18.75" customHeight="1">
      <c r="A1135" s="221" t="s">
        <v>47</v>
      </c>
      <c r="B1135" s="221"/>
      <c r="C1135" s="221"/>
      <c r="D1135" s="221"/>
      <c r="E1135" s="221"/>
      <c r="F1135" s="221"/>
      <c r="G1135" s="73" t="s">
        <v>39</v>
      </c>
      <c r="H1135" s="221" t="e">
        <f>I1122+I1123+I1124+I1125+I1126+I1129+I1133+I1134</f>
        <v>#DIV/0!</v>
      </c>
      <c r="I1135" s="221"/>
      <c r="J1135" s="221"/>
      <c r="K1135" s="73" t="s">
        <v>38</v>
      </c>
      <c r="M1135" s="221" t="s">
        <v>47</v>
      </c>
      <c r="N1135" s="221"/>
      <c r="O1135" s="221"/>
      <c r="P1135" s="221"/>
      <c r="Q1135" s="221"/>
      <c r="R1135" s="221"/>
      <c r="S1135" s="73" t="s">
        <v>39</v>
      </c>
      <c r="T1135" s="221" t="e">
        <f>U1122+U1123+U1124+U1125+U1126+U1129+U1133+U1134</f>
        <v>#DIV/0!</v>
      </c>
      <c r="U1135" s="221"/>
      <c r="V1135" s="221"/>
      <c r="W1135" s="73" t="s">
        <v>38</v>
      </c>
    </row>
    <row r="1136" spans="1:24" ht="18.75" customHeight="1">
      <c r="A1136" s="73"/>
      <c r="B1136" s="73"/>
      <c r="C1136" s="73"/>
      <c r="D1136" s="73"/>
      <c r="E1136" s="73"/>
      <c r="F1136" s="73"/>
      <c r="G1136" s="73"/>
      <c r="H1136" s="73"/>
      <c r="I1136" s="73"/>
      <c r="J1136" s="73"/>
      <c r="K1136" s="73"/>
      <c r="M1136" s="73"/>
      <c r="N1136" s="73"/>
      <c r="O1136" s="73"/>
      <c r="P1136" s="73"/>
      <c r="Q1136" s="73"/>
      <c r="R1136" s="73"/>
      <c r="S1136" s="73"/>
      <c r="T1136" s="73"/>
      <c r="U1136" s="73"/>
      <c r="V1136" s="73"/>
      <c r="W1136" s="73"/>
    </row>
    <row r="1137" spans="1:24" ht="18.75" customHeight="1">
      <c r="A1137" s="221" t="s">
        <v>46</v>
      </c>
      <c r="B1137" s="221"/>
      <c r="C1137" s="221"/>
      <c r="D1137" s="221"/>
      <c r="E1137" s="221"/>
      <c r="F1137" s="221"/>
      <c r="G1137" s="73"/>
      <c r="H1137" s="73"/>
      <c r="I1137" s="73"/>
      <c r="J1137" s="73"/>
      <c r="K1137" s="73"/>
      <c r="M1137" s="221" t="s">
        <v>46</v>
      </c>
      <c r="N1137" s="221"/>
      <c r="O1137" s="221"/>
      <c r="P1137" s="221"/>
      <c r="Q1137" s="221"/>
      <c r="R1137" s="221"/>
      <c r="S1137" s="73"/>
      <c r="T1137" s="73"/>
      <c r="U1137" s="73"/>
      <c r="V1137" s="73"/>
      <c r="W1137" s="73"/>
    </row>
    <row r="1138" spans="1:24" ht="18.75" customHeight="1">
      <c r="A1138" s="221" t="s">
        <v>45</v>
      </c>
      <c r="B1138" s="221"/>
      <c r="C1138" s="221"/>
      <c r="D1138" s="221"/>
      <c r="E1138" s="221"/>
      <c r="F1138" s="221"/>
      <c r="G1138" s="73" t="s">
        <v>39</v>
      </c>
      <c r="H1138" s="221">
        <f>IF(($L$1-(C1122+C1123+C1124+C1125))&gt;12,0,F1119*8%)</f>
        <v>0</v>
      </c>
      <c r="I1138" s="221"/>
      <c r="J1138" s="221"/>
      <c r="K1138" s="73" t="s">
        <v>38</v>
      </c>
      <c r="M1138" s="221" t="s">
        <v>45</v>
      </c>
      <c r="N1138" s="221"/>
      <c r="O1138" s="221"/>
      <c r="P1138" s="221"/>
      <c r="Q1138" s="221"/>
      <c r="R1138" s="221"/>
      <c r="S1138" s="73" t="s">
        <v>39</v>
      </c>
      <c r="T1138" s="221">
        <f>IF(($L$1-(O1122+O1123+O1124+O1125))&gt;12,0,R1119*8%)</f>
        <v>0</v>
      </c>
      <c r="U1138" s="221"/>
      <c r="V1138" s="221"/>
      <c r="W1138" s="73" t="s">
        <v>38</v>
      </c>
    </row>
    <row r="1139" spans="1:24" ht="18.75" customHeight="1">
      <c r="A1139" s="221" t="s">
        <v>44</v>
      </c>
      <c r="B1139" s="221"/>
      <c r="C1139" s="221"/>
      <c r="D1139" s="221"/>
      <c r="E1139" s="221"/>
      <c r="F1139" s="221"/>
      <c r="G1139" s="73" t="s">
        <v>39</v>
      </c>
      <c r="H1139" s="221">
        <f>IF(($L$1-(C1122+C1123+C1124+C1125))&gt;12,0,F1119*1.5%)</f>
        <v>0</v>
      </c>
      <c r="I1139" s="221"/>
      <c r="J1139" s="221"/>
      <c r="K1139" s="73" t="s">
        <v>38</v>
      </c>
      <c r="M1139" s="221" t="s">
        <v>44</v>
      </c>
      <c r="N1139" s="221"/>
      <c r="O1139" s="221"/>
      <c r="P1139" s="221"/>
      <c r="Q1139" s="221"/>
      <c r="R1139" s="221"/>
      <c r="S1139" s="73" t="s">
        <v>39</v>
      </c>
      <c r="T1139" s="221">
        <f>IF(($L$1-(O1122+O1123+O1124+O1125))&gt;12,0,R1119*1.5%)</f>
        <v>0</v>
      </c>
      <c r="U1139" s="221"/>
      <c r="V1139" s="221"/>
      <c r="W1139" s="73" t="s">
        <v>38</v>
      </c>
    </row>
    <row r="1140" spans="1:24" ht="18.75" customHeight="1">
      <c r="A1140" s="221" t="s">
        <v>43</v>
      </c>
      <c r="B1140" s="221"/>
      <c r="C1140" s="221"/>
      <c r="D1140" s="221"/>
      <c r="E1140" s="221"/>
      <c r="F1140" s="221"/>
      <c r="G1140" s="73" t="s">
        <v>39</v>
      </c>
      <c r="H1140" s="221">
        <f>IF(($L$1-(C1122+C1123+C1124+C1125))&gt;12,0,F1119*1%)</f>
        <v>0</v>
      </c>
      <c r="I1140" s="221"/>
      <c r="J1140" s="221"/>
      <c r="K1140" s="73" t="s">
        <v>38</v>
      </c>
      <c r="M1140" s="221" t="s">
        <v>43</v>
      </c>
      <c r="N1140" s="221"/>
      <c r="O1140" s="221"/>
      <c r="P1140" s="221"/>
      <c r="Q1140" s="221"/>
      <c r="R1140" s="221"/>
      <c r="S1140" s="73" t="s">
        <v>39</v>
      </c>
      <c r="T1140" s="221">
        <f>IF(($L$1-(O1122+O1123+O1124+O1125))&gt;12,0,R1119*1%)</f>
        <v>0</v>
      </c>
      <c r="U1140" s="221"/>
      <c r="V1140" s="221"/>
      <c r="W1140" s="73" t="s">
        <v>38</v>
      </c>
    </row>
    <row r="1141" spans="1:24" ht="18.75" customHeight="1">
      <c r="A1141" s="221" t="s">
        <v>42</v>
      </c>
      <c r="B1141" s="221"/>
      <c r="C1141" s="221"/>
      <c r="D1141" s="221"/>
      <c r="E1141" s="221"/>
      <c r="F1141" s="221"/>
      <c r="G1141" s="73" t="s">
        <v>39</v>
      </c>
      <c r="H1141" s="221">
        <v>0</v>
      </c>
      <c r="I1141" s="221"/>
      <c r="J1141" s="221"/>
      <c r="K1141" s="73" t="s">
        <v>38</v>
      </c>
      <c r="M1141" s="221" t="s">
        <v>42</v>
      </c>
      <c r="N1141" s="221"/>
      <c r="O1141" s="221"/>
      <c r="P1141" s="221"/>
      <c r="Q1141" s="221"/>
      <c r="R1141" s="221"/>
      <c r="S1141" s="73" t="s">
        <v>39</v>
      </c>
      <c r="T1141" s="221">
        <v>0</v>
      </c>
      <c r="U1141" s="221"/>
      <c r="V1141" s="221"/>
      <c r="W1141" s="73" t="s">
        <v>38</v>
      </c>
    </row>
    <row r="1142" spans="1:24" ht="18.75" customHeight="1">
      <c r="A1142" s="221" t="s">
        <v>41</v>
      </c>
      <c r="B1142" s="221"/>
      <c r="C1142" s="221"/>
      <c r="D1142" s="221"/>
      <c r="E1142" s="221"/>
      <c r="F1142" s="221"/>
      <c r="G1142" s="73" t="s">
        <v>39</v>
      </c>
      <c r="H1142" s="221">
        <f>SUM(H1138:J1141)</f>
        <v>0</v>
      </c>
      <c r="I1142" s="221"/>
      <c r="J1142" s="221"/>
      <c r="K1142" s="73" t="s">
        <v>38</v>
      </c>
      <c r="M1142" s="221" t="s">
        <v>41</v>
      </c>
      <c r="N1142" s="221"/>
      <c r="O1142" s="221"/>
      <c r="P1142" s="221"/>
      <c r="Q1142" s="221"/>
      <c r="R1142" s="221"/>
      <c r="S1142" s="73" t="s">
        <v>39</v>
      </c>
      <c r="T1142" s="221">
        <f>SUM(T1138:V1141)</f>
        <v>0</v>
      </c>
      <c r="U1142" s="221"/>
      <c r="V1142" s="221"/>
      <c r="W1142" s="73" t="s">
        <v>38</v>
      </c>
    </row>
    <row r="1143" spans="1:24" ht="18.75" customHeight="1">
      <c r="A1143" s="221" t="s">
        <v>40</v>
      </c>
      <c r="B1143" s="221"/>
      <c r="C1143" s="221"/>
      <c r="D1143" s="221"/>
      <c r="E1143" s="221"/>
      <c r="F1143" s="221"/>
      <c r="G1143" s="73" t="s">
        <v>39</v>
      </c>
      <c r="H1143" s="221" t="e">
        <f>ROUND(H1135-H1142,-2)</f>
        <v>#DIV/0!</v>
      </c>
      <c r="I1143" s="221"/>
      <c r="J1143" s="221"/>
      <c r="K1143" s="73" t="s">
        <v>38</v>
      </c>
      <c r="M1143" s="221" t="s">
        <v>40</v>
      </c>
      <c r="N1143" s="221"/>
      <c r="O1143" s="221"/>
      <c r="P1143" s="221"/>
      <c r="Q1143" s="221"/>
      <c r="R1143" s="221"/>
      <c r="S1143" s="73" t="s">
        <v>39</v>
      </c>
      <c r="T1143" s="221" t="e">
        <f>ROUND(T1135-T1142,-2)</f>
        <v>#DIV/0!</v>
      </c>
      <c r="U1143" s="221"/>
      <c r="V1143" s="221"/>
      <c r="W1143" s="73" t="s">
        <v>38</v>
      </c>
    </row>
    <row r="1144" spans="1:24" ht="18.75" customHeight="1">
      <c r="A1144" s="73"/>
      <c r="B1144" s="73"/>
      <c r="C1144" s="73"/>
      <c r="D1144" s="73"/>
      <c r="E1144" s="73"/>
      <c r="F1144" s="73"/>
      <c r="G1144" s="73"/>
      <c r="H1144" s="73"/>
      <c r="I1144" s="73"/>
      <c r="J1144" s="73"/>
      <c r="K1144" s="73"/>
      <c r="M1144" s="73"/>
      <c r="N1144" s="73"/>
      <c r="O1144" s="73"/>
      <c r="P1144" s="73"/>
      <c r="Q1144" s="73"/>
      <c r="R1144" s="73"/>
      <c r="S1144" s="73"/>
      <c r="T1144" s="73"/>
      <c r="U1144" s="73"/>
      <c r="V1144" s="73"/>
      <c r="W1144" s="73"/>
    </row>
    <row r="1145" spans="1:24" ht="18.75" customHeight="1">
      <c r="A1145" s="73"/>
      <c r="B1145" s="73"/>
      <c r="C1145" s="73"/>
      <c r="D1145" s="73"/>
      <c r="E1145" s="73"/>
      <c r="F1145" s="73"/>
      <c r="G1145" s="73"/>
      <c r="H1145" s="73"/>
      <c r="I1145" s="221" t="s">
        <v>37</v>
      </c>
      <c r="J1145" s="221"/>
      <c r="K1145" s="221"/>
      <c r="M1145" s="73"/>
      <c r="N1145" s="73"/>
      <c r="O1145" s="73"/>
      <c r="P1145" s="73"/>
      <c r="Q1145" s="73"/>
      <c r="R1145" s="73"/>
      <c r="S1145" s="73"/>
      <c r="T1145" s="73"/>
      <c r="U1145" s="221" t="s">
        <v>37</v>
      </c>
      <c r="V1145" s="221"/>
      <c r="W1145" s="221"/>
    </row>
    <row r="1146" spans="1:24" ht="18.75" customHeight="1">
      <c r="A1146" s="73"/>
      <c r="B1146" s="221"/>
      <c r="C1146" s="221"/>
      <c r="D1146" s="221"/>
      <c r="E1146" s="221"/>
      <c r="F1146" s="73"/>
      <c r="G1146" s="73"/>
      <c r="H1146" s="73"/>
      <c r="I1146" s="73"/>
      <c r="J1146" s="73"/>
      <c r="K1146" s="73"/>
      <c r="M1146" s="73"/>
      <c r="N1146" s="221"/>
      <c r="O1146" s="221"/>
      <c r="P1146" s="221"/>
      <c r="Q1146" s="221"/>
      <c r="R1146" s="73"/>
      <c r="S1146" s="73"/>
      <c r="T1146" s="73"/>
      <c r="U1146" s="73"/>
      <c r="V1146" s="73"/>
      <c r="W1146" s="73"/>
    </row>
    <row r="1147" spans="1:24" ht="18.75" customHeight="1">
      <c r="A1147" s="73"/>
      <c r="B1147" s="73"/>
      <c r="C1147" s="73"/>
      <c r="D1147" s="73"/>
      <c r="E1147" s="73"/>
      <c r="F1147" s="73"/>
      <c r="G1147" s="73"/>
      <c r="H1147" s="73"/>
      <c r="I1147" s="221" t="s">
        <v>36</v>
      </c>
      <c r="J1147" s="221"/>
      <c r="K1147" s="221"/>
      <c r="M1147" s="73"/>
      <c r="N1147" s="73"/>
      <c r="O1147" s="73"/>
      <c r="P1147" s="73"/>
      <c r="Q1147" s="73"/>
      <c r="R1147" s="73"/>
      <c r="S1147" s="73"/>
      <c r="T1147" s="73"/>
      <c r="U1147" s="221" t="s">
        <v>36</v>
      </c>
      <c r="V1147" s="221"/>
      <c r="W1147" s="221"/>
    </row>
    <row r="1149" spans="1:24" ht="18.75" customHeight="1">
      <c r="A1149" s="221" t="s">
        <v>87</v>
      </c>
      <c r="B1149" s="221"/>
      <c r="C1149" s="221"/>
      <c r="D1149" s="221"/>
      <c r="E1149" s="221"/>
      <c r="F1149" s="221"/>
      <c r="G1149" s="221"/>
      <c r="H1149" s="221"/>
      <c r="I1149" s="221"/>
      <c r="J1149" s="221"/>
      <c r="K1149" s="221"/>
      <c r="L1149" s="73">
        <v>24</v>
      </c>
      <c r="M1149" s="221" t="s">
        <v>87</v>
      </c>
      <c r="N1149" s="221"/>
      <c r="O1149" s="221"/>
      <c r="P1149" s="221"/>
      <c r="Q1149" s="221"/>
      <c r="R1149" s="221"/>
      <c r="S1149" s="221"/>
      <c r="T1149" s="221"/>
      <c r="U1149" s="221"/>
      <c r="V1149" s="221"/>
      <c r="W1149" s="221"/>
      <c r="X1149" s="73">
        <v>24</v>
      </c>
    </row>
    <row r="1150" spans="1:24" ht="18.75" customHeight="1">
      <c r="A1150" s="73" t="s">
        <v>86</v>
      </c>
      <c r="B1150" s="73"/>
      <c r="C1150" s="73"/>
      <c r="D1150" s="73"/>
      <c r="E1150" s="73"/>
      <c r="F1150" s="73"/>
      <c r="G1150" s="73"/>
      <c r="H1150" s="73"/>
      <c r="I1150" s="73"/>
      <c r="J1150" s="73"/>
      <c r="K1150" s="73"/>
      <c r="M1150" s="73" t="s">
        <v>85</v>
      </c>
      <c r="N1150" s="73"/>
      <c r="O1150" s="73"/>
      <c r="P1150" s="73"/>
      <c r="Q1150" s="73"/>
      <c r="R1150" s="73"/>
      <c r="S1150" s="73"/>
      <c r="T1150" s="73"/>
      <c r="U1150" s="73"/>
      <c r="V1150" s="73"/>
      <c r="W1150" s="73"/>
    </row>
    <row r="1151" spans="1:24" ht="18.75" customHeight="1">
      <c r="A1151" s="221" t="s">
        <v>84</v>
      </c>
      <c r="B1151" s="221"/>
      <c r="C1151" s="221"/>
      <c r="D1151" s="221"/>
      <c r="E1151" s="221"/>
      <c r="F1151" s="221"/>
      <c r="G1151" s="221"/>
      <c r="H1151" s="221"/>
      <c r="I1151" s="221"/>
      <c r="J1151" s="221"/>
      <c r="K1151" s="221"/>
      <c r="M1151" s="221" t="s">
        <v>84</v>
      </c>
      <c r="N1151" s="221"/>
      <c r="O1151" s="221"/>
      <c r="P1151" s="221"/>
      <c r="Q1151" s="221"/>
      <c r="R1151" s="221"/>
      <c r="S1151" s="221"/>
      <c r="T1151" s="221"/>
      <c r="U1151" s="221"/>
      <c r="V1151" s="221"/>
      <c r="W1151" s="221"/>
    </row>
    <row r="1152" spans="1:24" ht="18.75" customHeight="1">
      <c r="A1152" s="221" t="s">
        <v>83</v>
      </c>
      <c r="B1152" s="221"/>
      <c r="C1152" s="221"/>
      <c r="D1152" s="221"/>
      <c r="E1152" s="73" t="s">
        <v>39</v>
      </c>
      <c r="F1152" s="221"/>
      <c r="G1152" s="221"/>
      <c r="H1152" s="221"/>
      <c r="I1152" s="221"/>
      <c r="J1152" s="221"/>
      <c r="K1152" s="221"/>
      <c r="M1152" s="221" t="s">
        <v>83</v>
      </c>
      <c r="N1152" s="221"/>
      <c r="O1152" s="221"/>
      <c r="P1152" s="221"/>
      <c r="Q1152" s="73" t="s">
        <v>39</v>
      </c>
      <c r="R1152" s="221"/>
      <c r="S1152" s="221"/>
      <c r="T1152" s="221"/>
      <c r="U1152" s="221"/>
      <c r="V1152" s="221"/>
      <c r="W1152" s="221"/>
    </row>
    <row r="1153" spans="1:24" ht="18.75" customHeight="1">
      <c r="A1153" s="221" t="s">
        <v>82</v>
      </c>
      <c r="B1153" s="221"/>
      <c r="C1153" s="221"/>
      <c r="D1153" s="221"/>
      <c r="E1153" s="73" t="s">
        <v>39</v>
      </c>
      <c r="F1153" s="221"/>
      <c r="G1153" s="221"/>
      <c r="H1153" s="221"/>
      <c r="I1153" s="221"/>
      <c r="J1153" s="221"/>
      <c r="K1153" s="221"/>
      <c r="M1153" s="221" t="s">
        <v>82</v>
      </c>
      <c r="N1153" s="221"/>
      <c r="O1153" s="221"/>
      <c r="P1153" s="221"/>
      <c r="Q1153" s="73" t="s">
        <v>39</v>
      </c>
      <c r="R1153" s="221"/>
      <c r="S1153" s="221"/>
      <c r="T1153" s="221"/>
      <c r="U1153" s="221"/>
      <c r="V1153" s="221"/>
      <c r="W1153" s="221"/>
    </row>
    <row r="1154" spans="1:24" ht="18.75" customHeight="1">
      <c r="A1154" s="221" t="s">
        <v>81</v>
      </c>
      <c r="B1154" s="221"/>
      <c r="C1154" s="221"/>
      <c r="D1154" s="221"/>
      <c r="E1154" s="73" t="s">
        <v>39</v>
      </c>
      <c r="F1154" s="221" t="s">
        <v>80</v>
      </c>
      <c r="G1154" s="221"/>
      <c r="H1154" s="221"/>
      <c r="I1154" s="221"/>
      <c r="J1154" s="221"/>
      <c r="K1154" s="221"/>
      <c r="M1154" s="221" t="s">
        <v>81</v>
      </c>
      <c r="N1154" s="221"/>
      <c r="O1154" s="221"/>
      <c r="P1154" s="221"/>
      <c r="Q1154" s="73" t="s">
        <v>39</v>
      </c>
      <c r="R1154" s="221" t="s">
        <v>80</v>
      </c>
      <c r="S1154" s="221"/>
      <c r="T1154" s="221"/>
      <c r="U1154" s="221"/>
      <c r="V1154" s="221"/>
      <c r="W1154" s="221"/>
    </row>
    <row r="1155" spans="1:24" ht="18.75" customHeight="1">
      <c r="A1155" s="221" t="s">
        <v>79</v>
      </c>
      <c r="B1155" s="221"/>
      <c r="C1155" s="221"/>
      <c r="D1155" s="221"/>
      <c r="E1155" s="221"/>
      <c r="F1155" s="221"/>
      <c r="G1155" s="221"/>
      <c r="H1155" s="221"/>
      <c r="I1155" s="221"/>
      <c r="J1155" s="221"/>
      <c r="K1155" s="221"/>
      <c r="M1155" s="221" t="s">
        <v>79</v>
      </c>
      <c r="N1155" s="221"/>
      <c r="O1155" s="221"/>
      <c r="P1155" s="221"/>
      <c r="Q1155" s="221"/>
      <c r="R1155" s="221"/>
      <c r="S1155" s="221"/>
      <c r="T1155" s="221"/>
      <c r="U1155" s="221"/>
      <c r="V1155" s="221"/>
      <c r="W1155" s="221"/>
    </row>
    <row r="1156" spans="1:24" ht="18.75" customHeight="1">
      <c r="A1156" s="221" t="s">
        <v>78</v>
      </c>
      <c r="B1156" s="221"/>
      <c r="C1156" s="221"/>
      <c r="D1156" s="221"/>
      <c r="E1156" s="73" t="s">
        <v>39</v>
      </c>
      <c r="F1156" s="221">
        <v>2915400</v>
      </c>
      <c r="G1156" s="221"/>
      <c r="H1156" s="221"/>
      <c r="I1156" s="221"/>
      <c r="J1156" s="73" t="s">
        <v>38</v>
      </c>
      <c r="K1156" s="73"/>
      <c r="M1156" s="221" t="s">
        <v>78</v>
      </c>
      <c r="N1156" s="221"/>
      <c r="O1156" s="221"/>
      <c r="P1156" s="221"/>
      <c r="Q1156" s="73" t="s">
        <v>39</v>
      </c>
      <c r="R1156" s="221">
        <v>2915400</v>
      </c>
      <c r="S1156" s="221"/>
      <c r="T1156" s="221"/>
      <c r="U1156" s="221"/>
      <c r="V1156" s="73" t="s">
        <v>38</v>
      </c>
      <c r="W1156" s="73"/>
    </row>
    <row r="1157" spans="1:24" ht="18.75" customHeight="1">
      <c r="A1157" s="73" t="s">
        <v>77</v>
      </c>
      <c r="B1157" s="73"/>
      <c r="C1157" s="73"/>
      <c r="D1157" s="73"/>
      <c r="E1157" s="73"/>
      <c r="F1157" s="73"/>
      <c r="G1157" s="73"/>
      <c r="H1157" s="73"/>
      <c r="I1157" s="73"/>
      <c r="J1157" s="73"/>
      <c r="K1157" s="73"/>
      <c r="M1157" s="73" t="s">
        <v>77</v>
      </c>
      <c r="N1157" s="73"/>
      <c r="O1157" s="73"/>
      <c r="P1157" s="73"/>
      <c r="Q1157" s="73"/>
      <c r="R1157" s="73"/>
      <c r="S1157" s="73"/>
      <c r="T1157" s="73"/>
      <c r="U1157" s="73"/>
      <c r="V1157" s="73"/>
      <c r="W1157" s="73"/>
    </row>
    <row r="1158" spans="1:24" ht="18.75" customHeight="1">
      <c r="A1158" s="73" t="s">
        <v>76</v>
      </c>
      <c r="B1158" s="73"/>
      <c r="C1158" s="73"/>
      <c r="D1158" s="73"/>
      <c r="E1158" s="73"/>
      <c r="F1158" s="73"/>
      <c r="G1158" s="73"/>
      <c r="H1158" s="73"/>
      <c r="I1158" s="73" t="e">
        <f>I1159/C1159/8</f>
        <v>#DIV/0!</v>
      </c>
      <c r="J1158" s="73"/>
      <c r="K1158" s="73"/>
      <c r="M1158" s="73" t="s">
        <v>76</v>
      </c>
      <c r="N1158" s="73"/>
      <c r="O1158" s="73"/>
      <c r="P1158" s="73"/>
      <c r="Q1158" s="73"/>
      <c r="R1158" s="73"/>
      <c r="S1158" s="73"/>
      <c r="T1158" s="73"/>
      <c r="U1158" s="73" t="e">
        <f>U1159/O1159/8</f>
        <v>#DIV/0!</v>
      </c>
      <c r="V1158" s="73"/>
      <c r="W1158" s="73"/>
    </row>
    <row r="1159" spans="1:24" ht="18.75" customHeight="1">
      <c r="A1159" s="73" t="s">
        <v>75</v>
      </c>
      <c r="B1159" s="73" t="s">
        <v>39</v>
      </c>
      <c r="C1159" s="73"/>
      <c r="D1159" s="73" t="s">
        <v>52</v>
      </c>
      <c r="E1159" s="221" t="s">
        <v>74</v>
      </c>
      <c r="F1159" s="221"/>
      <c r="G1159" s="221"/>
      <c r="H1159" s="73" t="s">
        <v>39</v>
      </c>
      <c r="I1159" s="221" t="e">
        <f>I1157*680/((C1159-C1166)*8+C1166*7+C1163)*((C1159-C1166)*8+C1166*7)</f>
        <v>#DIV/0!</v>
      </c>
      <c r="J1159" s="221"/>
      <c r="K1159" s="73" t="s">
        <v>38</v>
      </c>
      <c r="L1159" s="73">
        <f>F1156/L1149*C1159</f>
        <v>0</v>
      </c>
      <c r="M1159" s="73" t="s">
        <v>75</v>
      </c>
      <c r="N1159" s="73" t="s">
        <v>39</v>
      </c>
      <c r="O1159" s="73"/>
      <c r="P1159" s="73" t="s">
        <v>52</v>
      </c>
      <c r="Q1159" s="221" t="s">
        <v>74</v>
      </c>
      <c r="R1159" s="221"/>
      <c r="S1159" s="221"/>
      <c r="T1159" s="73" t="s">
        <v>39</v>
      </c>
      <c r="U1159" s="221" t="e">
        <f>U1157*680/((O1159-O1166)*8+O1166*7+O1163)*((O1159-O1166)*8+O1166*7)</f>
        <v>#DIV/0!</v>
      </c>
      <c r="V1159" s="221"/>
      <c r="W1159" s="73" t="s">
        <v>38</v>
      </c>
      <c r="X1159" s="73">
        <f>R1156/X1149*O1159</f>
        <v>0</v>
      </c>
    </row>
    <row r="1160" spans="1:24" ht="18.75" customHeight="1">
      <c r="A1160" s="73" t="s">
        <v>73</v>
      </c>
      <c r="B1160" s="73" t="s">
        <v>39</v>
      </c>
      <c r="C1160" s="73"/>
      <c r="D1160" s="73" t="s">
        <v>52</v>
      </c>
      <c r="E1160" s="221" t="s">
        <v>72</v>
      </c>
      <c r="F1160" s="221"/>
      <c r="G1160" s="221"/>
      <c r="H1160" s="73" t="s">
        <v>39</v>
      </c>
      <c r="I1160" s="221">
        <f>$F$8/$L$1*C1160</f>
        <v>0</v>
      </c>
      <c r="J1160" s="221"/>
      <c r="K1160" s="73" t="s">
        <v>38</v>
      </c>
      <c r="L1160" s="73"/>
      <c r="M1160" s="73" t="s">
        <v>73</v>
      </c>
      <c r="N1160" s="73" t="s">
        <v>39</v>
      </c>
      <c r="O1160" s="73"/>
      <c r="P1160" s="73" t="s">
        <v>52</v>
      </c>
      <c r="Q1160" s="221" t="s">
        <v>72</v>
      </c>
      <c r="R1160" s="221"/>
      <c r="S1160" s="221"/>
      <c r="T1160" s="73" t="s">
        <v>39</v>
      </c>
      <c r="U1160" s="221">
        <f>$F$8/$L$1*O1160</f>
        <v>0</v>
      </c>
      <c r="V1160" s="221"/>
      <c r="W1160" s="73" t="s">
        <v>38</v>
      </c>
      <c r="X1160" s="73"/>
    </row>
    <row r="1161" spans="1:24" ht="18.75" customHeight="1">
      <c r="A1161" s="73" t="s">
        <v>71</v>
      </c>
      <c r="B1161" s="73" t="s">
        <v>39</v>
      </c>
      <c r="C1161" s="73"/>
      <c r="D1161" s="73" t="s">
        <v>52</v>
      </c>
      <c r="E1161" s="221" t="s">
        <v>70</v>
      </c>
      <c r="F1161" s="221"/>
      <c r="G1161" s="221"/>
      <c r="H1161" s="73" t="s">
        <v>39</v>
      </c>
      <c r="I1161" s="221">
        <f>$F$8/$L$1*C1161</f>
        <v>0</v>
      </c>
      <c r="J1161" s="221"/>
      <c r="K1161" s="73" t="s">
        <v>38</v>
      </c>
      <c r="L1161" s="73"/>
      <c r="M1161" s="73" t="s">
        <v>71</v>
      </c>
      <c r="N1161" s="73" t="s">
        <v>39</v>
      </c>
      <c r="O1161" s="73"/>
      <c r="P1161" s="73" t="s">
        <v>52</v>
      </c>
      <c r="Q1161" s="221" t="s">
        <v>70</v>
      </c>
      <c r="R1161" s="221"/>
      <c r="S1161" s="221"/>
      <c r="T1161" s="73" t="s">
        <v>39</v>
      </c>
      <c r="U1161" s="221">
        <f>$F$8/$L$1*O1161</f>
        <v>0</v>
      </c>
      <c r="V1161" s="221"/>
      <c r="W1161" s="73" t="s">
        <v>38</v>
      </c>
      <c r="X1161" s="73"/>
    </row>
    <row r="1162" spans="1:24" ht="18.75" customHeight="1">
      <c r="A1162" s="73" t="s">
        <v>69</v>
      </c>
      <c r="B1162" s="73" t="s">
        <v>39</v>
      </c>
      <c r="C1162" s="73"/>
      <c r="D1162" s="73" t="s">
        <v>52</v>
      </c>
      <c r="E1162" s="221" t="s">
        <v>68</v>
      </c>
      <c r="F1162" s="221"/>
      <c r="G1162" s="221"/>
      <c r="H1162" s="73" t="s">
        <v>39</v>
      </c>
      <c r="I1162" s="221">
        <f>$F$8/$L$1*C1162</f>
        <v>0</v>
      </c>
      <c r="J1162" s="221"/>
      <c r="K1162" s="73" t="s">
        <v>38</v>
      </c>
      <c r="L1162" s="73"/>
      <c r="M1162" s="73" t="s">
        <v>69</v>
      </c>
      <c r="N1162" s="73" t="s">
        <v>39</v>
      </c>
      <c r="O1162" s="73"/>
      <c r="P1162" s="73" t="s">
        <v>52</v>
      </c>
      <c r="Q1162" s="221" t="s">
        <v>68</v>
      </c>
      <c r="R1162" s="221"/>
      <c r="S1162" s="221"/>
      <c r="T1162" s="73" t="s">
        <v>39</v>
      </c>
      <c r="U1162" s="221">
        <f>$F$8/$L$1*O1162</f>
        <v>0</v>
      </c>
      <c r="V1162" s="221"/>
      <c r="W1162" s="73" t="s">
        <v>38</v>
      </c>
      <c r="X1162" s="73"/>
    </row>
    <row r="1163" spans="1:24" ht="18.75" customHeight="1">
      <c r="A1163" s="73" t="s">
        <v>67</v>
      </c>
      <c r="B1163" s="73" t="s">
        <v>39</v>
      </c>
      <c r="C1163" s="73"/>
      <c r="D1163" s="73" t="s">
        <v>58</v>
      </c>
      <c r="E1163" s="221" t="s">
        <v>66</v>
      </c>
      <c r="F1163" s="221"/>
      <c r="G1163" s="221"/>
      <c r="H1163" s="73" t="s">
        <v>39</v>
      </c>
      <c r="I1163" s="221" t="e">
        <f>I1159/C1159/8*C1163</f>
        <v>#DIV/0!</v>
      </c>
      <c r="J1163" s="221"/>
      <c r="K1163" s="73" t="s">
        <v>38</v>
      </c>
      <c r="L1163" s="73">
        <f>F1156*C1163/L1149/8*1.5</f>
        <v>0</v>
      </c>
      <c r="M1163" s="73" t="s">
        <v>67</v>
      </c>
      <c r="N1163" s="73" t="s">
        <v>39</v>
      </c>
      <c r="O1163" s="73"/>
      <c r="P1163" s="73" t="s">
        <v>58</v>
      </c>
      <c r="Q1163" s="221" t="s">
        <v>66</v>
      </c>
      <c r="R1163" s="221"/>
      <c r="S1163" s="221"/>
      <c r="T1163" s="73" t="s">
        <v>39</v>
      </c>
      <c r="U1163" s="221" t="e">
        <f>U1159/O1159/8*O1163</f>
        <v>#DIV/0!</v>
      </c>
      <c r="V1163" s="221"/>
      <c r="W1163" s="73" t="s">
        <v>38</v>
      </c>
      <c r="X1163" s="73">
        <f>R1156*O1163/X1149/8*1.5</f>
        <v>0</v>
      </c>
    </row>
    <row r="1164" spans="1:24" ht="18.75" customHeight="1">
      <c r="A1164" s="221" t="s">
        <v>65</v>
      </c>
      <c r="B1164" s="221"/>
      <c r="C1164" s="73"/>
      <c r="D1164" s="73" t="s">
        <v>52</v>
      </c>
      <c r="E1164" s="221" t="s">
        <v>64</v>
      </c>
      <c r="F1164" s="221"/>
      <c r="G1164" s="221"/>
      <c r="H1164" s="73" t="s">
        <v>39</v>
      </c>
      <c r="I1164" s="221"/>
      <c r="J1164" s="221"/>
      <c r="K1164" s="73" t="s">
        <v>38</v>
      </c>
      <c r="L1164" s="73"/>
      <c r="M1164" s="221" t="s">
        <v>65</v>
      </c>
      <c r="N1164" s="221"/>
      <c r="O1164" s="73"/>
      <c r="P1164" s="73" t="s">
        <v>52</v>
      </c>
      <c r="Q1164" s="221" t="s">
        <v>64</v>
      </c>
      <c r="R1164" s="221"/>
      <c r="S1164" s="221"/>
      <c r="T1164" s="73" t="s">
        <v>39</v>
      </c>
      <c r="U1164" s="221"/>
      <c r="V1164" s="221"/>
      <c r="W1164" s="73" t="s">
        <v>38</v>
      </c>
      <c r="X1164" s="73"/>
    </row>
    <row r="1165" spans="1:24" ht="18.75" customHeight="1">
      <c r="A1165" s="73" t="s">
        <v>63</v>
      </c>
      <c r="B1165" s="73" t="s">
        <v>39</v>
      </c>
      <c r="C1165" s="73"/>
      <c r="D1165" s="73" t="s">
        <v>52</v>
      </c>
      <c r="E1165" s="221" t="s">
        <v>62</v>
      </c>
      <c r="F1165" s="221"/>
      <c r="G1165" s="221"/>
      <c r="H1165" s="73" t="s">
        <v>39</v>
      </c>
      <c r="I1165" s="221"/>
      <c r="J1165" s="221"/>
      <c r="K1165" s="73" t="s">
        <v>38</v>
      </c>
      <c r="L1165" s="73"/>
      <c r="M1165" s="73" t="s">
        <v>63</v>
      </c>
      <c r="N1165" s="73" t="s">
        <v>39</v>
      </c>
      <c r="O1165" s="73"/>
      <c r="P1165" s="73" t="s">
        <v>52</v>
      </c>
      <c r="Q1165" s="221" t="s">
        <v>62</v>
      </c>
      <c r="R1165" s="221"/>
      <c r="S1165" s="221"/>
      <c r="T1165" s="73" t="s">
        <v>39</v>
      </c>
      <c r="U1165" s="221"/>
      <c r="V1165" s="221"/>
      <c r="W1165" s="73" t="s">
        <v>38</v>
      </c>
      <c r="X1165" s="73"/>
    </row>
    <row r="1166" spans="1:24" ht="18.75" customHeight="1">
      <c r="A1166" s="73" t="s">
        <v>61</v>
      </c>
      <c r="B1166" s="73"/>
      <c r="C1166" s="73"/>
      <c r="D1166" s="73" t="s">
        <v>58</v>
      </c>
      <c r="E1166" s="221" t="s">
        <v>60</v>
      </c>
      <c r="F1166" s="221"/>
      <c r="G1166" s="221"/>
      <c r="H1166" s="73" t="s">
        <v>39</v>
      </c>
      <c r="I1166" s="221">
        <f>$F$8*C1166/8/$L$1</f>
        <v>0</v>
      </c>
      <c r="J1166" s="221"/>
      <c r="K1166" s="73" t="s">
        <v>38</v>
      </c>
      <c r="L1166" s="73"/>
      <c r="M1166" s="73" t="s">
        <v>61</v>
      </c>
      <c r="N1166" s="73"/>
      <c r="O1166" s="73"/>
      <c r="P1166" s="73" t="s">
        <v>58</v>
      </c>
      <c r="Q1166" s="221" t="s">
        <v>60</v>
      </c>
      <c r="R1166" s="221"/>
      <c r="S1166" s="221"/>
      <c r="T1166" s="73" t="s">
        <v>39</v>
      </c>
      <c r="U1166" s="221">
        <f>$F$8*O1166/8/$L$1</f>
        <v>0</v>
      </c>
      <c r="V1166" s="221"/>
      <c r="W1166" s="73" t="s">
        <v>38</v>
      </c>
      <c r="X1166" s="73"/>
    </row>
    <row r="1167" spans="1:24" ht="18.75" customHeight="1">
      <c r="A1167" s="73" t="s">
        <v>59</v>
      </c>
      <c r="B1167" s="73" t="s">
        <v>39</v>
      </c>
      <c r="C1167" s="73"/>
      <c r="D1167" s="73" t="s">
        <v>58</v>
      </c>
      <c r="E1167" s="221" t="s">
        <v>57</v>
      </c>
      <c r="F1167" s="221"/>
      <c r="G1167" s="221"/>
      <c r="H1167" s="73" t="s">
        <v>39</v>
      </c>
      <c r="I1167" s="221"/>
      <c r="J1167" s="221"/>
      <c r="K1167" s="73" t="s">
        <v>38</v>
      </c>
      <c r="L1167" s="73"/>
      <c r="M1167" s="73" t="s">
        <v>59</v>
      </c>
      <c r="N1167" s="73" t="s">
        <v>39</v>
      </c>
      <c r="O1167" s="73"/>
      <c r="P1167" s="73" t="s">
        <v>58</v>
      </c>
      <c r="Q1167" s="221" t="s">
        <v>57</v>
      </c>
      <c r="R1167" s="221"/>
      <c r="S1167" s="221"/>
      <c r="T1167" s="73" t="s">
        <v>39</v>
      </c>
      <c r="U1167" s="221"/>
      <c r="V1167" s="221"/>
      <c r="W1167" s="73" t="s">
        <v>38</v>
      </c>
      <c r="X1167" s="73"/>
    </row>
    <row r="1168" spans="1:24" ht="18.75" customHeight="1">
      <c r="A1168" s="73" t="s">
        <v>56</v>
      </c>
      <c r="B1168" s="73" t="s">
        <v>39</v>
      </c>
      <c r="C1168" s="73"/>
      <c r="D1168" s="73" t="s">
        <v>55</v>
      </c>
      <c r="E1168" s="73" t="s">
        <v>54</v>
      </c>
      <c r="F1168" s="73"/>
      <c r="G1168" s="73"/>
      <c r="H1168" s="73" t="s">
        <v>39</v>
      </c>
      <c r="I1168" s="221"/>
      <c r="J1168" s="221"/>
      <c r="K1168" s="73" t="s">
        <v>38</v>
      </c>
      <c r="L1168" s="73" t="e">
        <f>+IF(L1159-I1159&lt;0,0,L1159-I1159)+IF(L1163-I1163&lt;0,0,L1163-I1163)</f>
        <v>#DIV/0!</v>
      </c>
      <c r="M1168" s="73" t="s">
        <v>56</v>
      </c>
      <c r="N1168" s="73" t="s">
        <v>39</v>
      </c>
      <c r="O1168" s="73"/>
      <c r="P1168" s="73" t="s">
        <v>55</v>
      </c>
      <c r="Q1168" s="73" t="s">
        <v>54</v>
      </c>
      <c r="R1168" s="73"/>
      <c r="S1168" s="73"/>
      <c r="T1168" s="73" t="s">
        <v>39</v>
      </c>
      <c r="U1168" s="221"/>
      <c r="V1168" s="221"/>
      <c r="W1168" s="73" t="s">
        <v>38</v>
      </c>
      <c r="X1168" s="73" t="e">
        <f>+IF(X1159-U1159&lt;0,0,X1159-U1159)+IF(X1163-U1163&lt;0,0,X1163-U1163)</f>
        <v>#DIV/0!</v>
      </c>
    </row>
    <row r="1169" spans="1:24" ht="18.75" customHeight="1">
      <c r="A1169" s="73" t="s">
        <v>53</v>
      </c>
      <c r="B1169" s="73"/>
      <c r="C1169" s="73"/>
      <c r="D1169" s="73" t="s">
        <v>52</v>
      </c>
      <c r="E1169" s="221" t="s">
        <v>51</v>
      </c>
      <c r="F1169" s="221"/>
      <c r="G1169" s="221"/>
      <c r="H1169" s="73" t="s">
        <v>39</v>
      </c>
      <c r="I1169" s="221"/>
      <c r="J1169" s="221"/>
      <c r="K1169" s="73" t="s">
        <v>38</v>
      </c>
      <c r="L1169" s="73"/>
      <c r="M1169" s="73" t="s">
        <v>53</v>
      </c>
      <c r="N1169" s="73"/>
      <c r="O1169" s="73"/>
      <c r="P1169" s="73" t="s">
        <v>52</v>
      </c>
      <c r="Q1169" s="221" t="s">
        <v>51</v>
      </c>
      <c r="R1169" s="221"/>
      <c r="S1169" s="221"/>
      <c r="T1169" s="73" t="s">
        <v>39</v>
      </c>
      <c r="U1169" s="221"/>
      <c r="V1169" s="221"/>
      <c r="W1169" s="73" t="s">
        <v>38</v>
      </c>
      <c r="X1169" s="73"/>
    </row>
    <row r="1170" spans="1:24" ht="18.75" customHeight="1">
      <c r="A1170" s="221" t="s">
        <v>50</v>
      </c>
      <c r="B1170" s="221"/>
      <c r="C1170" s="73"/>
      <c r="D1170" s="73"/>
      <c r="E1170" s="73"/>
      <c r="F1170" s="73"/>
      <c r="G1170" s="73"/>
      <c r="H1170" s="73" t="s">
        <v>39</v>
      </c>
      <c r="I1170" s="221"/>
      <c r="J1170" s="221"/>
      <c r="K1170" s="73" t="s">
        <v>38</v>
      </c>
      <c r="L1170" s="73"/>
      <c r="M1170" s="221" t="s">
        <v>50</v>
      </c>
      <c r="N1170" s="221"/>
      <c r="O1170" s="73"/>
      <c r="P1170" s="73"/>
      <c r="Q1170" s="73"/>
      <c r="R1170" s="73"/>
      <c r="S1170" s="73"/>
      <c r="T1170" s="73" t="s">
        <v>39</v>
      </c>
      <c r="U1170" s="221"/>
      <c r="V1170" s="221"/>
      <c r="W1170" s="73" t="s">
        <v>38</v>
      </c>
      <c r="X1170" s="73"/>
    </row>
    <row r="1171" spans="1:24" ht="18.75" customHeight="1">
      <c r="A1171" s="73" t="s">
        <v>49</v>
      </c>
      <c r="B1171" s="73" t="s">
        <v>39</v>
      </c>
      <c r="C1171" s="73"/>
      <c r="D1171" s="73"/>
      <c r="E1171" s="73" t="s">
        <v>48</v>
      </c>
      <c r="F1171" s="73"/>
      <c r="G1171" s="73"/>
      <c r="H1171" s="73" t="s">
        <v>39</v>
      </c>
      <c r="I1171" s="221" t="e">
        <f>L1168</f>
        <v>#DIV/0!</v>
      </c>
      <c r="J1171" s="221"/>
      <c r="K1171" s="73" t="s">
        <v>38</v>
      </c>
      <c r="L1171" s="73"/>
      <c r="M1171" s="73" t="s">
        <v>49</v>
      </c>
      <c r="N1171" s="73" t="s">
        <v>39</v>
      </c>
      <c r="O1171" s="73"/>
      <c r="P1171" s="73"/>
      <c r="Q1171" s="73" t="s">
        <v>48</v>
      </c>
      <c r="R1171" s="73"/>
      <c r="S1171" s="73"/>
      <c r="T1171" s="73" t="s">
        <v>39</v>
      </c>
      <c r="U1171" s="221" t="e">
        <f>X1168</f>
        <v>#DIV/0!</v>
      </c>
      <c r="V1171" s="221"/>
      <c r="W1171" s="73" t="s">
        <v>38</v>
      </c>
      <c r="X1171" s="73"/>
    </row>
    <row r="1172" spans="1:24" ht="18.75" customHeight="1">
      <c r="A1172" s="221" t="s">
        <v>47</v>
      </c>
      <c r="B1172" s="221"/>
      <c r="C1172" s="221"/>
      <c r="D1172" s="221"/>
      <c r="E1172" s="221"/>
      <c r="F1172" s="221"/>
      <c r="G1172" s="73" t="s">
        <v>39</v>
      </c>
      <c r="H1172" s="221" t="e">
        <f>I1159+I1160+I1161+I1162+I1163+I1166+I1170+I1171</f>
        <v>#DIV/0!</v>
      </c>
      <c r="I1172" s="221"/>
      <c r="J1172" s="221"/>
      <c r="K1172" s="73" t="s">
        <v>38</v>
      </c>
      <c r="M1172" s="221" t="s">
        <v>47</v>
      </c>
      <c r="N1172" s="221"/>
      <c r="O1172" s="221"/>
      <c r="P1172" s="221"/>
      <c r="Q1172" s="221"/>
      <c r="R1172" s="221"/>
      <c r="S1172" s="73" t="s">
        <v>39</v>
      </c>
      <c r="T1172" s="221" t="e">
        <f>U1159+U1160+U1161+U1162+U1163+U1166+U1170+U1171</f>
        <v>#DIV/0!</v>
      </c>
      <c r="U1172" s="221"/>
      <c r="V1172" s="221"/>
      <c r="W1172" s="73" t="s">
        <v>38</v>
      </c>
    </row>
    <row r="1173" spans="1:24" ht="18.75" customHeight="1">
      <c r="A1173" s="73"/>
      <c r="B1173" s="73"/>
      <c r="C1173" s="73"/>
      <c r="D1173" s="73"/>
      <c r="E1173" s="73"/>
      <c r="F1173" s="73"/>
      <c r="G1173" s="73"/>
      <c r="H1173" s="73"/>
      <c r="I1173" s="73"/>
      <c r="J1173" s="73"/>
      <c r="K1173" s="73"/>
      <c r="M1173" s="73"/>
      <c r="N1173" s="73"/>
      <c r="O1173" s="73"/>
      <c r="P1173" s="73"/>
      <c r="Q1173" s="73"/>
      <c r="R1173" s="73"/>
      <c r="S1173" s="73"/>
      <c r="T1173" s="73"/>
      <c r="U1173" s="73"/>
      <c r="V1173" s="73"/>
      <c r="W1173" s="73"/>
    </row>
    <row r="1174" spans="1:24" ht="18.75" customHeight="1">
      <c r="A1174" s="221" t="s">
        <v>46</v>
      </c>
      <c r="B1174" s="221"/>
      <c r="C1174" s="221"/>
      <c r="D1174" s="221"/>
      <c r="E1174" s="221"/>
      <c r="F1174" s="221"/>
      <c r="G1174" s="73"/>
      <c r="H1174" s="73"/>
      <c r="I1174" s="73"/>
      <c r="J1174" s="73"/>
      <c r="K1174" s="73"/>
      <c r="M1174" s="221" t="s">
        <v>46</v>
      </c>
      <c r="N1174" s="221"/>
      <c r="O1174" s="221"/>
      <c r="P1174" s="221"/>
      <c r="Q1174" s="221"/>
      <c r="R1174" s="221"/>
      <c r="S1174" s="73"/>
      <c r="T1174" s="73"/>
      <c r="U1174" s="73"/>
      <c r="V1174" s="73"/>
      <c r="W1174" s="73"/>
    </row>
    <row r="1175" spans="1:24" ht="18.75" customHeight="1">
      <c r="A1175" s="221" t="s">
        <v>45</v>
      </c>
      <c r="B1175" s="221"/>
      <c r="C1175" s="221"/>
      <c r="D1175" s="221"/>
      <c r="E1175" s="221"/>
      <c r="F1175" s="221"/>
      <c r="G1175" s="73" t="s">
        <v>39</v>
      </c>
      <c r="H1175" s="221">
        <f>IF(($L$1-(C1159+C1160+C1161+C1162))&gt;12,0,F1156*8%)</f>
        <v>0</v>
      </c>
      <c r="I1175" s="221"/>
      <c r="J1175" s="221"/>
      <c r="K1175" s="73" t="s">
        <v>38</v>
      </c>
      <c r="M1175" s="221" t="s">
        <v>45</v>
      </c>
      <c r="N1175" s="221"/>
      <c r="O1175" s="221"/>
      <c r="P1175" s="221"/>
      <c r="Q1175" s="221"/>
      <c r="R1175" s="221"/>
      <c r="S1175" s="73" t="s">
        <v>39</v>
      </c>
      <c r="T1175" s="221">
        <f t="shared" ref="T1175:T1180" si="0">IF(($L$1-(O1159+O1160+O1161+O1162))&gt;12,0,R1156*8%)</f>
        <v>0</v>
      </c>
      <c r="U1175" s="221"/>
      <c r="V1175" s="221"/>
      <c r="W1175" s="73" t="s">
        <v>38</v>
      </c>
    </row>
    <row r="1176" spans="1:24" ht="18.75" customHeight="1">
      <c r="A1176" s="221" t="s">
        <v>44</v>
      </c>
      <c r="B1176" s="221"/>
      <c r="C1176" s="221"/>
      <c r="D1176" s="221"/>
      <c r="E1176" s="221"/>
      <c r="F1176" s="221"/>
      <c r="G1176" s="73" t="s">
        <v>39</v>
      </c>
      <c r="H1176" s="221">
        <f>IF(($L$1-(C1159+C1160+C1161+C1162))&gt;12,0,F1156*1.5%)</f>
        <v>0</v>
      </c>
      <c r="I1176" s="221"/>
      <c r="J1176" s="221"/>
      <c r="K1176" s="73" t="s">
        <v>38</v>
      </c>
      <c r="M1176" s="221" t="s">
        <v>44</v>
      </c>
      <c r="N1176" s="221"/>
      <c r="O1176" s="221"/>
      <c r="P1176" s="221"/>
      <c r="Q1176" s="221"/>
      <c r="R1176" s="221"/>
      <c r="S1176" s="73" t="s">
        <v>39</v>
      </c>
      <c r="T1176" s="221">
        <f t="shared" si="0"/>
        <v>0</v>
      </c>
      <c r="U1176" s="221"/>
      <c r="V1176" s="221"/>
      <c r="W1176" s="73" t="s">
        <v>38</v>
      </c>
    </row>
    <row r="1177" spans="1:24" ht="18.75" customHeight="1">
      <c r="A1177" s="221" t="s">
        <v>43</v>
      </c>
      <c r="B1177" s="221"/>
      <c r="C1177" s="221"/>
      <c r="D1177" s="221"/>
      <c r="E1177" s="221"/>
      <c r="F1177" s="221"/>
      <c r="G1177" s="73" t="s">
        <v>39</v>
      </c>
      <c r="H1177" s="221">
        <f>IF(($L$1-(C1159+C1160+C1161+C1162))&gt;12,0,F1156*1%)</f>
        <v>0</v>
      </c>
      <c r="I1177" s="221"/>
      <c r="J1177" s="221"/>
      <c r="K1177" s="73" t="s">
        <v>38</v>
      </c>
      <c r="M1177" s="221" t="s">
        <v>43</v>
      </c>
      <c r="N1177" s="221"/>
      <c r="O1177" s="221"/>
      <c r="P1177" s="221"/>
      <c r="Q1177" s="221"/>
      <c r="R1177" s="221"/>
      <c r="S1177" s="73" t="s">
        <v>39</v>
      </c>
      <c r="T1177" s="221">
        <f t="shared" si="0"/>
        <v>0</v>
      </c>
      <c r="U1177" s="221"/>
      <c r="V1177" s="221"/>
      <c r="W1177" s="73" t="s">
        <v>38</v>
      </c>
    </row>
    <row r="1178" spans="1:24" ht="18.75" customHeight="1">
      <c r="A1178" s="221" t="s">
        <v>42</v>
      </c>
      <c r="B1178" s="221"/>
      <c r="C1178" s="221"/>
      <c r="D1178" s="221"/>
      <c r="E1178" s="221"/>
      <c r="F1178" s="221"/>
      <c r="G1178" s="73" t="s">
        <v>39</v>
      </c>
      <c r="H1178" s="221">
        <v>0</v>
      </c>
      <c r="I1178" s="221"/>
      <c r="J1178" s="221"/>
      <c r="K1178" s="73" t="s">
        <v>38</v>
      </c>
      <c r="M1178" s="221" t="s">
        <v>42</v>
      </c>
      <c r="N1178" s="221"/>
      <c r="O1178" s="221"/>
      <c r="P1178" s="221"/>
      <c r="Q1178" s="221"/>
      <c r="R1178" s="221"/>
      <c r="S1178" s="73" t="s">
        <v>39</v>
      </c>
      <c r="T1178" s="221">
        <f t="shared" si="0"/>
        <v>0</v>
      </c>
      <c r="U1178" s="221"/>
      <c r="V1178" s="221"/>
      <c r="W1178" s="73" t="s">
        <v>38</v>
      </c>
    </row>
    <row r="1179" spans="1:24" ht="18.75" customHeight="1">
      <c r="A1179" s="221" t="s">
        <v>41</v>
      </c>
      <c r="B1179" s="221"/>
      <c r="C1179" s="221"/>
      <c r="D1179" s="221"/>
      <c r="E1179" s="221"/>
      <c r="F1179" s="221"/>
      <c r="G1179" s="73" t="s">
        <v>39</v>
      </c>
      <c r="H1179" s="221">
        <f>SUM(H1175:J1178)</f>
        <v>0</v>
      </c>
      <c r="I1179" s="221"/>
      <c r="J1179" s="221"/>
      <c r="K1179" s="73" t="s">
        <v>38</v>
      </c>
      <c r="M1179" s="221" t="s">
        <v>41</v>
      </c>
      <c r="N1179" s="221"/>
      <c r="O1179" s="221"/>
      <c r="P1179" s="221"/>
      <c r="Q1179" s="221"/>
      <c r="R1179" s="221"/>
      <c r="S1179" s="73" t="s">
        <v>39</v>
      </c>
      <c r="T1179" s="221">
        <f t="shared" si="0"/>
        <v>0</v>
      </c>
      <c r="U1179" s="221"/>
      <c r="V1179" s="221"/>
      <c r="W1179" s="73" t="s">
        <v>38</v>
      </c>
    </row>
    <row r="1180" spans="1:24" ht="18.75" customHeight="1">
      <c r="A1180" s="221" t="s">
        <v>40</v>
      </c>
      <c r="B1180" s="221"/>
      <c r="C1180" s="221"/>
      <c r="D1180" s="221"/>
      <c r="E1180" s="221"/>
      <c r="F1180" s="221"/>
      <c r="G1180" s="73" t="s">
        <v>39</v>
      </c>
      <c r="H1180" s="221" t="e">
        <f>ROUND(H1172-H1179,-2)</f>
        <v>#DIV/0!</v>
      </c>
      <c r="I1180" s="221"/>
      <c r="J1180" s="221"/>
      <c r="K1180" s="73" t="s">
        <v>38</v>
      </c>
      <c r="M1180" s="221" t="s">
        <v>40</v>
      </c>
      <c r="N1180" s="221"/>
      <c r="O1180" s="221"/>
      <c r="P1180" s="221"/>
      <c r="Q1180" s="221"/>
      <c r="R1180" s="221"/>
      <c r="S1180" s="73" t="s">
        <v>39</v>
      </c>
      <c r="T1180" s="221">
        <f t="shared" si="0"/>
        <v>0</v>
      </c>
      <c r="U1180" s="221"/>
      <c r="V1180" s="221"/>
      <c r="W1180" s="73" t="s">
        <v>38</v>
      </c>
    </row>
    <row r="1181" spans="1:24" ht="18.75" customHeight="1">
      <c r="A1181" s="73"/>
      <c r="B1181" s="73"/>
      <c r="C1181" s="73"/>
      <c r="D1181" s="73"/>
      <c r="E1181" s="73"/>
      <c r="F1181" s="73"/>
      <c r="G1181" s="73"/>
      <c r="H1181" s="73"/>
      <c r="I1181" s="73"/>
      <c r="J1181" s="73"/>
      <c r="K1181" s="73"/>
      <c r="M1181" s="73"/>
      <c r="N1181" s="73"/>
      <c r="O1181" s="73"/>
      <c r="P1181" s="73"/>
      <c r="Q1181" s="73"/>
      <c r="R1181" s="73"/>
      <c r="S1181" s="73"/>
      <c r="T1181" s="73"/>
      <c r="U1181" s="73"/>
      <c r="V1181" s="73"/>
      <c r="W1181" s="73"/>
    </row>
    <row r="1182" spans="1:24" ht="18.75" customHeight="1">
      <c r="A1182" s="73"/>
      <c r="B1182" s="73"/>
      <c r="C1182" s="73"/>
      <c r="D1182" s="73"/>
      <c r="E1182" s="73"/>
      <c r="F1182" s="73"/>
      <c r="G1182" s="73"/>
      <c r="H1182" s="73"/>
      <c r="I1182" s="221" t="s">
        <v>37</v>
      </c>
      <c r="J1182" s="221"/>
      <c r="K1182" s="221"/>
      <c r="M1182" s="73"/>
      <c r="N1182" s="73"/>
      <c r="O1182" s="73"/>
      <c r="P1182" s="73"/>
      <c r="Q1182" s="73"/>
      <c r="R1182" s="73"/>
      <c r="S1182" s="73"/>
      <c r="T1182" s="73"/>
      <c r="U1182" s="221" t="s">
        <v>37</v>
      </c>
      <c r="V1182" s="221"/>
      <c r="W1182" s="221"/>
    </row>
    <row r="1183" spans="1:24" ht="18.75" customHeight="1">
      <c r="A1183" s="73"/>
      <c r="B1183" s="221"/>
      <c r="C1183" s="221"/>
      <c r="D1183" s="221"/>
      <c r="E1183" s="221"/>
      <c r="F1183" s="73"/>
      <c r="G1183" s="73"/>
      <c r="H1183" s="73"/>
      <c r="I1183" s="73"/>
      <c r="J1183" s="73"/>
      <c r="K1183" s="73"/>
      <c r="M1183" s="73"/>
      <c r="N1183" s="221"/>
      <c r="O1183" s="221"/>
      <c r="P1183" s="221"/>
      <c r="Q1183" s="221"/>
      <c r="R1183" s="73"/>
      <c r="S1183" s="73"/>
      <c r="T1183" s="73"/>
      <c r="U1183" s="73"/>
      <c r="V1183" s="73"/>
      <c r="W1183" s="73"/>
    </row>
    <row r="1184" spans="1:24" ht="18.75" customHeight="1">
      <c r="A1184" s="73"/>
      <c r="B1184" s="73"/>
      <c r="C1184" s="73"/>
      <c r="D1184" s="73"/>
      <c r="E1184" s="73"/>
      <c r="F1184" s="73"/>
      <c r="G1184" s="73"/>
      <c r="H1184" s="73"/>
      <c r="I1184" s="221" t="s">
        <v>36</v>
      </c>
      <c r="J1184" s="221"/>
      <c r="K1184" s="221"/>
      <c r="M1184" s="73"/>
      <c r="N1184" s="73"/>
      <c r="O1184" s="73"/>
      <c r="P1184" s="73"/>
      <c r="Q1184" s="73"/>
      <c r="R1184" s="73"/>
      <c r="S1184" s="73"/>
      <c r="T1184" s="73"/>
      <c r="U1184" s="221" t="s">
        <v>36</v>
      </c>
      <c r="V1184" s="221"/>
      <c r="W1184" s="221"/>
    </row>
  </sheetData>
  <mergeCells count="3456">
    <mergeCell ref="A1:K1"/>
    <mergeCell ref="M1:W1"/>
    <mergeCell ref="A3:K3"/>
    <mergeCell ref="M3:W3"/>
    <mergeCell ref="A4:D4"/>
    <mergeCell ref="F4:K4"/>
    <mergeCell ref="M4:P4"/>
    <mergeCell ref="R4:W4"/>
    <mergeCell ref="A5:D5"/>
    <mergeCell ref="F5:K5"/>
    <mergeCell ref="M5:P5"/>
    <mergeCell ref="R5:W5"/>
    <mergeCell ref="A6:D6"/>
    <mergeCell ref="F6:K6"/>
    <mergeCell ref="M6:P6"/>
    <mergeCell ref="R6:W6"/>
    <mergeCell ref="A7:K7"/>
    <mergeCell ref="M7:W7"/>
    <mergeCell ref="A8:D8"/>
    <mergeCell ref="F8:I8"/>
    <mergeCell ref="M8:P8"/>
    <mergeCell ref="R8:U8"/>
    <mergeCell ref="E11:G11"/>
    <mergeCell ref="I11:J11"/>
    <mergeCell ref="Q11:S11"/>
    <mergeCell ref="U11:V11"/>
    <mergeCell ref="E12:G12"/>
    <mergeCell ref="I12:J12"/>
    <mergeCell ref="Q12:S12"/>
    <mergeCell ref="U12:V12"/>
    <mergeCell ref="E13:G13"/>
    <mergeCell ref="I13:J13"/>
    <mergeCell ref="Q13:S13"/>
    <mergeCell ref="U13:V13"/>
    <mergeCell ref="E14:G14"/>
    <mergeCell ref="I14:J14"/>
    <mergeCell ref="Q14:S14"/>
    <mergeCell ref="U14:V14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E17:G17"/>
    <mergeCell ref="I17:J17"/>
    <mergeCell ref="Q17:S17"/>
    <mergeCell ref="U17:V17"/>
    <mergeCell ref="E18:G18"/>
    <mergeCell ref="I18:J18"/>
    <mergeCell ref="Q18:S18"/>
    <mergeCell ref="U18:V18"/>
    <mergeCell ref="E19:G19"/>
    <mergeCell ref="I19:J19"/>
    <mergeCell ref="Q19:S19"/>
    <mergeCell ref="U19:V19"/>
    <mergeCell ref="I20:J20"/>
    <mergeCell ref="U20:V20"/>
    <mergeCell ref="E21:G21"/>
    <mergeCell ref="I21:J21"/>
    <mergeCell ref="Q21:S21"/>
    <mergeCell ref="U21:V21"/>
    <mergeCell ref="A22:B22"/>
    <mergeCell ref="I22:J22"/>
    <mergeCell ref="M22:N22"/>
    <mergeCell ref="U22:V22"/>
    <mergeCell ref="I23:J23"/>
    <mergeCell ref="U23:V23"/>
    <mergeCell ref="A24:F24"/>
    <mergeCell ref="H24:J24"/>
    <mergeCell ref="M24:R24"/>
    <mergeCell ref="T24:V24"/>
    <mergeCell ref="A26:F26"/>
    <mergeCell ref="M26:R26"/>
    <mergeCell ref="A27:F27"/>
    <mergeCell ref="H27:J27"/>
    <mergeCell ref="M27:R27"/>
    <mergeCell ref="T27:V27"/>
    <mergeCell ref="A28:F28"/>
    <mergeCell ref="H28:J28"/>
    <mergeCell ref="M28:R28"/>
    <mergeCell ref="T28:V28"/>
    <mergeCell ref="A29:F29"/>
    <mergeCell ref="H29:J29"/>
    <mergeCell ref="M29:R29"/>
    <mergeCell ref="T29:V29"/>
    <mergeCell ref="A30:F30"/>
    <mergeCell ref="H30:J30"/>
    <mergeCell ref="M30:R30"/>
    <mergeCell ref="T30:V30"/>
    <mergeCell ref="A31:F31"/>
    <mergeCell ref="H31:J31"/>
    <mergeCell ref="M31:R31"/>
    <mergeCell ref="T31:V31"/>
    <mergeCell ref="A32:F32"/>
    <mergeCell ref="H32:J32"/>
    <mergeCell ref="M32:R32"/>
    <mergeCell ref="T32:V32"/>
    <mergeCell ref="I34:K34"/>
    <mergeCell ref="U34:W34"/>
    <mergeCell ref="B35:E35"/>
    <mergeCell ref="N35:Q35"/>
    <mergeCell ref="I36:K36"/>
    <mergeCell ref="U36:W36"/>
    <mergeCell ref="A39:K39"/>
    <mergeCell ref="M39:W39"/>
    <mergeCell ref="A41:K41"/>
    <mergeCell ref="M41:W41"/>
    <mergeCell ref="A42:D42"/>
    <mergeCell ref="F42:K42"/>
    <mergeCell ref="M42:P42"/>
    <mergeCell ref="R42:W42"/>
    <mergeCell ref="A43:D43"/>
    <mergeCell ref="F43:K43"/>
    <mergeCell ref="M43:P43"/>
    <mergeCell ref="R43:W43"/>
    <mergeCell ref="A44:D44"/>
    <mergeCell ref="F44:K44"/>
    <mergeCell ref="M44:P44"/>
    <mergeCell ref="R44:W44"/>
    <mergeCell ref="A45:K45"/>
    <mergeCell ref="M45:W45"/>
    <mergeCell ref="A46:D46"/>
    <mergeCell ref="F46:I46"/>
    <mergeCell ref="M46:P46"/>
    <mergeCell ref="R46:U46"/>
    <mergeCell ref="E49:G49"/>
    <mergeCell ref="I49:J49"/>
    <mergeCell ref="Q49:S49"/>
    <mergeCell ref="U49:V49"/>
    <mergeCell ref="E50:G50"/>
    <mergeCell ref="I50:J50"/>
    <mergeCell ref="Q50:S50"/>
    <mergeCell ref="U50:V50"/>
    <mergeCell ref="E51:G51"/>
    <mergeCell ref="I51:J51"/>
    <mergeCell ref="Q51:S51"/>
    <mergeCell ref="U51:V51"/>
    <mergeCell ref="E52:G52"/>
    <mergeCell ref="I52:J52"/>
    <mergeCell ref="Q52:S52"/>
    <mergeCell ref="U52:V52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5:G55"/>
    <mergeCell ref="I55:J55"/>
    <mergeCell ref="Q55:S55"/>
    <mergeCell ref="U55:V55"/>
    <mergeCell ref="E56:G56"/>
    <mergeCell ref="I56:J56"/>
    <mergeCell ref="Q56:S56"/>
    <mergeCell ref="U56:V56"/>
    <mergeCell ref="E57:G57"/>
    <mergeCell ref="I57:J57"/>
    <mergeCell ref="Q57:S57"/>
    <mergeCell ref="U57:V57"/>
    <mergeCell ref="I58:J58"/>
    <mergeCell ref="U58:V58"/>
    <mergeCell ref="E59:G59"/>
    <mergeCell ref="I59:J59"/>
    <mergeCell ref="Q59:S59"/>
    <mergeCell ref="U59:V59"/>
    <mergeCell ref="A60:B60"/>
    <mergeCell ref="I60:J60"/>
    <mergeCell ref="M60:N60"/>
    <mergeCell ref="U60:V60"/>
    <mergeCell ref="I61:J61"/>
    <mergeCell ref="U61:V61"/>
    <mergeCell ref="A62:F62"/>
    <mergeCell ref="H62:J62"/>
    <mergeCell ref="M62:R62"/>
    <mergeCell ref="T62:V62"/>
    <mergeCell ref="A64:F64"/>
    <mergeCell ref="M64:R64"/>
    <mergeCell ref="A65:F65"/>
    <mergeCell ref="H65:J65"/>
    <mergeCell ref="M65:R65"/>
    <mergeCell ref="T65:V65"/>
    <mergeCell ref="A66:F66"/>
    <mergeCell ref="H66:J66"/>
    <mergeCell ref="M66:R66"/>
    <mergeCell ref="T66:V66"/>
    <mergeCell ref="A67:F67"/>
    <mergeCell ref="H67:J67"/>
    <mergeCell ref="M67:R67"/>
    <mergeCell ref="T67:V67"/>
    <mergeCell ref="A68:F68"/>
    <mergeCell ref="H68:J68"/>
    <mergeCell ref="M68:R68"/>
    <mergeCell ref="T68:V68"/>
    <mergeCell ref="A69:F69"/>
    <mergeCell ref="H69:J69"/>
    <mergeCell ref="M69:R69"/>
    <mergeCell ref="T69:V69"/>
    <mergeCell ref="A70:F70"/>
    <mergeCell ref="H70:J70"/>
    <mergeCell ref="M70:R70"/>
    <mergeCell ref="T70:V70"/>
    <mergeCell ref="I72:K72"/>
    <mergeCell ref="U72:W72"/>
    <mergeCell ref="B73:E73"/>
    <mergeCell ref="N73:Q73"/>
    <mergeCell ref="I74:K74"/>
    <mergeCell ref="U74:W74"/>
    <mergeCell ref="A76:K76"/>
    <mergeCell ref="M76:W76"/>
    <mergeCell ref="A78:K78"/>
    <mergeCell ref="M78:W78"/>
    <mergeCell ref="A79:D79"/>
    <mergeCell ref="F79:K79"/>
    <mergeCell ref="M79:P79"/>
    <mergeCell ref="R79:W79"/>
    <mergeCell ref="A80:D80"/>
    <mergeCell ref="F80:K80"/>
    <mergeCell ref="M80:P80"/>
    <mergeCell ref="R80:W80"/>
    <mergeCell ref="A81:D81"/>
    <mergeCell ref="F81:K81"/>
    <mergeCell ref="M81:P81"/>
    <mergeCell ref="R81:W81"/>
    <mergeCell ref="A82:K82"/>
    <mergeCell ref="M82:W82"/>
    <mergeCell ref="A83:D83"/>
    <mergeCell ref="F83:I83"/>
    <mergeCell ref="M83:P83"/>
    <mergeCell ref="R83:U83"/>
    <mergeCell ref="E86:G86"/>
    <mergeCell ref="I86:J86"/>
    <mergeCell ref="Q86:S86"/>
    <mergeCell ref="U86:V86"/>
    <mergeCell ref="E87:G87"/>
    <mergeCell ref="I87:J87"/>
    <mergeCell ref="Q87:S87"/>
    <mergeCell ref="U87:V87"/>
    <mergeCell ref="E88:G88"/>
    <mergeCell ref="I88:J88"/>
    <mergeCell ref="Q88:S88"/>
    <mergeCell ref="U88:V88"/>
    <mergeCell ref="E89:G89"/>
    <mergeCell ref="I89:J89"/>
    <mergeCell ref="Q89:S89"/>
    <mergeCell ref="U89:V89"/>
    <mergeCell ref="E90:G90"/>
    <mergeCell ref="I90:J90"/>
    <mergeCell ref="Q90:S90"/>
    <mergeCell ref="U90:V90"/>
    <mergeCell ref="A91:B91"/>
    <mergeCell ref="E91:G91"/>
    <mergeCell ref="I91:J91"/>
    <mergeCell ref="M91:N91"/>
    <mergeCell ref="Q91:S91"/>
    <mergeCell ref="U91:V91"/>
    <mergeCell ref="E92:G92"/>
    <mergeCell ref="I92:J92"/>
    <mergeCell ref="Q92:S92"/>
    <mergeCell ref="U92:V92"/>
    <mergeCell ref="E93:G93"/>
    <mergeCell ref="I93:J93"/>
    <mergeCell ref="Q93:S93"/>
    <mergeCell ref="U93:V93"/>
    <mergeCell ref="E94:G94"/>
    <mergeCell ref="I94:J94"/>
    <mergeCell ref="Q94:S94"/>
    <mergeCell ref="U94:V94"/>
    <mergeCell ref="I95:J95"/>
    <mergeCell ref="U95:V95"/>
    <mergeCell ref="E96:G96"/>
    <mergeCell ref="I96:J96"/>
    <mergeCell ref="Q96:S96"/>
    <mergeCell ref="U96:V96"/>
    <mergeCell ref="A97:B97"/>
    <mergeCell ref="I97:J97"/>
    <mergeCell ref="M97:N97"/>
    <mergeCell ref="U97:V97"/>
    <mergeCell ref="I98:J98"/>
    <mergeCell ref="U98:V98"/>
    <mergeCell ref="A99:F99"/>
    <mergeCell ref="H99:J99"/>
    <mergeCell ref="M99:R99"/>
    <mergeCell ref="T99:V99"/>
    <mergeCell ref="A101:F101"/>
    <mergeCell ref="M101:R101"/>
    <mergeCell ref="A102:F102"/>
    <mergeCell ref="H102:J102"/>
    <mergeCell ref="M102:R102"/>
    <mergeCell ref="T102:V102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7:F107"/>
    <mergeCell ref="H107:J107"/>
    <mergeCell ref="M107:R107"/>
    <mergeCell ref="T107:V107"/>
    <mergeCell ref="I109:K109"/>
    <mergeCell ref="U109:W109"/>
    <mergeCell ref="B110:E110"/>
    <mergeCell ref="N110:Q110"/>
    <mergeCell ref="I111:K111"/>
    <mergeCell ref="U111:W111"/>
    <mergeCell ref="A113:K113"/>
    <mergeCell ref="M113:W113"/>
    <mergeCell ref="A115:K115"/>
    <mergeCell ref="M115:W115"/>
    <mergeCell ref="A116:D116"/>
    <mergeCell ref="F116:K116"/>
    <mergeCell ref="M116:P116"/>
    <mergeCell ref="R116:W116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9:K119"/>
    <mergeCell ref="M119:W119"/>
    <mergeCell ref="A120:D120"/>
    <mergeCell ref="F120:I120"/>
    <mergeCell ref="M120:P120"/>
    <mergeCell ref="R120:U120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31:G131"/>
    <mergeCell ref="I131:J131"/>
    <mergeCell ref="Q131:S131"/>
    <mergeCell ref="U131:V131"/>
    <mergeCell ref="I132:J132"/>
    <mergeCell ref="U132:V132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I135:J135"/>
    <mergeCell ref="U135:V135"/>
    <mergeCell ref="A136:F136"/>
    <mergeCell ref="H136:J136"/>
    <mergeCell ref="M136:R136"/>
    <mergeCell ref="T136:V136"/>
    <mergeCell ref="A138:F138"/>
    <mergeCell ref="M138:R138"/>
    <mergeCell ref="A139:F139"/>
    <mergeCell ref="H139:J139"/>
    <mergeCell ref="M139:R139"/>
    <mergeCell ref="T139:V139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4:F144"/>
    <mergeCell ref="H144:J144"/>
    <mergeCell ref="M144:R144"/>
    <mergeCell ref="T144:V144"/>
    <mergeCell ref="I146:K146"/>
    <mergeCell ref="U146:W146"/>
    <mergeCell ref="B147:E147"/>
    <mergeCell ref="N147:Q147"/>
    <mergeCell ref="I148:K148"/>
    <mergeCell ref="U148:W148"/>
    <mergeCell ref="A150:K150"/>
    <mergeCell ref="M150:W150"/>
    <mergeCell ref="A152:K152"/>
    <mergeCell ref="M152:W152"/>
    <mergeCell ref="A153:D153"/>
    <mergeCell ref="F153:K153"/>
    <mergeCell ref="M153:P153"/>
    <mergeCell ref="R153:W153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A156:K156"/>
    <mergeCell ref="M156:W156"/>
    <mergeCell ref="A157:D157"/>
    <mergeCell ref="F157:I157"/>
    <mergeCell ref="M157:P157"/>
    <mergeCell ref="R157:U157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E168:G168"/>
    <mergeCell ref="I168:J168"/>
    <mergeCell ref="Q168:S168"/>
    <mergeCell ref="U168:V168"/>
    <mergeCell ref="I169:J169"/>
    <mergeCell ref="U169:V169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I172:J172"/>
    <mergeCell ref="U172:V172"/>
    <mergeCell ref="A173:F173"/>
    <mergeCell ref="H173:J173"/>
    <mergeCell ref="M173:R173"/>
    <mergeCell ref="T173:V173"/>
    <mergeCell ref="A175:F175"/>
    <mergeCell ref="M175:R175"/>
    <mergeCell ref="A176:F176"/>
    <mergeCell ref="H176:J176"/>
    <mergeCell ref="M176:R176"/>
    <mergeCell ref="T176:V176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81:F181"/>
    <mergeCell ref="H181:J181"/>
    <mergeCell ref="M181:R181"/>
    <mergeCell ref="T181:V181"/>
    <mergeCell ref="I183:K183"/>
    <mergeCell ref="U183:W183"/>
    <mergeCell ref="B184:E184"/>
    <mergeCell ref="N184:Q184"/>
    <mergeCell ref="I185:K185"/>
    <mergeCell ref="U185:W185"/>
    <mergeCell ref="A187:K187"/>
    <mergeCell ref="M187:W187"/>
    <mergeCell ref="A189:K189"/>
    <mergeCell ref="M189:W189"/>
    <mergeCell ref="A190:D190"/>
    <mergeCell ref="F190:K190"/>
    <mergeCell ref="M190:P190"/>
    <mergeCell ref="R190:W190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93:K193"/>
    <mergeCell ref="M193:W193"/>
    <mergeCell ref="A194:D194"/>
    <mergeCell ref="F194:I194"/>
    <mergeCell ref="M194:P194"/>
    <mergeCell ref="R194:U194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201:G201"/>
    <mergeCell ref="I201:J201"/>
    <mergeCell ref="Q201:S201"/>
    <mergeCell ref="U201:V201"/>
    <mergeCell ref="A202:B202"/>
    <mergeCell ref="E202:G202"/>
    <mergeCell ref="I202:J202"/>
    <mergeCell ref="M202:N202"/>
    <mergeCell ref="Q202:S202"/>
    <mergeCell ref="U202:V202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5:G205"/>
    <mergeCell ref="I205:J205"/>
    <mergeCell ref="Q205:S205"/>
    <mergeCell ref="U205:V205"/>
    <mergeCell ref="I206:J206"/>
    <mergeCell ref="U206:V206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I209:J209"/>
    <mergeCell ref="U209:V209"/>
    <mergeCell ref="A210:F210"/>
    <mergeCell ref="H210:J210"/>
    <mergeCell ref="M210:R210"/>
    <mergeCell ref="T210:V210"/>
    <mergeCell ref="A212:F212"/>
    <mergeCell ref="M212:R212"/>
    <mergeCell ref="A213:F213"/>
    <mergeCell ref="H213:J213"/>
    <mergeCell ref="M213:R213"/>
    <mergeCell ref="T213:V213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8:F218"/>
    <mergeCell ref="H218:J218"/>
    <mergeCell ref="M218:R218"/>
    <mergeCell ref="T218:V218"/>
    <mergeCell ref="I220:K220"/>
    <mergeCell ref="U220:W220"/>
    <mergeCell ref="B221:E221"/>
    <mergeCell ref="N221:Q221"/>
    <mergeCell ref="I222:K222"/>
    <mergeCell ref="U222:W222"/>
    <mergeCell ref="A224:K224"/>
    <mergeCell ref="M224:W224"/>
    <mergeCell ref="A226:K226"/>
    <mergeCell ref="M226:W226"/>
    <mergeCell ref="A227:D227"/>
    <mergeCell ref="F227:K227"/>
    <mergeCell ref="M227:P227"/>
    <mergeCell ref="R227:W227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30:K230"/>
    <mergeCell ref="M230:W230"/>
    <mergeCell ref="A231:D231"/>
    <mergeCell ref="F231:I231"/>
    <mergeCell ref="M231:P231"/>
    <mergeCell ref="R231:U231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42:G242"/>
    <mergeCell ref="I242:J242"/>
    <mergeCell ref="Q242:S242"/>
    <mergeCell ref="U242:V242"/>
    <mergeCell ref="I243:J243"/>
    <mergeCell ref="U243:V243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I246:J246"/>
    <mergeCell ref="U246:V246"/>
    <mergeCell ref="A247:F247"/>
    <mergeCell ref="H247:J247"/>
    <mergeCell ref="M247:R247"/>
    <mergeCell ref="T247:V247"/>
    <mergeCell ref="A249:F249"/>
    <mergeCell ref="M249:R249"/>
    <mergeCell ref="A250:F250"/>
    <mergeCell ref="H250:J250"/>
    <mergeCell ref="M250:R250"/>
    <mergeCell ref="T250:V250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5:F255"/>
    <mergeCell ref="H255:J255"/>
    <mergeCell ref="M255:R255"/>
    <mergeCell ref="T255:V255"/>
    <mergeCell ref="I257:K257"/>
    <mergeCell ref="U257:W257"/>
    <mergeCell ref="B258:E258"/>
    <mergeCell ref="N258:Q258"/>
    <mergeCell ref="I259:K259"/>
    <mergeCell ref="U259:W259"/>
    <mergeCell ref="A261:K261"/>
    <mergeCell ref="M261:W261"/>
    <mergeCell ref="A263:K263"/>
    <mergeCell ref="M263:W263"/>
    <mergeCell ref="A264:D264"/>
    <mergeCell ref="F264:K264"/>
    <mergeCell ref="M264:P264"/>
    <mergeCell ref="R264:W264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A267:K267"/>
    <mergeCell ref="M267:W267"/>
    <mergeCell ref="A268:D268"/>
    <mergeCell ref="F268:I268"/>
    <mergeCell ref="M268:P268"/>
    <mergeCell ref="R268:U268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E279:G279"/>
    <mergeCell ref="I279:J279"/>
    <mergeCell ref="Q279:S279"/>
    <mergeCell ref="U279:V279"/>
    <mergeCell ref="I280:J280"/>
    <mergeCell ref="U280:V280"/>
    <mergeCell ref="E281:G281"/>
    <mergeCell ref="I281:J281"/>
    <mergeCell ref="Q281:S281"/>
    <mergeCell ref="U281:V281"/>
    <mergeCell ref="A282:B282"/>
    <mergeCell ref="I282:J282"/>
    <mergeCell ref="M282:N282"/>
    <mergeCell ref="U282:V282"/>
    <mergeCell ref="I283:J283"/>
    <mergeCell ref="U283:V283"/>
    <mergeCell ref="A284:F284"/>
    <mergeCell ref="H284:J284"/>
    <mergeCell ref="M284:R284"/>
    <mergeCell ref="T284:V284"/>
    <mergeCell ref="A286:F286"/>
    <mergeCell ref="M286:R286"/>
    <mergeCell ref="A287:F287"/>
    <mergeCell ref="H287:J287"/>
    <mergeCell ref="M287:R287"/>
    <mergeCell ref="T287:V287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292:F292"/>
    <mergeCell ref="H292:J292"/>
    <mergeCell ref="M292:R292"/>
    <mergeCell ref="T292:V292"/>
    <mergeCell ref="I294:K294"/>
    <mergeCell ref="U294:W294"/>
    <mergeCell ref="B295:E295"/>
    <mergeCell ref="N295:Q295"/>
    <mergeCell ref="I296:K296"/>
    <mergeCell ref="U296:W296"/>
    <mergeCell ref="A298:K298"/>
    <mergeCell ref="M298:W298"/>
    <mergeCell ref="A300:K300"/>
    <mergeCell ref="M300:W300"/>
    <mergeCell ref="A301:D301"/>
    <mergeCell ref="F301:K301"/>
    <mergeCell ref="M301:P301"/>
    <mergeCell ref="R301:W301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4:K304"/>
    <mergeCell ref="M304:W304"/>
    <mergeCell ref="A305:D305"/>
    <mergeCell ref="F305:I305"/>
    <mergeCell ref="M305:P305"/>
    <mergeCell ref="R305:U305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12:G312"/>
    <mergeCell ref="I312:J312"/>
    <mergeCell ref="Q312:S312"/>
    <mergeCell ref="U312:V312"/>
    <mergeCell ref="A313:B313"/>
    <mergeCell ref="E313:G313"/>
    <mergeCell ref="I313:J313"/>
    <mergeCell ref="M313:N313"/>
    <mergeCell ref="Q313:S313"/>
    <mergeCell ref="U313:V313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6:G316"/>
    <mergeCell ref="I316:J316"/>
    <mergeCell ref="Q316:S316"/>
    <mergeCell ref="U316:V316"/>
    <mergeCell ref="I317:J317"/>
    <mergeCell ref="U317:V317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I320:J320"/>
    <mergeCell ref="U320:V320"/>
    <mergeCell ref="A321:F321"/>
    <mergeCell ref="H321:J321"/>
    <mergeCell ref="M321:R321"/>
    <mergeCell ref="T321:V321"/>
    <mergeCell ref="A323:F323"/>
    <mergeCell ref="M323:R323"/>
    <mergeCell ref="A324:F324"/>
    <mergeCell ref="H324:J324"/>
    <mergeCell ref="M324:R324"/>
    <mergeCell ref="T324:V324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9:F329"/>
    <mergeCell ref="H329:J329"/>
    <mergeCell ref="M329:R329"/>
    <mergeCell ref="T329:V329"/>
    <mergeCell ref="I331:K331"/>
    <mergeCell ref="U331:W331"/>
    <mergeCell ref="B332:E332"/>
    <mergeCell ref="N332:Q332"/>
    <mergeCell ref="I333:K333"/>
    <mergeCell ref="U333:W333"/>
    <mergeCell ref="A335:K335"/>
    <mergeCell ref="M335:W335"/>
    <mergeCell ref="A337:K337"/>
    <mergeCell ref="M337:W337"/>
    <mergeCell ref="A338:D338"/>
    <mergeCell ref="F338:K338"/>
    <mergeCell ref="M338:P338"/>
    <mergeCell ref="R338:W338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41:K341"/>
    <mergeCell ref="M341:W341"/>
    <mergeCell ref="A342:D342"/>
    <mergeCell ref="F342:I342"/>
    <mergeCell ref="M342:P342"/>
    <mergeCell ref="R342:U342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53:G353"/>
    <mergeCell ref="I353:J353"/>
    <mergeCell ref="Q353:S353"/>
    <mergeCell ref="U353:V353"/>
    <mergeCell ref="I354:J354"/>
    <mergeCell ref="U354:V354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I357:J357"/>
    <mergeCell ref="U357:V357"/>
    <mergeCell ref="A358:F358"/>
    <mergeCell ref="H358:J358"/>
    <mergeCell ref="M358:R358"/>
    <mergeCell ref="T358:V358"/>
    <mergeCell ref="A360:F360"/>
    <mergeCell ref="M360:R360"/>
    <mergeCell ref="A361:F361"/>
    <mergeCell ref="H361:J361"/>
    <mergeCell ref="M361:R361"/>
    <mergeCell ref="T361:V361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6:F366"/>
    <mergeCell ref="H366:J366"/>
    <mergeCell ref="M366:R366"/>
    <mergeCell ref="T366:V366"/>
    <mergeCell ref="I368:K368"/>
    <mergeCell ref="U368:W368"/>
    <mergeCell ref="B369:E369"/>
    <mergeCell ref="N369:Q369"/>
    <mergeCell ref="I370:K370"/>
    <mergeCell ref="U370:W370"/>
    <mergeCell ref="A372:K372"/>
    <mergeCell ref="M372:W372"/>
    <mergeCell ref="A374:K374"/>
    <mergeCell ref="M374:W374"/>
    <mergeCell ref="A375:D375"/>
    <mergeCell ref="F375:K375"/>
    <mergeCell ref="M375:P375"/>
    <mergeCell ref="R375:W375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A378:K378"/>
    <mergeCell ref="M378:W378"/>
    <mergeCell ref="A379:D379"/>
    <mergeCell ref="F379:I379"/>
    <mergeCell ref="M379:P379"/>
    <mergeCell ref="R379:U379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E390:G390"/>
    <mergeCell ref="I390:J390"/>
    <mergeCell ref="Q390:S390"/>
    <mergeCell ref="U390:V390"/>
    <mergeCell ref="I391:J391"/>
    <mergeCell ref="U391:V391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I394:J394"/>
    <mergeCell ref="U394:V394"/>
    <mergeCell ref="A395:F395"/>
    <mergeCell ref="H395:J395"/>
    <mergeCell ref="M395:R395"/>
    <mergeCell ref="T395:V395"/>
    <mergeCell ref="A397:F397"/>
    <mergeCell ref="M397:R397"/>
    <mergeCell ref="A398:F398"/>
    <mergeCell ref="H398:J398"/>
    <mergeCell ref="M398:R398"/>
    <mergeCell ref="T398:V398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03:F403"/>
    <mergeCell ref="H403:J403"/>
    <mergeCell ref="M403:R403"/>
    <mergeCell ref="T403:V403"/>
    <mergeCell ref="I405:K405"/>
    <mergeCell ref="U405:W405"/>
    <mergeCell ref="B406:E406"/>
    <mergeCell ref="N406:Q406"/>
    <mergeCell ref="I407:K407"/>
    <mergeCell ref="U407:W407"/>
    <mergeCell ref="A409:K409"/>
    <mergeCell ref="M409:W409"/>
    <mergeCell ref="A411:K411"/>
    <mergeCell ref="M411:W411"/>
    <mergeCell ref="A412:D412"/>
    <mergeCell ref="F412:K412"/>
    <mergeCell ref="M412:P412"/>
    <mergeCell ref="R412:W412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5:K415"/>
    <mergeCell ref="M415:W415"/>
    <mergeCell ref="A416:D416"/>
    <mergeCell ref="F416:I416"/>
    <mergeCell ref="M416:P416"/>
    <mergeCell ref="R416:U416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23:G423"/>
    <mergeCell ref="I423:J423"/>
    <mergeCell ref="Q423:S423"/>
    <mergeCell ref="U423:V423"/>
    <mergeCell ref="A424:B424"/>
    <mergeCell ref="E424:G424"/>
    <mergeCell ref="I424:J424"/>
    <mergeCell ref="M424:N424"/>
    <mergeCell ref="Q424:S424"/>
    <mergeCell ref="U424:V424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7:G427"/>
    <mergeCell ref="I427:J427"/>
    <mergeCell ref="Q427:S427"/>
    <mergeCell ref="U427:V427"/>
    <mergeCell ref="I428:J428"/>
    <mergeCell ref="U428:V428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I431:J431"/>
    <mergeCell ref="U431:V431"/>
    <mergeCell ref="A432:F432"/>
    <mergeCell ref="H432:J432"/>
    <mergeCell ref="M432:R432"/>
    <mergeCell ref="T432:V432"/>
    <mergeCell ref="A434:F434"/>
    <mergeCell ref="M434:R434"/>
    <mergeCell ref="A435:F435"/>
    <mergeCell ref="H435:J435"/>
    <mergeCell ref="M435:R435"/>
    <mergeCell ref="T435:V435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40:F440"/>
    <mergeCell ref="H440:J440"/>
    <mergeCell ref="M440:R440"/>
    <mergeCell ref="T440:V440"/>
    <mergeCell ref="I442:K442"/>
    <mergeCell ref="U442:W442"/>
    <mergeCell ref="B443:E443"/>
    <mergeCell ref="N443:Q443"/>
    <mergeCell ref="I444:K444"/>
    <mergeCell ref="U444:W444"/>
    <mergeCell ref="A446:K446"/>
    <mergeCell ref="M446:W446"/>
    <mergeCell ref="A448:K448"/>
    <mergeCell ref="M448:W448"/>
    <mergeCell ref="A449:D449"/>
    <mergeCell ref="F449:K449"/>
    <mergeCell ref="M449:P449"/>
    <mergeCell ref="R449:W449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52:K452"/>
    <mergeCell ref="M452:W452"/>
    <mergeCell ref="A453:D453"/>
    <mergeCell ref="F453:I453"/>
    <mergeCell ref="M453:P453"/>
    <mergeCell ref="R453:U453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4:G464"/>
    <mergeCell ref="I464:J464"/>
    <mergeCell ref="Q464:S464"/>
    <mergeCell ref="U464:V464"/>
    <mergeCell ref="I465:J465"/>
    <mergeCell ref="U465:V465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I468:J468"/>
    <mergeCell ref="U468:V468"/>
    <mergeCell ref="A469:F469"/>
    <mergeCell ref="H469:J469"/>
    <mergeCell ref="M469:R469"/>
    <mergeCell ref="T469:V469"/>
    <mergeCell ref="A471:F471"/>
    <mergeCell ref="M471:R471"/>
    <mergeCell ref="A472:F472"/>
    <mergeCell ref="H472:J472"/>
    <mergeCell ref="M472:R472"/>
    <mergeCell ref="T472:V472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7:F477"/>
    <mergeCell ref="H477:J477"/>
    <mergeCell ref="M477:R477"/>
    <mergeCell ref="T477:V477"/>
    <mergeCell ref="I479:K479"/>
    <mergeCell ref="U479:W479"/>
    <mergeCell ref="B480:E480"/>
    <mergeCell ref="N480:Q480"/>
    <mergeCell ref="I481:K481"/>
    <mergeCell ref="U481:W481"/>
    <mergeCell ref="A483:K483"/>
    <mergeCell ref="M483:W483"/>
    <mergeCell ref="A485:K485"/>
    <mergeCell ref="M485:W485"/>
    <mergeCell ref="A486:D486"/>
    <mergeCell ref="F486:K486"/>
    <mergeCell ref="M486:P486"/>
    <mergeCell ref="R486:W486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A489:K489"/>
    <mergeCell ref="M489:W489"/>
    <mergeCell ref="A490:D490"/>
    <mergeCell ref="F490:I490"/>
    <mergeCell ref="M490:P490"/>
    <mergeCell ref="R490:U490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E501:G501"/>
    <mergeCell ref="I501:J501"/>
    <mergeCell ref="Q501:S501"/>
    <mergeCell ref="U501:V501"/>
    <mergeCell ref="I502:J502"/>
    <mergeCell ref="U502:V502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I505:J505"/>
    <mergeCell ref="U505:V505"/>
    <mergeCell ref="A506:F506"/>
    <mergeCell ref="H506:J506"/>
    <mergeCell ref="M506:R506"/>
    <mergeCell ref="T506:V506"/>
    <mergeCell ref="A508:F508"/>
    <mergeCell ref="M508:R508"/>
    <mergeCell ref="A509:F509"/>
    <mergeCell ref="H509:J509"/>
    <mergeCell ref="M509:R509"/>
    <mergeCell ref="T509:V509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14:F514"/>
    <mergeCell ref="H514:J514"/>
    <mergeCell ref="M514:R514"/>
    <mergeCell ref="T514:V514"/>
    <mergeCell ref="I516:K516"/>
    <mergeCell ref="U516:W516"/>
    <mergeCell ref="B517:E517"/>
    <mergeCell ref="N517:Q517"/>
    <mergeCell ref="I518:K518"/>
    <mergeCell ref="U518:W518"/>
    <mergeCell ref="A520:K520"/>
    <mergeCell ref="M520:W520"/>
    <mergeCell ref="A522:K522"/>
    <mergeCell ref="M522:W522"/>
    <mergeCell ref="A523:D523"/>
    <mergeCell ref="F523:K523"/>
    <mergeCell ref="M523:P523"/>
    <mergeCell ref="R523:W523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6:K526"/>
    <mergeCell ref="M526:W526"/>
    <mergeCell ref="A527:D527"/>
    <mergeCell ref="F527:I527"/>
    <mergeCell ref="M527:P527"/>
    <mergeCell ref="R527:U527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4:G534"/>
    <mergeCell ref="I534:J534"/>
    <mergeCell ref="Q534:S534"/>
    <mergeCell ref="U534:V534"/>
    <mergeCell ref="A535:B535"/>
    <mergeCell ref="E535:G535"/>
    <mergeCell ref="I535:J535"/>
    <mergeCell ref="M535:N535"/>
    <mergeCell ref="Q535:S535"/>
    <mergeCell ref="U535:V535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8:G538"/>
    <mergeCell ref="I538:J538"/>
    <mergeCell ref="Q538:S538"/>
    <mergeCell ref="U538:V538"/>
    <mergeCell ref="I539:J539"/>
    <mergeCell ref="U539:V539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I542:J542"/>
    <mergeCell ref="U542:V542"/>
    <mergeCell ref="A543:F543"/>
    <mergeCell ref="H543:J543"/>
    <mergeCell ref="M543:R543"/>
    <mergeCell ref="T543:V543"/>
    <mergeCell ref="A545:F545"/>
    <mergeCell ref="M545:R545"/>
    <mergeCell ref="A546:F546"/>
    <mergeCell ref="H546:J546"/>
    <mergeCell ref="M546:R546"/>
    <mergeCell ref="T546:V546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51:F551"/>
    <mergeCell ref="H551:J551"/>
    <mergeCell ref="M551:R551"/>
    <mergeCell ref="T551:V551"/>
    <mergeCell ref="I553:K553"/>
    <mergeCell ref="U553:W553"/>
    <mergeCell ref="B554:E554"/>
    <mergeCell ref="N554:Q554"/>
    <mergeCell ref="I555:K555"/>
    <mergeCell ref="U555:W555"/>
    <mergeCell ref="A557:K557"/>
    <mergeCell ref="M557:W557"/>
    <mergeCell ref="A559:K559"/>
    <mergeCell ref="M559:W559"/>
    <mergeCell ref="A560:D560"/>
    <mergeCell ref="F560:K560"/>
    <mergeCell ref="M560:P560"/>
    <mergeCell ref="R560:W560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63:K563"/>
    <mergeCell ref="M563:W563"/>
    <mergeCell ref="A564:D564"/>
    <mergeCell ref="F564:I564"/>
    <mergeCell ref="M564:P564"/>
    <mergeCell ref="R564:U564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5:G575"/>
    <mergeCell ref="I575:J575"/>
    <mergeCell ref="Q575:S575"/>
    <mergeCell ref="U575:V575"/>
    <mergeCell ref="I576:J576"/>
    <mergeCell ref="U576:V576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I579:J579"/>
    <mergeCell ref="U579:V579"/>
    <mergeCell ref="A580:F580"/>
    <mergeCell ref="H580:J580"/>
    <mergeCell ref="M580:R580"/>
    <mergeCell ref="T580:V580"/>
    <mergeCell ref="A582:F582"/>
    <mergeCell ref="M582:R582"/>
    <mergeCell ref="A583:F583"/>
    <mergeCell ref="H583:J583"/>
    <mergeCell ref="M583:R583"/>
    <mergeCell ref="T583:V583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8:F588"/>
    <mergeCell ref="H588:J588"/>
    <mergeCell ref="M588:R588"/>
    <mergeCell ref="T588:V588"/>
    <mergeCell ref="I590:K590"/>
    <mergeCell ref="U590:W590"/>
    <mergeCell ref="B591:E591"/>
    <mergeCell ref="N591:Q591"/>
    <mergeCell ref="I592:K592"/>
    <mergeCell ref="U592:W592"/>
    <mergeCell ref="A594:K594"/>
    <mergeCell ref="M594:W594"/>
    <mergeCell ref="A596:K596"/>
    <mergeCell ref="M596:W596"/>
    <mergeCell ref="A597:D597"/>
    <mergeCell ref="F597:K597"/>
    <mergeCell ref="M597:P597"/>
    <mergeCell ref="R597:W597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A600:K600"/>
    <mergeCell ref="M600:W600"/>
    <mergeCell ref="A601:D601"/>
    <mergeCell ref="F601:I601"/>
    <mergeCell ref="M601:P601"/>
    <mergeCell ref="R601:U601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E612:G612"/>
    <mergeCell ref="I612:J612"/>
    <mergeCell ref="Q612:S612"/>
    <mergeCell ref="U612:V612"/>
    <mergeCell ref="I613:J613"/>
    <mergeCell ref="U613:V613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I616:J616"/>
    <mergeCell ref="U616:V616"/>
    <mergeCell ref="A617:F617"/>
    <mergeCell ref="H617:J617"/>
    <mergeCell ref="M617:R617"/>
    <mergeCell ref="T617:V617"/>
    <mergeCell ref="A619:F619"/>
    <mergeCell ref="M619:R619"/>
    <mergeCell ref="A620:F620"/>
    <mergeCell ref="H620:J620"/>
    <mergeCell ref="M620:R620"/>
    <mergeCell ref="T620:V620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25:F625"/>
    <mergeCell ref="H625:J625"/>
    <mergeCell ref="M625:R625"/>
    <mergeCell ref="T625:V625"/>
    <mergeCell ref="I627:K627"/>
    <mergeCell ref="U627:W627"/>
    <mergeCell ref="B628:E628"/>
    <mergeCell ref="N628:Q628"/>
    <mergeCell ref="I629:K629"/>
    <mergeCell ref="U629:W629"/>
    <mergeCell ref="A631:K631"/>
    <mergeCell ref="M631:W631"/>
    <mergeCell ref="A633:K633"/>
    <mergeCell ref="M633:W633"/>
    <mergeCell ref="A634:D634"/>
    <mergeCell ref="F634:K634"/>
    <mergeCell ref="M634:P634"/>
    <mergeCell ref="R634:W634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7:K637"/>
    <mergeCell ref="M637:W637"/>
    <mergeCell ref="A638:D638"/>
    <mergeCell ref="F638:I638"/>
    <mergeCell ref="M638:P638"/>
    <mergeCell ref="R638:U638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5:G645"/>
    <mergeCell ref="I645:J645"/>
    <mergeCell ref="Q645:S645"/>
    <mergeCell ref="U645:V645"/>
    <mergeCell ref="A646:B646"/>
    <mergeCell ref="E646:G646"/>
    <mergeCell ref="I646:J646"/>
    <mergeCell ref="M646:N646"/>
    <mergeCell ref="Q646:S646"/>
    <mergeCell ref="U646:V646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9:G649"/>
    <mergeCell ref="I649:J649"/>
    <mergeCell ref="Q649:S649"/>
    <mergeCell ref="U649:V649"/>
    <mergeCell ref="I650:J650"/>
    <mergeCell ref="U650:V650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I653:J653"/>
    <mergeCell ref="U653:V653"/>
    <mergeCell ref="A654:F654"/>
    <mergeCell ref="H654:J654"/>
    <mergeCell ref="M654:R654"/>
    <mergeCell ref="T654:V654"/>
    <mergeCell ref="A656:F656"/>
    <mergeCell ref="M656:R656"/>
    <mergeCell ref="A657:F657"/>
    <mergeCell ref="H657:J657"/>
    <mergeCell ref="M657:R657"/>
    <mergeCell ref="T657:V657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62:F662"/>
    <mergeCell ref="H662:J662"/>
    <mergeCell ref="M662:R662"/>
    <mergeCell ref="T662:V662"/>
    <mergeCell ref="I664:K664"/>
    <mergeCell ref="U664:W664"/>
    <mergeCell ref="B665:E665"/>
    <mergeCell ref="N665:Q665"/>
    <mergeCell ref="I666:K666"/>
    <mergeCell ref="U666:W666"/>
    <mergeCell ref="A668:K668"/>
    <mergeCell ref="M668:W668"/>
    <mergeCell ref="A670:K670"/>
    <mergeCell ref="M670:W670"/>
    <mergeCell ref="A671:D671"/>
    <mergeCell ref="F671:K671"/>
    <mergeCell ref="M671:P671"/>
    <mergeCell ref="R671:W671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4:K674"/>
    <mergeCell ref="M674:W674"/>
    <mergeCell ref="A675:D675"/>
    <mergeCell ref="F675:I675"/>
    <mergeCell ref="M675:P675"/>
    <mergeCell ref="R675:U675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6:G686"/>
    <mergeCell ref="I686:J686"/>
    <mergeCell ref="Q686:S686"/>
    <mergeCell ref="U686:V686"/>
    <mergeCell ref="I687:J687"/>
    <mergeCell ref="U687:V687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I690:J690"/>
    <mergeCell ref="U690:V690"/>
    <mergeCell ref="A691:F691"/>
    <mergeCell ref="H691:J691"/>
    <mergeCell ref="M691:R691"/>
    <mergeCell ref="T691:V691"/>
    <mergeCell ref="A693:F693"/>
    <mergeCell ref="M693:R693"/>
    <mergeCell ref="A694:F694"/>
    <mergeCell ref="H694:J694"/>
    <mergeCell ref="M694:R694"/>
    <mergeCell ref="T694:V694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9:F699"/>
    <mergeCell ref="H699:J699"/>
    <mergeCell ref="M699:R699"/>
    <mergeCell ref="T699:V699"/>
    <mergeCell ref="I701:K701"/>
    <mergeCell ref="U701:W701"/>
    <mergeCell ref="B702:E702"/>
    <mergeCell ref="N702:Q702"/>
    <mergeCell ref="I703:K703"/>
    <mergeCell ref="U703:W703"/>
    <mergeCell ref="A705:K705"/>
    <mergeCell ref="M705:W705"/>
    <mergeCell ref="A707:K707"/>
    <mergeCell ref="M707:W707"/>
    <mergeCell ref="A708:D708"/>
    <mergeCell ref="F708:K708"/>
    <mergeCell ref="M708:P708"/>
    <mergeCell ref="R708:W708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A711:K711"/>
    <mergeCell ref="M711:W711"/>
    <mergeCell ref="A712:D712"/>
    <mergeCell ref="F712:I712"/>
    <mergeCell ref="M712:P712"/>
    <mergeCell ref="R712:U712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E723:G723"/>
    <mergeCell ref="I723:J723"/>
    <mergeCell ref="Q723:S723"/>
    <mergeCell ref="U723:V723"/>
    <mergeCell ref="I724:J724"/>
    <mergeCell ref="U724:V724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I727:J727"/>
    <mergeCell ref="U727:V727"/>
    <mergeCell ref="A728:F728"/>
    <mergeCell ref="H728:J728"/>
    <mergeCell ref="M728:R728"/>
    <mergeCell ref="T728:V728"/>
    <mergeCell ref="A730:F730"/>
    <mergeCell ref="M730:R730"/>
    <mergeCell ref="A731:F731"/>
    <mergeCell ref="H731:J731"/>
    <mergeCell ref="M731:R731"/>
    <mergeCell ref="T731:V731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36:F736"/>
    <mergeCell ref="H736:J736"/>
    <mergeCell ref="M736:R736"/>
    <mergeCell ref="T736:V736"/>
    <mergeCell ref="I738:K738"/>
    <mergeCell ref="U738:W738"/>
    <mergeCell ref="B739:E739"/>
    <mergeCell ref="N739:Q739"/>
    <mergeCell ref="I740:K740"/>
    <mergeCell ref="U740:W740"/>
    <mergeCell ref="A742:K742"/>
    <mergeCell ref="M742:W742"/>
    <mergeCell ref="A744:K744"/>
    <mergeCell ref="M744:W744"/>
    <mergeCell ref="A745:D745"/>
    <mergeCell ref="F745:K745"/>
    <mergeCell ref="M745:P745"/>
    <mergeCell ref="R745:W745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8:K748"/>
    <mergeCell ref="M748:W748"/>
    <mergeCell ref="A749:D749"/>
    <mergeCell ref="F749:I749"/>
    <mergeCell ref="M749:P749"/>
    <mergeCell ref="R749:U749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6:G756"/>
    <mergeCell ref="I756:J756"/>
    <mergeCell ref="Q756:S756"/>
    <mergeCell ref="U756:V756"/>
    <mergeCell ref="A757:B757"/>
    <mergeCell ref="E757:G757"/>
    <mergeCell ref="I757:J757"/>
    <mergeCell ref="M757:N757"/>
    <mergeCell ref="Q757:S757"/>
    <mergeCell ref="U757:V757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60:G760"/>
    <mergeCell ref="I760:J760"/>
    <mergeCell ref="Q760:S760"/>
    <mergeCell ref="U760:V760"/>
    <mergeCell ref="I761:J761"/>
    <mergeCell ref="U761:V761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I764:J764"/>
    <mergeCell ref="U764:V764"/>
    <mergeCell ref="A765:F765"/>
    <mergeCell ref="H765:J765"/>
    <mergeCell ref="M765:R765"/>
    <mergeCell ref="T765:V765"/>
    <mergeCell ref="A767:F767"/>
    <mergeCell ref="M767:R767"/>
    <mergeCell ref="A768:F768"/>
    <mergeCell ref="H768:J768"/>
    <mergeCell ref="M768:R768"/>
    <mergeCell ref="T768:V768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73:F773"/>
    <mergeCell ref="H773:J773"/>
    <mergeCell ref="M773:R773"/>
    <mergeCell ref="T773:V773"/>
    <mergeCell ref="I775:K775"/>
    <mergeCell ref="U775:W775"/>
    <mergeCell ref="B776:E776"/>
    <mergeCell ref="N776:Q776"/>
    <mergeCell ref="I777:K777"/>
    <mergeCell ref="U777:W777"/>
    <mergeCell ref="A779:K779"/>
    <mergeCell ref="M779:W779"/>
    <mergeCell ref="A781:K781"/>
    <mergeCell ref="M781:W781"/>
    <mergeCell ref="A782:D782"/>
    <mergeCell ref="F782:K782"/>
    <mergeCell ref="M782:P782"/>
    <mergeCell ref="R782:W782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5:K785"/>
    <mergeCell ref="M785:W785"/>
    <mergeCell ref="A786:D786"/>
    <mergeCell ref="F786:I786"/>
    <mergeCell ref="M786:P786"/>
    <mergeCell ref="R786:U786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7:G797"/>
    <mergeCell ref="I797:J797"/>
    <mergeCell ref="Q797:S797"/>
    <mergeCell ref="U797:V797"/>
    <mergeCell ref="I798:J798"/>
    <mergeCell ref="U798:V798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I801:J801"/>
    <mergeCell ref="U801:V801"/>
    <mergeCell ref="A802:F802"/>
    <mergeCell ref="H802:J802"/>
    <mergeCell ref="M802:R802"/>
    <mergeCell ref="T802:V802"/>
    <mergeCell ref="A804:F804"/>
    <mergeCell ref="M804:R804"/>
    <mergeCell ref="A805:F805"/>
    <mergeCell ref="H805:J805"/>
    <mergeCell ref="M805:R805"/>
    <mergeCell ref="T805:V805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10:F810"/>
    <mergeCell ref="H810:J810"/>
    <mergeCell ref="M810:R810"/>
    <mergeCell ref="T810:V810"/>
    <mergeCell ref="I812:K812"/>
    <mergeCell ref="U812:W812"/>
    <mergeCell ref="B813:E813"/>
    <mergeCell ref="N813:Q813"/>
    <mergeCell ref="I814:K814"/>
    <mergeCell ref="U814:W814"/>
    <mergeCell ref="A816:K816"/>
    <mergeCell ref="M816:W816"/>
    <mergeCell ref="A818:K818"/>
    <mergeCell ref="M818:W818"/>
    <mergeCell ref="A819:D819"/>
    <mergeCell ref="F819:K819"/>
    <mergeCell ref="M819:P819"/>
    <mergeCell ref="R819:W819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A822:K822"/>
    <mergeCell ref="M822:W822"/>
    <mergeCell ref="A823:D823"/>
    <mergeCell ref="F823:I823"/>
    <mergeCell ref="M823:P823"/>
    <mergeCell ref="R823:U823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E834:G834"/>
    <mergeCell ref="I834:J834"/>
    <mergeCell ref="Q834:S834"/>
    <mergeCell ref="U834:V834"/>
    <mergeCell ref="I835:J835"/>
    <mergeCell ref="U835:V835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I838:J838"/>
    <mergeCell ref="U838:V838"/>
    <mergeCell ref="A839:F839"/>
    <mergeCell ref="H839:J839"/>
    <mergeCell ref="M839:R839"/>
    <mergeCell ref="T839:V839"/>
    <mergeCell ref="A841:F841"/>
    <mergeCell ref="M841:R841"/>
    <mergeCell ref="A842:F842"/>
    <mergeCell ref="H842:J842"/>
    <mergeCell ref="M842:R842"/>
    <mergeCell ref="T842:V842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47:F847"/>
    <mergeCell ref="H847:J847"/>
    <mergeCell ref="M847:R847"/>
    <mergeCell ref="T847:V847"/>
    <mergeCell ref="I849:K849"/>
    <mergeCell ref="U849:W849"/>
    <mergeCell ref="B850:E850"/>
    <mergeCell ref="N850:Q850"/>
    <mergeCell ref="I851:K851"/>
    <mergeCell ref="U851:W851"/>
    <mergeCell ref="A853:K853"/>
    <mergeCell ref="M853:W853"/>
    <mergeCell ref="A855:K855"/>
    <mergeCell ref="M855:W855"/>
    <mergeCell ref="A856:D856"/>
    <mergeCell ref="F856:K856"/>
    <mergeCell ref="M856:P856"/>
    <mergeCell ref="R856:W856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9:K859"/>
    <mergeCell ref="M859:W859"/>
    <mergeCell ref="A860:D860"/>
    <mergeCell ref="F860:I860"/>
    <mergeCell ref="M860:P860"/>
    <mergeCell ref="R860:U860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7:G867"/>
    <mergeCell ref="I867:J867"/>
    <mergeCell ref="Q867:S867"/>
    <mergeCell ref="U867:V867"/>
    <mergeCell ref="A868:B868"/>
    <mergeCell ref="E868:G868"/>
    <mergeCell ref="I868:J868"/>
    <mergeCell ref="M868:N868"/>
    <mergeCell ref="Q868:S868"/>
    <mergeCell ref="U868:V868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71:G871"/>
    <mergeCell ref="I871:J871"/>
    <mergeCell ref="Q871:S871"/>
    <mergeCell ref="U871:V871"/>
    <mergeCell ref="I872:J872"/>
    <mergeCell ref="U872:V872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I875:J875"/>
    <mergeCell ref="U875:V875"/>
    <mergeCell ref="A876:F876"/>
    <mergeCell ref="H876:J876"/>
    <mergeCell ref="M876:R876"/>
    <mergeCell ref="T876:V876"/>
    <mergeCell ref="A878:F878"/>
    <mergeCell ref="M878:R878"/>
    <mergeCell ref="A879:F879"/>
    <mergeCell ref="H879:J879"/>
    <mergeCell ref="M879:R879"/>
    <mergeCell ref="T879:V879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4:F884"/>
    <mergeCell ref="H884:J884"/>
    <mergeCell ref="M884:R884"/>
    <mergeCell ref="T884:V884"/>
    <mergeCell ref="I886:K886"/>
    <mergeCell ref="U886:W886"/>
    <mergeCell ref="B887:E887"/>
    <mergeCell ref="N887:Q887"/>
    <mergeCell ref="I888:K888"/>
    <mergeCell ref="U888:W888"/>
    <mergeCell ref="A890:K890"/>
    <mergeCell ref="M890:W890"/>
    <mergeCell ref="A892:K892"/>
    <mergeCell ref="M892:W892"/>
    <mergeCell ref="A893:D893"/>
    <mergeCell ref="F893:K893"/>
    <mergeCell ref="M893:P893"/>
    <mergeCell ref="R893:W893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6:K896"/>
    <mergeCell ref="M896:W896"/>
    <mergeCell ref="A897:D897"/>
    <mergeCell ref="F897:I897"/>
    <mergeCell ref="M897:P897"/>
    <mergeCell ref="R897:U897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8:G908"/>
    <mergeCell ref="I908:J908"/>
    <mergeCell ref="Q908:S908"/>
    <mergeCell ref="U908:V908"/>
    <mergeCell ref="I909:J909"/>
    <mergeCell ref="U909:V909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I912:J912"/>
    <mergeCell ref="U912:V912"/>
    <mergeCell ref="A913:F913"/>
    <mergeCell ref="H913:J913"/>
    <mergeCell ref="M913:R913"/>
    <mergeCell ref="T913:V913"/>
    <mergeCell ref="A915:F915"/>
    <mergeCell ref="M915:R915"/>
    <mergeCell ref="A916:F916"/>
    <mergeCell ref="H916:J916"/>
    <mergeCell ref="M916:R916"/>
    <mergeCell ref="T916:V916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21:F921"/>
    <mergeCell ref="H921:J921"/>
    <mergeCell ref="M921:R921"/>
    <mergeCell ref="T921:V921"/>
    <mergeCell ref="I923:K923"/>
    <mergeCell ref="U923:W923"/>
    <mergeCell ref="B924:E924"/>
    <mergeCell ref="N924:Q924"/>
    <mergeCell ref="I925:K925"/>
    <mergeCell ref="U925:W925"/>
    <mergeCell ref="A927:K927"/>
    <mergeCell ref="M927:W927"/>
    <mergeCell ref="A929:K929"/>
    <mergeCell ref="M929:W929"/>
    <mergeCell ref="A930:D930"/>
    <mergeCell ref="F930:K930"/>
    <mergeCell ref="M930:P930"/>
    <mergeCell ref="R930:W930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A933:K933"/>
    <mergeCell ref="M933:W933"/>
    <mergeCell ref="A934:D934"/>
    <mergeCell ref="F934:I934"/>
    <mergeCell ref="M934:P934"/>
    <mergeCell ref="R934:U934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E945:G945"/>
    <mergeCell ref="I945:J945"/>
    <mergeCell ref="Q945:S945"/>
    <mergeCell ref="U945:V945"/>
    <mergeCell ref="I946:J946"/>
    <mergeCell ref="U946:V946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I949:J949"/>
    <mergeCell ref="U949:V949"/>
    <mergeCell ref="A950:F950"/>
    <mergeCell ref="H950:J950"/>
    <mergeCell ref="M950:R950"/>
    <mergeCell ref="T950:V950"/>
    <mergeCell ref="A952:F952"/>
    <mergeCell ref="M952:R952"/>
    <mergeCell ref="A953:F953"/>
    <mergeCell ref="H953:J953"/>
    <mergeCell ref="M953:R953"/>
    <mergeCell ref="T953:V953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58:F958"/>
    <mergeCell ref="H958:J958"/>
    <mergeCell ref="M958:R958"/>
    <mergeCell ref="T958:V958"/>
    <mergeCell ref="I960:K960"/>
    <mergeCell ref="U960:W960"/>
    <mergeCell ref="B961:E961"/>
    <mergeCell ref="N961:Q961"/>
    <mergeCell ref="I962:K962"/>
    <mergeCell ref="U962:W962"/>
    <mergeCell ref="A964:K964"/>
    <mergeCell ref="M964:W964"/>
    <mergeCell ref="A966:K966"/>
    <mergeCell ref="M966:W966"/>
    <mergeCell ref="A967:D967"/>
    <mergeCell ref="F967:K967"/>
    <mergeCell ref="M967:P967"/>
    <mergeCell ref="R967:W967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70:K970"/>
    <mergeCell ref="M970:W970"/>
    <mergeCell ref="A971:D971"/>
    <mergeCell ref="F971:I971"/>
    <mergeCell ref="M971:P971"/>
    <mergeCell ref="R971:U971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8:G978"/>
    <mergeCell ref="I978:J978"/>
    <mergeCell ref="Q978:S978"/>
    <mergeCell ref="U978:V978"/>
    <mergeCell ref="A979:B979"/>
    <mergeCell ref="E979:G979"/>
    <mergeCell ref="I979:J979"/>
    <mergeCell ref="M979:N979"/>
    <mergeCell ref="Q979:S979"/>
    <mergeCell ref="U979:V979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82:G982"/>
    <mergeCell ref="I982:J982"/>
    <mergeCell ref="Q982:S982"/>
    <mergeCell ref="U982:V982"/>
    <mergeCell ref="I983:J983"/>
    <mergeCell ref="U983:V983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I986:J986"/>
    <mergeCell ref="U986:V986"/>
    <mergeCell ref="A987:F987"/>
    <mergeCell ref="H987:J987"/>
    <mergeCell ref="M987:R987"/>
    <mergeCell ref="T987:V987"/>
    <mergeCell ref="A989:F989"/>
    <mergeCell ref="M989:R989"/>
    <mergeCell ref="A990:F990"/>
    <mergeCell ref="H990:J990"/>
    <mergeCell ref="M990:R990"/>
    <mergeCell ref="T990:V990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5:F995"/>
    <mergeCell ref="H995:J995"/>
    <mergeCell ref="M995:R995"/>
    <mergeCell ref="T995:V995"/>
    <mergeCell ref="I997:K997"/>
    <mergeCell ref="U997:W997"/>
    <mergeCell ref="B998:E998"/>
    <mergeCell ref="N998:Q998"/>
    <mergeCell ref="I999:K999"/>
    <mergeCell ref="U999:W999"/>
    <mergeCell ref="A1001:K1001"/>
    <mergeCell ref="M1001:W1001"/>
    <mergeCell ref="A1003:K1003"/>
    <mergeCell ref="M1003:W1003"/>
    <mergeCell ref="A1004:D1004"/>
    <mergeCell ref="F1004:K1004"/>
    <mergeCell ref="M1004:P1004"/>
    <mergeCell ref="R1004:W1004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7:K1007"/>
    <mergeCell ref="M1007:W1007"/>
    <mergeCell ref="A1008:D1008"/>
    <mergeCell ref="F1008:I1008"/>
    <mergeCell ref="M1008:P1008"/>
    <mergeCell ref="R1008:U1008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9:G1019"/>
    <mergeCell ref="I1019:J1019"/>
    <mergeCell ref="Q1019:S1019"/>
    <mergeCell ref="U1019:V1019"/>
    <mergeCell ref="I1020:J1020"/>
    <mergeCell ref="U1020:V1020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I1023:J1023"/>
    <mergeCell ref="U1023:V1023"/>
    <mergeCell ref="A1024:F1024"/>
    <mergeCell ref="H1024:J1024"/>
    <mergeCell ref="M1024:R1024"/>
    <mergeCell ref="T1024:V1024"/>
    <mergeCell ref="A1026:F1026"/>
    <mergeCell ref="M1026:R1026"/>
    <mergeCell ref="A1027:F1027"/>
    <mergeCell ref="H1027:J1027"/>
    <mergeCell ref="M1027:R1027"/>
    <mergeCell ref="T1027:V1027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32:F1032"/>
    <mergeCell ref="H1032:J1032"/>
    <mergeCell ref="M1032:R1032"/>
    <mergeCell ref="T1032:V1032"/>
    <mergeCell ref="I1034:K1034"/>
    <mergeCell ref="U1034:W1034"/>
    <mergeCell ref="B1035:E1035"/>
    <mergeCell ref="N1035:Q1035"/>
    <mergeCell ref="I1036:K1036"/>
    <mergeCell ref="U1036:W1036"/>
    <mergeCell ref="A1038:K1038"/>
    <mergeCell ref="M1038:W1038"/>
    <mergeCell ref="A1040:K1040"/>
    <mergeCell ref="M1040:W1040"/>
    <mergeCell ref="A1041:D1041"/>
    <mergeCell ref="F1041:K1041"/>
    <mergeCell ref="M1041:P1041"/>
    <mergeCell ref="R1041:W1041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A1044:K1044"/>
    <mergeCell ref="M1044:W1044"/>
    <mergeCell ref="A1045:D1045"/>
    <mergeCell ref="F1045:I1045"/>
    <mergeCell ref="M1045:P1045"/>
    <mergeCell ref="R1045:U1045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E1056:G1056"/>
    <mergeCell ref="I1056:J1056"/>
    <mergeCell ref="Q1056:S1056"/>
    <mergeCell ref="U1056:V1056"/>
    <mergeCell ref="I1057:J1057"/>
    <mergeCell ref="U1057:V1057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I1060:J1060"/>
    <mergeCell ref="U1060:V1060"/>
    <mergeCell ref="A1061:F1061"/>
    <mergeCell ref="H1061:J1061"/>
    <mergeCell ref="M1061:R1061"/>
    <mergeCell ref="T1061:V1061"/>
    <mergeCell ref="A1063:F1063"/>
    <mergeCell ref="M1063:R1063"/>
    <mergeCell ref="A1064:F1064"/>
    <mergeCell ref="H1064:J1064"/>
    <mergeCell ref="M1064:R1064"/>
    <mergeCell ref="T1064:V1064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69:F1069"/>
    <mergeCell ref="H1069:J1069"/>
    <mergeCell ref="M1069:R1069"/>
    <mergeCell ref="T1069:V1069"/>
    <mergeCell ref="I1071:K1071"/>
    <mergeCell ref="U1071:W1071"/>
    <mergeCell ref="B1072:E1072"/>
    <mergeCell ref="N1072:Q1072"/>
    <mergeCell ref="I1073:K1073"/>
    <mergeCell ref="U1073:W1073"/>
    <mergeCell ref="A1075:K1075"/>
    <mergeCell ref="M1075:W1075"/>
    <mergeCell ref="A1077:K1077"/>
    <mergeCell ref="M1077:W1077"/>
    <mergeCell ref="A1078:D1078"/>
    <mergeCell ref="F1078:K1078"/>
    <mergeCell ref="M1078:P1078"/>
    <mergeCell ref="R1078:W1078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81:K1081"/>
    <mergeCell ref="M1081:W1081"/>
    <mergeCell ref="A1082:D1082"/>
    <mergeCell ref="F1082:I1082"/>
    <mergeCell ref="M1082:P1082"/>
    <mergeCell ref="R1082:U1082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9:G1089"/>
    <mergeCell ref="I1089:J1089"/>
    <mergeCell ref="Q1089:S1089"/>
    <mergeCell ref="U1089:V1089"/>
    <mergeCell ref="A1090:B1090"/>
    <mergeCell ref="E1090:G1090"/>
    <mergeCell ref="I1090:J1090"/>
    <mergeCell ref="M1090:N1090"/>
    <mergeCell ref="Q1090:S1090"/>
    <mergeCell ref="U1090:V1090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93:G1093"/>
    <mergeCell ref="I1093:J1093"/>
    <mergeCell ref="Q1093:S1093"/>
    <mergeCell ref="U1093:V1093"/>
    <mergeCell ref="I1094:J1094"/>
    <mergeCell ref="U1094:V1094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I1097:J1097"/>
    <mergeCell ref="U1097:V1097"/>
    <mergeCell ref="A1098:F1098"/>
    <mergeCell ref="H1098:J1098"/>
    <mergeCell ref="M1098:R1098"/>
    <mergeCell ref="T1098:V1098"/>
    <mergeCell ref="A1100:F1100"/>
    <mergeCell ref="M1100:R1100"/>
    <mergeCell ref="A1101:F1101"/>
    <mergeCell ref="H1101:J1101"/>
    <mergeCell ref="M1101:R1101"/>
    <mergeCell ref="T1101:V1101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6:F1106"/>
    <mergeCell ref="H1106:J1106"/>
    <mergeCell ref="M1106:R1106"/>
    <mergeCell ref="T1106:V1106"/>
    <mergeCell ref="I1108:K1108"/>
    <mergeCell ref="U1108:W1108"/>
    <mergeCell ref="B1109:E1109"/>
    <mergeCell ref="N1109:Q1109"/>
    <mergeCell ref="I1110:K1110"/>
    <mergeCell ref="U1110:W1110"/>
    <mergeCell ref="A1112:K1112"/>
    <mergeCell ref="M1112:W1112"/>
    <mergeCell ref="A1114:K1114"/>
    <mergeCell ref="M1114:W1114"/>
    <mergeCell ref="A1115:D1115"/>
    <mergeCell ref="F1115:K1115"/>
    <mergeCell ref="M1115:P1115"/>
    <mergeCell ref="R1115:W1115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8:K1118"/>
    <mergeCell ref="M1118:W1118"/>
    <mergeCell ref="A1119:D1119"/>
    <mergeCell ref="F1119:I1119"/>
    <mergeCell ref="M1119:P1119"/>
    <mergeCell ref="R1119:U1119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30:G1130"/>
    <mergeCell ref="I1130:J1130"/>
    <mergeCell ref="Q1130:S1130"/>
    <mergeCell ref="U1130:V1130"/>
    <mergeCell ref="I1131:J1131"/>
    <mergeCell ref="U1131:V1131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I1134:J1134"/>
    <mergeCell ref="U1134:V1134"/>
    <mergeCell ref="A1135:F1135"/>
    <mergeCell ref="H1135:J1135"/>
    <mergeCell ref="M1135:R1135"/>
    <mergeCell ref="T1135:V1135"/>
    <mergeCell ref="A1137:F1137"/>
    <mergeCell ref="M1137:R1137"/>
    <mergeCell ref="A1138:F1138"/>
    <mergeCell ref="H1138:J1138"/>
    <mergeCell ref="M1138:R1138"/>
    <mergeCell ref="T1138:V1138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43:F1143"/>
    <mergeCell ref="H1143:J1143"/>
    <mergeCell ref="M1143:R1143"/>
    <mergeCell ref="T1143:V1143"/>
    <mergeCell ref="I1145:K1145"/>
    <mergeCell ref="U1145:W1145"/>
    <mergeCell ref="B1146:E1146"/>
    <mergeCell ref="N1146:Q1146"/>
    <mergeCell ref="I1147:K1147"/>
    <mergeCell ref="U1147:W1147"/>
    <mergeCell ref="A1149:K1149"/>
    <mergeCell ref="M1149:W1149"/>
    <mergeCell ref="A1151:K1151"/>
    <mergeCell ref="M1151:W1151"/>
    <mergeCell ref="A1152:D1152"/>
    <mergeCell ref="F1152:K1152"/>
    <mergeCell ref="M1152:P1152"/>
    <mergeCell ref="R1152:W1152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A1155:K1155"/>
    <mergeCell ref="M1155:W1155"/>
    <mergeCell ref="A1156:D1156"/>
    <mergeCell ref="F1156:I1156"/>
    <mergeCell ref="M1156:P1156"/>
    <mergeCell ref="R1156:U1156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E1167:G1167"/>
    <mergeCell ref="I1167:J1167"/>
    <mergeCell ref="Q1167:S1167"/>
    <mergeCell ref="U1167:V1167"/>
    <mergeCell ref="I1168:J1168"/>
    <mergeCell ref="U1168:V1168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I1171:J1171"/>
    <mergeCell ref="U1171:V1171"/>
    <mergeCell ref="A1172:F1172"/>
    <mergeCell ref="H1172:J1172"/>
    <mergeCell ref="M1172:R1172"/>
    <mergeCell ref="T1172:V1172"/>
    <mergeCell ref="A1174:F1174"/>
    <mergeCell ref="M1174:R1174"/>
    <mergeCell ref="A1175:F1175"/>
    <mergeCell ref="H1175:J1175"/>
    <mergeCell ref="M1175:R1175"/>
    <mergeCell ref="T1175:V1175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</mergeCells>
  <pageMargins left="0.28000000000000003" right="0.2" top="0.23999999999999996" bottom="0.75" header="0.3" footer="0.3"/>
  <pageSetup paperSize="9" scale="55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Bang TH nop</vt:lpstr>
      <vt:lpstr>LƯƠNG Tx</vt:lpstr>
      <vt:lpstr>Phieu lương</vt:lpstr>
      <vt:lpstr>'LƯƠNG Tx'!Print_Titles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Bảo Bảo</cp:lastModifiedBy>
  <cp:lastPrinted>2023-06-15T03:26:13Z</cp:lastPrinted>
  <dcterms:created xsi:type="dcterms:W3CDTF">2022-08-26T07:03:38Z</dcterms:created>
  <dcterms:modified xsi:type="dcterms:W3CDTF">2026-05-26T15:25:19Z</dcterms:modified>
</cp:coreProperties>
</file>