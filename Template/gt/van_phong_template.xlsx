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C6071DCD-D7F7-4D1E-8279-4116429B9567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ang TH nop" sheetId="2" r:id="rId1"/>
    <sheet name="LƯƠNG Tx" sheetId="3" r:id="rId2"/>
    <sheet name="Phieu lương" sheetId="4" r:id="rId3"/>
  </sheets>
  <externalReferences>
    <externalReference r:id="rId4"/>
    <externalReference r:id="rId5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" i="2" l="1"/>
  <c r="R13" i="2"/>
  <c r="R15" i="2"/>
  <c r="R17" i="2"/>
  <c r="R19" i="2"/>
  <c r="R21" i="2"/>
  <c r="R23" i="2"/>
  <c r="R25" i="2"/>
  <c r="R27" i="2"/>
  <c r="R29" i="2"/>
  <c r="R31" i="2"/>
  <c r="R33" i="2"/>
  <c r="R35" i="2"/>
  <c r="R37" i="2"/>
  <c r="R39" i="2"/>
  <c r="R41" i="2"/>
  <c r="R43" i="2"/>
  <c r="R45" i="2"/>
  <c r="R47" i="2"/>
  <c r="R49" i="2"/>
  <c r="R51" i="2"/>
  <c r="R53" i="2"/>
  <c r="R9" i="2"/>
  <c r="G11" i="2"/>
  <c r="G13" i="2"/>
  <c r="G15" i="2"/>
  <c r="G17" i="2"/>
  <c r="G19" i="2"/>
  <c r="G21" i="2"/>
  <c r="G23" i="2"/>
  <c r="G25" i="2"/>
  <c r="G27" i="2"/>
  <c r="G29" i="2"/>
  <c r="G31" i="2"/>
  <c r="G33" i="2"/>
  <c r="G35" i="2"/>
  <c r="G37" i="2"/>
  <c r="G39" i="2"/>
  <c r="G41" i="2"/>
  <c r="G43" i="2"/>
  <c r="G45" i="2"/>
  <c r="G47" i="2"/>
  <c r="G49" i="2"/>
  <c r="G51" i="2"/>
  <c r="G53" i="2"/>
  <c r="G9" i="2"/>
  <c r="F11" i="2"/>
  <c r="F13" i="2"/>
  <c r="F15" i="2"/>
  <c r="F17" i="2"/>
  <c r="F19" i="2"/>
  <c r="F21" i="2"/>
  <c r="F23" i="2"/>
  <c r="F25" i="2"/>
  <c r="F27" i="2"/>
  <c r="F29" i="2"/>
  <c r="F31" i="2"/>
  <c r="F33" i="2"/>
  <c r="F35" i="2"/>
  <c r="F37" i="2"/>
  <c r="F39" i="2"/>
  <c r="F41" i="2"/>
  <c r="F43" i="2"/>
  <c r="F45" i="2"/>
  <c r="F47" i="2"/>
  <c r="F49" i="2"/>
  <c r="F51" i="2"/>
  <c r="F53" i="2"/>
  <c r="F9" i="2"/>
  <c r="P13" i="3" l="1"/>
  <c r="P15" i="3"/>
  <c r="P17" i="3"/>
  <c r="P19" i="3"/>
  <c r="P21" i="3"/>
  <c r="P11" i="3"/>
  <c r="B12" i="3" l="1"/>
  <c r="C12" i="3"/>
  <c r="B14" i="3"/>
  <c r="C14" i="3"/>
  <c r="B16" i="3"/>
  <c r="C16" i="3"/>
  <c r="B18" i="3"/>
  <c r="C18" i="3"/>
  <c r="B20" i="3"/>
  <c r="C20" i="3"/>
  <c r="AD21" i="3" l="1"/>
  <c r="Y21" i="3"/>
  <c r="R21" i="3"/>
  <c r="O21" i="3"/>
  <c r="F21" i="3"/>
  <c r="D21" i="3"/>
  <c r="AB21" i="3" s="1"/>
  <c r="Y20" i="3"/>
  <c r="N20" i="3"/>
  <c r="M20" i="3"/>
  <c r="L20" i="3"/>
  <c r="K20" i="3"/>
  <c r="J20" i="3"/>
  <c r="I20" i="3"/>
  <c r="D20" i="3"/>
  <c r="H21" i="3" l="1"/>
  <c r="AG21" i="3"/>
  <c r="AA21" i="3"/>
  <c r="J21" i="3"/>
  <c r="K21" i="3"/>
  <c r="M21" i="3"/>
  <c r="L21" i="3"/>
  <c r="G21" i="3"/>
  <c r="I21" i="3"/>
  <c r="N21" i="3"/>
  <c r="W21" i="3" l="1"/>
  <c r="V21" i="3"/>
  <c r="Z21" i="3" s="1"/>
  <c r="AJ21" i="3" l="1"/>
  <c r="AH21" i="3" s="1"/>
  <c r="AI21" i="3" s="1"/>
  <c r="AC21" i="3"/>
  <c r="AD13" i="3" l="1"/>
  <c r="AD15" i="3"/>
  <c r="AD17" i="3"/>
  <c r="AD19" i="3"/>
  <c r="AD11" i="3"/>
  <c r="AD129" i="3" s="1"/>
  <c r="T128" i="3" l="1"/>
  <c r="Y128" i="3"/>
  <c r="AD128" i="3"/>
  <c r="G127" i="3"/>
  <c r="H127" i="3"/>
  <c r="O127" i="3"/>
  <c r="P127" i="3"/>
  <c r="Q127" i="3"/>
  <c r="R127" i="3"/>
  <c r="S127" i="3"/>
  <c r="T127" i="3"/>
  <c r="V127" i="3"/>
  <c r="W127" i="3"/>
  <c r="X127" i="3"/>
  <c r="Y127" i="3"/>
  <c r="Z127" i="3"/>
  <c r="AA127" i="3"/>
  <c r="AB127" i="3"/>
  <c r="AC127" i="3"/>
  <c r="AD127" i="3"/>
  <c r="F127" i="3"/>
  <c r="Y19" i="3"/>
  <c r="R19" i="3"/>
  <c r="O19" i="3"/>
  <c r="D19" i="3"/>
  <c r="AB19" i="3" s="1"/>
  <c r="Y18" i="3"/>
  <c r="N18" i="3"/>
  <c r="M18" i="3"/>
  <c r="L18" i="3"/>
  <c r="K18" i="3"/>
  <c r="J18" i="3"/>
  <c r="I18" i="3"/>
  <c r="D18" i="3"/>
  <c r="Y17" i="3"/>
  <c r="R17" i="3"/>
  <c r="O17" i="3"/>
  <c r="F17" i="3"/>
  <c r="D17" i="3"/>
  <c r="AB17" i="3" s="1"/>
  <c r="Y16" i="3"/>
  <c r="N16" i="3"/>
  <c r="M16" i="3"/>
  <c r="L16" i="3"/>
  <c r="K16" i="3"/>
  <c r="J16" i="3"/>
  <c r="I16" i="3"/>
  <c r="D16" i="3"/>
  <c r="O15" i="3"/>
  <c r="D15" i="3"/>
  <c r="AB15" i="3" s="1"/>
  <c r="Y14" i="3"/>
  <c r="N14" i="3"/>
  <c r="M14" i="3"/>
  <c r="L14" i="3"/>
  <c r="K14" i="3"/>
  <c r="J14" i="3"/>
  <c r="I14" i="3"/>
  <c r="D14" i="3"/>
  <c r="AA15" i="3" l="1"/>
  <c r="L19" i="3"/>
  <c r="K17" i="3"/>
  <c r="J17" i="3"/>
  <c r="G17" i="3"/>
  <c r="L17" i="3"/>
  <c r="H17" i="3"/>
  <c r="M17" i="3"/>
  <c r="N15" i="3"/>
  <c r="K15" i="3"/>
  <c r="N17" i="3"/>
  <c r="AA17" i="3"/>
  <c r="G15" i="3"/>
  <c r="M19" i="3"/>
  <c r="AA19" i="3"/>
  <c r="H15" i="3"/>
  <c r="N19" i="3"/>
  <c r="I17" i="3"/>
  <c r="M15" i="3"/>
  <c r="G19" i="3"/>
  <c r="L15" i="3"/>
  <c r="H19" i="3"/>
  <c r="K19" i="3"/>
  <c r="W17" i="3" l="1"/>
  <c r="AG19" i="3"/>
  <c r="AG15" i="3"/>
  <c r="AG17" i="3"/>
  <c r="V17" i="3"/>
  <c r="Y10" i="3"/>
  <c r="Y12" i="3"/>
  <c r="Z17" i="3" l="1"/>
  <c r="U127" i="3"/>
  <c r="Q128" i="3"/>
  <c r="Y9" i="2"/>
  <c r="Y11" i="2"/>
  <c r="Y13" i="2"/>
  <c r="Y15" i="3" s="1"/>
  <c r="AJ17" i="3" l="1"/>
  <c r="AH17" i="3" s="1"/>
  <c r="AI17" i="3" s="1"/>
  <c r="AC17" i="3"/>
  <c r="F15" i="3"/>
  <c r="Y13" i="3"/>
  <c r="Y11" i="3"/>
  <c r="R15" i="3"/>
  <c r="U128" i="3" l="1"/>
  <c r="P128" i="3"/>
  <c r="R128" i="3"/>
  <c r="I15" i="3"/>
  <c r="V15" i="3" s="1"/>
  <c r="J15" i="3"/>
  <c r="W15" i="3" s="1"/>
  <c r="K10" i="3"/>
  <c r="L10" i="3"/>
  <c r="M10" i="3"/>
  <c r="J10" i="3"/>
  <c r="O11" i="3"/>
  <c r="N10" i="3"/>
  <c r="K12" i="3"/>
  <c r="L12" i="3"/>
  <c r="M12" i="3"/>
  <c r="J12" i="3"/>
  <c r="O13" i="3"/>
  <c r="N12" i="3"/>
  <c r="J127" i="3" l="1"/>
  <c r="N127" i="3"/>
  <c r="O128" i="3"/>
  <c r="M127" i="3"/>
  <c r="K127" i="3"/>
  <c r="L127" i="3"/>
  <c r="Z15" i="3"/>
  <c r="F11" i="3"/>
  <c r="I10" i="3"/>
  <c r="I12" i="3"/>
  <c r="AA13" i="3" s="1"/>
  <c r="F13" i="3"/>
  <c r="R11" i="3"/>
  <c r="R13" i="3"/>
  <c r="AJ15" i="3" l="1"/>
  <c r="AH15" i="3" s="1"/>
  <c r="AI15" i="3" s="1"/>
  <c r="S128" i="3"/>
  <c r="AA11" i="3"/>
  <c r="AA128" i="3" s="1"/>
  <c r="I127" i="3"/>
  <c r="AC15" i="3"/>
  <c r="J11" i="3"/>
  <c r="I11" i="3"/>
  <c r="Z11" i="3" s="1"/>
  <c r="I13" i="3"/>
  <c r="J13" i="3"/>
  <c r="B10" i="3" l="1"/>
  <c r="C10" i="3"/>
  <c r="T1180" i="4"/>
  <c r="T1179" i="4"/>
  <c r="T1178" i="4"/>
  <c r="T1177" i="4"/>
  <c r="H1177" i="4"/>
  <c r="T1176" i="4"/>
  <c r="H1176" i="4"/>
  <c r="T1175" i="4"/>
  <c r="H1175" i="4"/>
  <c r="H1179" i="4" s="1"/>
  <c r="U1166" i="4"/>
  <c r="I1166" i="4"/>
  <c r="X1163" i="4"/>
  <c r="U1163" i="4"/>
  <c r="L1163" i="4"/>
  <c r="U1162" i="4"/>
  <c r="I1162" i="4"/>
  <c r="U1161" i="4"/>
  <c r="I1161" i="4"/>
  <c r="U1160" i="4"/>
  <c r="I1160" i="4"/>
  <c r="X1159" i="4"/>
  <c r="X1168" i="4" s="1"/>
  <c r="U1171" i="4" s="1"/>
  <c r="U1159" i="4"/>
  <c r="L1159" i="4"/>
  <c r="I1159" i="4"/>
  <c r="U1158" i="4"/>
  <c r="T1140" i="4"/>
  <c r="H1140" i="4"/>
  <c r="T1139" i="4"/>
  <c r="H1139" i="4"/>
  <c r="T1138" i="4"/>
  <c r="T1142" i="4" s="1"/>
  <c r="H1138" i="4"/>
  <c r="U1129" i="4"/>
  <c r="I1129" i="4"/>
  <c r="X1126" i="4"/>
  <c r="L1126" i="4"/>
  <c r="I1126" i="4"/>
  <c r="U1125" i="4"/>
  <c r="I1125" i="4"/>
  <c r="U1124" i="4"/>
  <c r="I1124" i="4"/>
  <c r="U1123" i="4"/>
  <c r="I1123" i="4"/>
  <c r="X1122" i="4"/>
  <c r="U1122" i="4"/>
  <c r="U1126" i="4" s="1"/>
  <c r="X1131" i="4" s="1"/>
  <c r="U1134" i="4" s="1"/>
  <c r="L1122" i="4"/>
  <c r="I1122" i="4"/>
  <c r="U1121" i="4"/>
  <c r="I1121" i="4"/>
  <c r="T1103" i="4"/>
  <c r="H1103" i="4"/>
  <c r="T1102" i="4"/>
  <c r="H1102" i="4"/>
  <c r="T1101" i="4"/>
  <c r="T1105" i="4" s="1"/>
  <c r="H1101" i="4"/>
  <c r="H1105" i="4" s="1"/>
  <c r="U1092" i="4"/>
  <c r="I1092" i="4"/>
  <c r="X1089" i="4"/>
  <c r="L1089" i="4"/>
  <c r="U1088" i="4"/>
  <c r="I1088" i="4"/>
  <c r="U1087" i="4"/>
  <c r="I1087" i="4"/>
  <c r="U1086" i="4"/>
  <c r="I1086" i="4"/>
  <c r="X1085" i="4"/>
  <c r="U1085" i="4"/>
  <c r="U1089" i="4" s="1"/>
  <c r="X1094" i="4" s="1"/>
  <c r="U1097" i="4" s="1"/>
  <c r="L1085" i="4"/>
  <c r="I1085" i="4"/>
  <c r="I1089" i="4" s="1"/>
  <c r="T1066" i="4"/>
  <c r="H1066" i="4"/>
  <c r="T1065" i="4"/>
  <c r="H1065" i="4"/>
  <c r="T1064" i="4"/>
  <c r="H1064" i="4"/>
  <c r="U1055" i="4"/>
  <c r="I1055" i="4"/>
  <c r="X1052" i="4"/>
  <c r="U1052" i="4"/>
  <c r="L1052" i="4"/>
  <c r="U1051" i="4"/>
  <c r="I1051" i="4"/>
  <c r="U1050" i="4"/>
  <c r="I1050" i="4"/>
  <c r="U1049" i="4"/>
  <c r="I1049" i="4"/>
  <c r="X1048" i="4"/>
  <c r="U1048" i="4"/>
  <c r="L1048" i="4"/>
  <c r="I1048" i="4"/>
  <c r="I1052" i="4" s="1"/>
  <c r="U1047" i="4"/>
  <c r="T1029" i="4"/>
  <c r="H1029" i="4"/>
  <c r="T1028" i="4"/>
  <c r="H1028" i="4"/>
  <c r="T1027" i="4"/>
  <c r="H1027" i="4"/>
  <c r="U1018" i="4"/>
  <c r="I1018" i="4"/>
  <c r="X1015" i="4"/>
  <c r="L1015" i="4"/>
  <c r="I1015" i="4"/>
  <c r="U1014" i="4"/>
  <c r="I1014" i="4"/>
  <c r="U1013" i="4"/>
  <c r="I1013" i="4"/>
  <c r="U1012" i="4"/>
  <c r="I1012" i="4"/>
  <c r="X1011" i="4"/>
  <c r="U1011" i="4"/>
  <c r="U1015" i="4" s="1"/>
  <c r="L1011" i="4"/>
  <c r="I1011" i="4"/>
  <c r="I1010" i="4"/>
  <c r="T992" i="4"/>
  <c r="H992" i="4"/>
  <c r="T991" i="4"/>
  <c r="H991" i="4"/>
  <c r="T990" i="4"/>
  <c r="H990" i="4"/>
  <c r="U981" i="4"/>
  <c r="I981" i="4"/>
  <c r="X978" i="4"/>
  <c r="L978" i="4"/>
  <c r="U977" i="4"/>
  <c r="I977" i="4"/>
  <c r="U976" i="4"/>
  <c r="I976" i="4"/>
  <c r="U975" i="4"/>
  <c r="I975" i="4"/>
  <c r="X974" i="4"/>
  <c r="U974" i="4"/>
  <c r="U973" i="4" s="1"/>
  <c r="L974" i="4"/>
  <c r="I974" i="4"/>
  <c r="I978" i="4" s="1"/>
  <c r="T955" i="4"/>
  <c r="H955" i="4"/>
  <c r="T954" i="4"/>
  <c r="H954" i="4"/>
  <c r="T953" i="4"/>
  <c r="T957" i="4" s="1"/>
  <c r="H953" i="4"/>
  <c r="H957" i="4" s="1"/>
  <c r="U944" i="4"/>
  <c r="I944" i="4"/>
  <c r="X941" i="4"/>
  <c r="L941" i="4"/>
  <c r="U940" i="4"/>
  <c r="I940" i="4"/>
  <c r="U939" i="4"/>
  <c r="I939" i="4"/>
  <c r="U938" i="4"/>
  <c r="I938" i="4"/>
  <c r="X937" i="4"/>
  <c r="U937" i="4"/>
  <c r="U941" i="4" s="1"/>
  <c r="L937" i="4"/>
  <c r="I937" i="4"/>
  <c r="T918" i="4"/>
  <c r="H918" i="4"/>
  <c r="T917" i="4"/>
  <c r="H917" i="4"/>
  <c r="T916" i="4"/>
  <c r="H916" i="4"/>
  <c r="H920" i="4" s="1"/>
  <c r="U907" i="4"/>
  <c r="I907" i="4"/>
  <c r="X904" i="4"/>
  <c r="L904" i="4"/>
  <c r="I904" i="4"/>
  <c r="U903" i="4"/>
  <c r="I903" i="4"/>
  <c r="U902" i="4"/>
  <c r="I902" i="4"/>
  <c r="U901" i="4"/>
  <c r="I901" i="4"/>
  <c r="X900" i="4"/>
  <c r="U900" i="4"/>
  <c r="U904" i="4" s="1"/>
  <c r="X909" i="4" s="1"/>
  <c r="U912" i="4" s="1"/>
  <c r="L900" i="4"/>
  <c r="I900" i="4"/>
  <c r="U899" i="4"/>
  <c r="I899" i="4"/>
  <c r="T881" i="4"/>
  <c r="T880" i="4"/>
  <c r="T879" i="4"/>
  <c r="T883" i="4" s="1"/>
  <c r="I874" i="4"/>
  <c r="U870" i="4"/>
  <c r="C870" i="4"/>
  <c r="I870" i="4" s="1"/>
  <c r="X867" i="4"/>
  <c r="C867" i="4"/>
  <c r="L867" i="4" s="1"/>
  <c r="U866" i="4"/>
  <c r="C866" i="4"/>
  <c r="I866" i="4" s="1"/>
  <c r="U865" i="4"/>
  <c r="C865" i="4"/>
  <c r="I865" i="4" s="1"/>
  <c r="U864" i="4"/>
  <c r="C864" i="4"/>
  <c r="I864" i="4" s="1"/>
  <c r="X863" i="4"/>
  <c r="U863" i="4"/>
  <c r="U862" i="4" s="1"/>
  <c r="C863" i="4"/>
  <c r="I861" i="4"/>
  <c r="F857" i="4"/>
  <c r="F856" i="4"/>
  <c r="U837" i="4"/>
  <c r="I837" i="4"/>
  <c r="O833" i="4"/>
  <c r="U833" i="4" s="1"/>
  <c r="C833" i="4"/>
  <c r="I833" i="4" s="1"/>
  <c r="O830" i="4"/>
  <c r="X830" i="4" s="1"/>
  <c r="C830" i="4"/>
  <c r="L830" i="4" s="1"/>
  <c r="O829" i="4"/>
  <c r="U829" i="4" s="1"/>
  <c r="C829" i="4"/>
  <c r="I829" i="4" s="1"/>
  <c r="O828" i="4"/>
  <c r="C828" i="4"/>
  <c r="I828" i="4" s="1"/>
  <c r="O827" i="4"/>
  <c r="U827" i="4" s="1"/>
  <c r="C827" i="4"/>
  <c r="U825" i="4"/>
  <c r="I825" i="4"/>
  <c r="U824" i="4"/>
  <c r="I824" i="4"/>
  <c r="R820" i="4"/>
  <c r="F820" i="4"/>
  <c r="R819" i="4"/>
  <c r="F819" i="4"/>
  <c r="U800" i="4"/>
  <c r="I800" i="4"/>
  <c r="O796" i="4"/>
  <c r="U796" i="4" s="1"/>
  <c r="C796" i="4"/>
  <c r="I796" i="4" s="1"/>
  <c r="O793" i="4"/>
  <c r="X793" i="4" s="1"/>
  <c r="I793" i="4"/>
  <c r="C793" i="4"/>
  <c r="L793" i="4" s="1"/>
  <c r="O792" i="4"/>
  <c r="U792" i="4" s="1"/>
  <c r="C792" i="4"/>
  <c r="I792" i="4" s="1"/>
  <c r="O791" i="4"/>
  <c r="U791" i="4" s="1"/>
  <c r="C791" i="4"/>
  <c r="I791" i="4" s="1"/>
  <c r="O790" i="4"/>
  <c r="U790" i="4" s="1"/>
  <c r="C790" i="4"/>
  <c r="I790" i="4" s="1"/>
  <c r="O789" i="4"/>
  <c r="I789" i="4"/>
  <c r="C789" i="4"/>
  <c r="U787" i="4"/>
  <c r="I787" i="4"/>
  <c r="R783" i="4"/>
  <c r="F783" i="4"/>
  <c r="R782" i="4"/>
  <c r="F782" i="4"/>
  <c r="U763" i="4"/>
  <c r="I763" i="4"/>
  <c r="O759" i="4"/>
  <c r="U759" i="4" s="1"/>
  <c r="C759" i="4"/>
  <c r="I759" i="4" s="1"/>
  <c r="U756" i="4"/>
  <c r="O756" i="4"/>
  <c r="X756" i="4" s="1"/>
  <c r="I756" i="4"/>
  <c r="C756" i="4"/>
  <c r="L756" i="4" s="1"/>
  <c r="O755" i="4"/>
  <c r="U755" i="4" s="1"/>
  <c r="C755" i="4"/>
  <c r="I755" i="4" s="1"/>
  <c r="O754" i="4"/>
  <c r="C754" i="4"/>
  <c r="I754" i="4" s="1"/>
  <c r="O753" i="4"/>
  <c r="U753" i="4" s="1"/>
  <c r="C753" i="4"/>
  <c r="I753" i="4" s="1"/>
  <c r="U752" i="4"/>
  <c r="O752" i="4"/>
  <c r="I752" i="4"/>
  <c r="C752" i="4"/>
  <c r="U750" i="4"/>
  <c r="I750" i="4"/>
  <c r="R746" i="4"/>
  <c r="F746" i="4"/>
  <c r="R745" i="4"/>
  <c r="F745" i="4"/>
  <c r="U726" i="4"/>
  <c r="I726" i="4"/>
  <c r="O722" i="4"/>
  <c r="U722" i="4" s="1"/>
  <c r="C722" i="4"/>
  <c r="I722" i="4" s="1"/>
  <c r="U719" i="4"/>
  <c r="O719" i="4"/>
  <c r="X719" i="4" s="1"/>
  <c r="I719" i="4"/>
  <c r="C719" i="4"/>
  <c r="L719" i="4" s="1"/>
  <c r="O718" i="4"/>
  <c r="U718" i="4" s="1"/>
  <c r="C718" i="4"/>
  <c r="I718" i="4" s="1"/>
  <c r="O717" i="4"/>
  <c r="U717" i="4" s="1"/>
  <c r="C717" i="4"/>
  <c r="I717" i="4" s="1"/>
  <c r="O716" i="4"/>
  <c r="U716" i="4" s="1"/>
  <c r="C716" i="4"/>
  <c r="I716" i="4" s="1"/>
  <c r="U715" i="4"/>
  <c r="O715" i="4"/>
  <c r="I715" i="4"/>
  <c r="C715" i="4"/>
  <c r="U713" i="4"/>
  <c r="I713" i="4"/>
  <c r="R709" i="4"/>
  <c r="F709" i="4"/>
  <c r="R708" i="4"/>
  <c r="F708" i="4"/>
  <c r="U689" i="4"/>
  <c r="I689" i="4"/>
  <c r="O685" i="4"/>
  <c r="U685" i="4" s="1"/>
  <c r="C685" i="4"/>
  <c r="I685" i="4" s="1"/>
  <c r="U682" i="4"/>
  <c r="O682" i="4"/>
  <c r="X682" i="4" s="1"/>
  <c r="I682" i="4"/>
  <c r="C682" i="4"/>
  <c r="L682" i="4" s="1"/>
  <c r="O681" i="4"/>
  <c r="U681" i="4" s="1"/>
  <c r="C681" i="4"/>
  <c r="I681" i="4" s="1"/>
  <c r="O680" i="4"/>
  <c r="U680" i="4" s="1"/>
  <c r="C680" i="4"/>
  <c r="I680" i="4" s="1"/>
  <c r="O679" i="4"/>
  <c r="U679" i="4" s="1"/>
  <c r="C679" i="4"/>
  <c r="I679" i="4" s="1"/>
  <c r="U678" i="4"/>
  <c r="O678" i="4"/>
  <c r="I678" i="4"/>
  <c r="C678" i="4"/>
  <c r="U676" i="4"/>
  <c r="I676" i="4"/>
  <c r="R672" i="4"/>
  <c r="F672" i="4"/>
  <c r="R671" i="4"/>
  <c r="F671" i="4"/>
  <c r="U652" i="4"/>
  <c r="I652" i="4"/>
  <c r="O648" i="4"/>
  <c r="U648" i="4" s="1"/>
  <c r="C648" i="4"/>
  <c r="I648" i="4" s="1"/>
  <c r="U645" i="4"/>
  <c r="O645" i="4"/>
  <c r="X645" i="4" s="1"/>
  <c r="I645" i="4"/>
  <c r="C645" i="4"/>
  <c r="L645" i="4" s="1"/>
  <c r="O644" i="4"/>
  <c r="U644" i="4" s="1"/>
  <c r="C644" i="4"/>
  <c r="I644" i="4" s="1"/>
  <c r="O643" i="4"/>
  <c r="U643" i="4" s="1"/>
  <c r="C643" i="4"/>
  <c r="I643" i="4" s="1"/>
  <c r="O642" i="4"/>
  <c r="U642" i="4" s="1"/>
  <c r="C642" i="4"/>
  <c r="I642" i="4" s="1"/>
  <c r="U641" i="4"/>
  <c r="O641" i="4"/>
  <c r="I641" i="4"/>
  <c r="C641" i="4"/>
  <c r="U639" i="4"/>
  <c r="I639" i="4"/>
  <c r="R635" i="4"/>
  <c r="F635" i="4"/>
  <c r="R634" i="4"/>
  <c r="F634" i="4"/>
  <c r="U615" i="4"/>
  <c r="I615" i="4"/>
  <c r="O611" i="4"/>
  <c r="U611" i="4" s="1"/>
  <c r="C611" i="4"/>
  <c r="I611" i="4" s="1"/>
  <c r="U608" i="4"/>
  <c r="O608" i="4"/>
  <c r="X608" i="4" s="1"/>
  <c r="I608" i="4"/>
  <c r="C608" i="4"/>
  <c r="L608" i="4" s="1"/>
  <c r="O607" i="4"/>
  <c r="U607" i="4" s="1"/>
  <c r="C607" i="4"/>
  <c r="I607" i="4" s="1"/>
  <c r="O606" i="4"/>
  <c r="U606" i="4" s="1"/>
  <c r="C606" i="4"/>
  <c r="I606" i="4" s="1"/>
  <c r="O605" i="4"/>
  <c r="U605" i="4" s="1"/>
  <c r="C605" i="4"/>
  <c r="I605" i="4" s="1"/>
  <c r="U604" i="4"/>
  <c r="O604" i="4"/>
  <c r="I604" i="4"/>
  <c r="C604" i="4"/>
  <c r="U602" i="4"/>
  <c r="I602" i="4"/>
  <c r="R598" i="4"/>
  <c r="F598" i="4"/>
  <c r="R597" i="4"/>
  <c r="F597" i="4"/>
  <c r="U578" i="4"/>
  <c r="I578" i="4"/>
  <c r="O574" i="4"/>
  <c r="U574" i="4" s="1"/>
  <c r="C574" i="4"/>
  <c r="I574" i="4" s="1"/>
  <c r="U571" i="4"/>
  <c r="O571" i="4"/>
  <c r="X571" i="4" s="1"/>
  <c r="I571" i="4"/>
  <c r="C571" i="4"/>
  <c r="L571" i="4" s="1"/>
  <c r="O570" i="4"/>
  <c r="U570" i="4" s="1"/>
  <c r="C570" i="4"/>
  <c r="I570" i="4" s="1"/>
  <c r="O569" i="4"/>
  <c r="U569" i="4" s="1"/>
  <c r="C569" i="4"/>
  <c r="I569" i="4" s="1"/>
  <c r="O568" i="4"/>
  <c r="U568" i="4" s="1"/>
  <c r="C568" i="4"/>
  <c r="I568" i="4" s="1"/>
  <c r="U567" i="4"/>
  <c r="O567" i="4"/>
  <c r="I567" i="4"/>
  <c r="C567" i="4"/>
  <c r="U565" i="4"/>
  <c r="I565" i="4"/>
  <c r="R561" i="4"/>
  <c r="F561" i="4"/>
  <c r="R560" i="4"/>
  <c r="F560" i="4"/>
  <c r="U541" i="4"/>
  <c r="I541" i="4"/>
  <c r="O537" i="4"/>
  <c r="U537" i="4" s="1"/>
  <c r="C537" i="4"/>
  <c r="I537" i="4" s="1"/>
  <c r="U534" i="4"/>
  <c r="O534" i="4"/>
  <c r="X534" i="4" s="1"/>
  <c r="I534" i="4"/>
  <c r="C534" i="4"/>
  <c r="L534" i="4" s="1"/>
  <c r="O533" i="4"/>
  <c r="C533" i="4"/>
  <c r="I533" i="4" s="1"/>
  <c r="O532" i="4"/>
  <c r="U532" i="4" s="1"/>
  <c r="C532" i="4"/>
  <c r="I532" i="4" s="1"/>
  <c r="O531" i="4"/>
  <c r="U531" i="4" s="1"/>
  <c r="C531" i="4"/>
  <c r="I531" i="4" s="1"/>
  <c r="U530" i="4"/>
  <c r="O530" i="4"/>
  <c r="I530" i="4"/>
  <c r="C530" i="4"/>
  <c r="U528" i="4"/>
  <c r="I528" i="4"/>
  <c r="R524" i="4"/>
  <c r="F524" i="4"/>
  <c r="R523" i="4"/>
  <c r="F523" i="4"/>
  <c r="U504" i="4"/>
  <c r="I504" i="4"/>
  <c r="O500" i="4"/>
  <c r="U500" i="4" s="1"/>
  <c r="C500" i="4"/>
  <c r="I500" i="4" s="1"/>
  <c r="U497" i="4"/>
  <c r="O497" i="4"/>
  <c r="X497" i="4" s="1"/>
  <c r="I497" i="4"/>
  <c r="C497" i="4"/>
  <c r="L497" i="4" s="1"/>
  <c r="O496" i="4"/>
  <c r="U496" i="4" s="1"/>
  <c r="C496" i="4"/>
  <c r="I496" i="4" s="1"/>
  <c r="O495" i="4"/>
  <c r="U495" i="4" s="1"/>
  <c r="C495" i="4"/>
  <c r="I495" i="4" s="1"/>
  <c r="O494" i="4"/>
  <c r="U494" i="4" s="1"/>
  <c r="C494" i="4"/>
  <c r="I494" i="4" s="1"/>
  <c r="U493" i="4"/>
  <c r="O493" i="4"/>
  <c r="I493" i="4"/>
  <c r="C493" i="4"/>
  <c r="U491" i="4"/>
  <c r="I491" i="4"/>
  <c r="R487" i="4"/>
  <c r="F487" i="4"/>
  <c r="R486" i="4"/>
  <c r="F486" i="4"/>
  <c r="U467" i="4"/>
  <c r="I467" i="4"/>
  <c r="O463" i="4"/>
  <c r="U463" i="4" s="1"/>
  <c r="C463" i="4"/>
  <c r="I463" i="4" s="1"/>
  <c r="U460" i="4"/>
  <c r="O460" i="4"/>
  <c r="X460" i="4" s="1"/>
  <c r="I460" i="4"/>
  <c r="C460" i="4"/>
  <c r="L460" i="4" s="1"/>
  <c r="O459" i="4"/>
  <c r="U459" i="4" s="1"/>
  <c r="C459" i="4"/>
  <c r="I459" i="4" s="1"/>
  <c r="O458" i="4"/>
  <c r="U458" i="4" s="1"/>
  <c r="C458" i="4"/>
  <c r="I458" i="4" s="1"/>
  <c r="O457" i="4"/>
  <c r="U457" i="4" s="1"/>
  <c r="C457" i="4"/>
  <c r="I457" i="4" s="1"/>
  <c r="U456" i="4"/>
  <c r="O456" i="4"/>
  <c r="I456" i="4"/>
  <c r="C456" i="4"/>
  <c r="U454" i="4"/>
  <c r="I454" i="4"/>
  <c r="R450" i="4"/>
  <c r="F450" i="4"/>
  <c r="R449" i="4"/>
  <c r="F449" i="4"/>
  <c r="U430" i="4"/>
  <c r="I430" i="4"/>
  <c r="O426" i="4"/>
  <c r="U426" i="4" s="1"/>
  <c r="C426" i="4"/>
  <c r="I426" i="4" s="1"/>
  <c r="U423" i="4"/>
  <c r="O423" i="4"/>
  <c r="X423" i="4" s="1"/>
  <c r="I423" i="4"/>
  <c r="C423" i="4"/>
  <c r="L423" i="4" s="1"/>
  <c r="O422" i="4"/>
  <c r="U422" i="4" s="1"/>
  <c r="C422" i="4"/>
  <c r="I422" i="4" s="1"/>
  <c r="O421" i="4"/>
  <c r="U421" i="4" s="1"/>
  <c r="C421" i="4"/>
  <c r="I421" i="4" s="1"/>
  <c r="O420" i="4"/>
  <c r="U420" i="4" s="1"/>
  <c r="C420" i="4"/>
  <c r="I420" i="4" s="1"/>
  <c r="U419" i="4"/>
  <c r="O419" i="4"/>
  <c r="I419" i="4"/>
  <c r="C419" i="4"/>
  <c r="U417" i="4"/>
  <c r="I417" i="4"/>
  <c r="R413" i="4"/>
  <c r="F413" i="4"/>
  <c r="R412" i="4"/>
  <c r="F412" i="4"/>
  <c r="U393" i="4"/>
  <c r="I393" i="4"/>
  <c r="O389" i="4"/>
  <c r="U389" i="4" s="1"/>
  <c r="C389" i="4"/>
  <c r="I389" i="4" s="1"/>
  <c r="U386" i="4"/>
  <c r="O386" i="4"/>
  <c r="X386" i="4" s="1"/>
  <c r="I386" i="4"/>
  <c r="C386" i="4"/>
  <c r="L386" i="4" s="1"/>
  <c r="O385" i="4"/>
  <c r="U385" i="4" s="1"/>
  <c r="C385" i="4"/>
  <c r="I385" i="4" s="1"/>
  <c r="O384" i="4"/>
  <c r="U384" i="4" s="1"/>
  <c r="C384" i="4"/>
  <c r="I384" i="4" s="1"/>
  <c r="O383" i="4"/>
  <c r="U383" i="4" s="1"/>
  <c r="C383" i="4"/>
  <c r="I383" i="4" s="1"/>
  <c r="U382" i="4"/>
  <c r="O382" i="4"/>
  <c r="I382" i="4"/>
  <c r="C382" i="4"/>
  <c r="U380" i="4"/>
  <c r="I380" i="4"/>
  <c r="R376" i="4"/>
  <c r="F376" i="4"/>
  <c r="R375" i="4"/>
  <c r="F375" i="4"/>
  <c r="U356" i="4"/>
  <c r="I356" i="4"/>
  <c r="O352" i="4"/>
  <c r="U352" i="4" s="1"/>
  <c r="C352" i="4"/>
  <c r="I352" i="4" s="1"/>
  <c r="U349" i="4"/>
  <c r="O349" i="4"/>
  <c r="X349" i="4" s="1"/>
  <c r="I349" i="4"/>
  <c r="C349" i="4"/>
  <c r="L349" i="4" s="1"/>
  <c r="O348" i="4"/>
  <c r="U348" i="4" s="1"/>
  <c r="C348" i="4"/>
  <c r="I348" i="4" s="1"/>
  <c r="O347" i="4"/>
  <c r="U347" i="4" s="1"/>
  <c r="C347" i="4"/>
  <c r="I347" i="4" s="1"/>
  <c r="O346" i="4"/>
  <c r="U346" i="4" s="1"/>
  <c r="C346" i="4"/>
  <c r="I346" i="4" s="1"/>
  <c r="U345" i="4"/>
  <c r="O345" i="4"/>
  <c r="I345" i="4"/>
  <c r="C345" i="4"/>
  <c r="U343" i="4"/>
  <c r="I343" i="4"/>
  <c r="R339" i="4"/>
  <c r="F339" i="4"/>
  <c r="R338" i="4"/>
  <c r="F338" i="4"/>
  <c r="U319" i="4"/>
  <c r="I319" i="4"/>
  <c r="O315" i="4"/>
  <c r="U315" i="4" s="1"/>
  <c r="C315" i="4"/>
  <c r="I315" i="4" s="1"/>
  <c r="U312" i="4"/>
  <c r="O312" i="4"/>
  <c r="X312" i="4" s="1"/>
  <c r="I312" i="4"/>
  <c r="C312" i="4"/>
  <c r="L312" i="4" s="1"/>
  <c r="O311" i="4"/>
  <c r="U311" i="4" s="1"/>
  <c r="C311" i="4"/>
  <c r="I311" i="4" s="1"/>
  <c r="O310" i="4"/>
  <c r="C310" i="4"/>
  <c r="I310" i="4" s="1"/>
  <c r="O309" i="4"/>
  <c r="U309" i="4" s="1"/>
  <c r="C309" i="4"/>
  <c r="I309" i="4" s="1"/>
  <c r="U308" i="4"/>
  <c r="O308" i="4"/>
  <c r="X308" i="4" s="1"/>
  <c r="I308" i="4"/>
  <c r="C308" i="4"/>
  <c r="U306" i="4"/>
  <c r="I306" i="4"/>
  <c r="R302" i="4"/>
  <c r="F302" i="4"/>
  <c r="R301" i="4"/>
  <c r="F301" i="4"/>
  <c r="U282" i="4"/>
  <c r="I282" i="4"/>
  <c r="O278" i="4"/>
  <c r="U278" i="4" s="1"/>
  <c r="C278" i="4"/>
  <c r="I278" i="4" s="1"/>
  <c r="U275" i="4"/>
  <c r="O275" i="4"/>
  <c r="X275" i="4" s="1"/>
  <c r="I275" i="4"/>
  <c r="C275" i="4"/>
  <c r="L275" i="4" s="1"/>
  <c r="O274" i="4"/>
  <c r="U274" i="4" s="1"/>
  <c r="C274" i="4"/>
  <c r="I274" i="4" s="1"/>
  <c r="O273" i="4"/>
  <c r="U273" i="4" s="1"/>
  <c r="C273" i="4"/>
  <c r="I273" i="4" s="1"/>
  <c r="O272" i="4"/>
  <c r="U272" i="4" s="1"/>
  <c r="C272" i="4"/>
  <c r="I272" i="4" s="1"/>
  <c r="U271" i="4"/>
  <c r="O271" i="4"/>
  <c r="I271" i="4"/>
  <c r="C271" i="4"/>
  <c r="U269" i="4"/>
  <c r="I269" i="4"/>
  <c r="R265" i="4"/>
  <c r="F265" i="4"/>
  <c r="R264" i="4"/>
  <c r="F264" i="4"/>
  <c r="U245" i="4"/>
  <c r="I245" i="4"/>
  <c r="O241" i="4"/>
  <c r="U241" i="4" s="1"/>
  <c r="C241" i="4"/>
  <c r="I241" i="4" s="1"/>
  <c r="U238" i="4"/>
  <c r="O238" i="4"/>
  <c r="X238" i="4" s="1"/>
  <c r="I238" i="4"/>
  <c r="C238" i="4"/>
  <c r="L238" i="4" s="1"/>
  <c r="O237" i="4"/>
  <c r="U237" i="4" s="1"/>
  <c r="C237" i="4"/>
  <c r="I237" i="4" s="1"/>
  <c r="O236" i="4"/>
  <c r="U236" i="4" s="1"/>
  <c r="C236" i="4"/>
  <c r="I236" i="4" s="1"/>
  <c r="O235" i="4"/>
  <c r="U235" i="4" s="1"/>
  <c r="C235" i="4"/>
  <c r="I235" i="4" s="1"/>
  <c r="U234" i="4"/>
  <c r="O234" i="4"/>
  <c r="I234" i="4"/>
  <c r="C234" i="4"/>
  <c r="U232" i="4"/>
  <c r="I232" i="4"/>
  <c r="U208" i="4"/>
  <c r="I208" i="4"/>
  <c r="O204" i="4"/>
  <c r="U204" i="4" s="1"/>
  <c r="C204" i="4"/>
  <c r="I204" i="4" s="1"/>
  <c r="U201" i="4"/>
  <c r="O201" i="4"/>
  <c r="X201" i="4" s="1"/>
  <c r="I201" i="4"/>
  <c r="C201" i="4"/>
  <c r="L201" i="4" s="1"/>
  <c r="O200" i="4"/>
  <c r="U200" i="4" s="1"/>
  <c r="C200" i="4"/>
  <c r="O199" i="4"/>
  <c r="U199" i="4" s="1"/>
  <c r="C199" i="4"/>
  <c r="I199" i="4" s="1"/>
  <c r="O198" i="4"/>
  <c r="U198" i="4" s="1"/>
  <c r="C198" i="4"/>
  <c r="I198" i="4" s="1"/>
  <c r="U197" i="4"/>
  <c r="O197" i="4"/>
  <c r="I197" i="4"/>
  <c r="C197" i="4"/>
  <c r="U195" i="4"/>
  <c r="I195" i="4"/>
  <c r="R192" i="4"/>
  <c r="F192" i="4"/>
  <c r="U171" i="4"/>
  <c r="I171" i="4"/>
  <c r="O167" i="4"/>
  <c r="C167" i="4"/>
  <c r="U164" i="4"/>
  <c r="O164" i="4"/>
  <c r="X164" i="4" s="1"/>
  <c r="I164" i="4"/>
  <c r="C164" i="4"/>
  <c r="L164" i="4" s="1"/>
  <c r="O163" i="4"/>
  <c r="U163" i="4" s="1"/>
  <c r="C163" i="4"/>
  <c r="I163" i="4" s="1"/>
  <c r="O162" i="4"/>
  <c r="U162" i="4" s="1"/>
  <c r="C162" i="4"/>
  <c r="O161" i="4"/>
  <c r="U161" i="4" s="1"/>
  <c r="C161" i="4"/>
  <c r="I161" i="4" s="1"/>
  <c r="U160" i="4"/>
  <c r="O160" i="4"/>
  <c r="I160" i="4"/>
  <c r="C160" i="4"/>
  <c r="U158" i="4"/>
  <c r="I158" i="4"/>
  <c r="R155" i="4"/>
  <c r="F155" i="4"/>
  <c r="U134" i="4"/>
  <c r="I134" i="4"/>
  <c r="O130" i="4"/>
  <c r="U130" i="4" s="1"/>
  <c r="C130" i="4"/>
  <c r="I130" i="4" s="1"/>
  <c r="U127" i="4"/>
  <c r="O127" i="4"/>
  <c r="X127" i="4" s="1"/>
  <c r="I127" i="4"/>
  <c r="C127" i="4"/>
  <c r="L127" i="4" s="1"/>
  <c r="O126" i="4"/>
  <c r="U126" i="4" s="1"/>
  <c r="C126" i="4"/>
  <c r="O125" i="4"/>
  <c r="U125" i="4" s="1"/>
  <c r="C125" i="4"/>
  <c r="I125" i="4" s="1"/>
  <c r="O124" i="4"/>
  <c r="U124" i="4" s="1"/>
  <c r="C124" i="4"/>
  <c r="I124" i="4" s="1"/>
  <c r="U123" i="4"/>
  <c r="O123" i="4"/>
  <c r="I123" i="4"/>
  <c r="C123" i="4"/>
  <c r="L123" i="4" s="1"/>
  <c r="U121" i="4"/>
  <c r="L121" i="4"/>
  <c r="I121" i="4"/>
  <c r="L119" i="4"/>
  <c r="R118" i="4"/>
  <c r="F118" i="4"/>
  <c r="F117" i="4"/>
  <c r="F116" i="4"/>
  <c r="U97" i="4"/>
  <c r="I97" i="4"/>
  <c r="O93" i="4"/>
  <c r="U93" i="4" s="1"/>
  <c r="C93" i="4"/>
  <c r="I93" i="4" s="1"/>
  <c r="U90" i="4"/>
  <c r="O90" i="4"/>
  <c r="X90" i="4" s="1"/>
  <c r="I90" i="4"/>
  <c r="C90" i="4"/>
  <c r="L90" i="4" s="1"/>
  <c r="O89" i="4"/>
  <c r="U89" i="4" s="1"/>
  <c r="C89" i="4"/>
  <c r="I89" i="4" s="1"/>
  <c r="O88" i="4"/>
  <c r="C88" i="4"/>
  <c r="I88" i="4" s="1"/>
  <c r="O87" i="4"/>
  <c r="U87" i="4" s="1"/>
  <c r="C87" i="4"/>
  <c r="I87" i="4" s="1"/>
  <c r="U86" i="4"/>
  <c r="O86" i="4"/>
  <c r="X86" i="4" s="1"/>
  <c r="I86" i="4"/>
  <c r="C86" i="4"/>
  <c r="U84" i="4"/>
  <c r="I84" i="4"/>
  <c r="R81" i="4"/>
  <c r="F81" i="4"/>
  <c r="U60" i="4"/>
  <c r="I60" i="4"/>
  <c r="O56" i="4"/>
  <c r="U56" i="4" s="1"/>
  <c r="C56" i="4"/>
  <c r="I56" i="4" s="1"/>
  <c r="U53" i="4"/>
  <c r="O53" i="4"/>
  <c r="X53" i="4" s="1"/>
  <c r="I53" i="4"/>
  <c r="C53" i="4"/>
  <c r="L53" i="4" s="1"/>
  <c r="O52" i="4"/>
  <c r="U52" i="4" s="1"/>
  <c r="C52" i="4"/>
  <c r="O51" i="4"/>
  <c r="U51" i="4" s="1"/>
  <c r="I51" i="4"/>
  <c r="C51" i="4"/>
  <c r="O50" i="4"/>
  <c r="U50" i="4" s="1"/>
  <c r="I50" i="4"/>
  <c r="C50" i="4"/>
  <c r="U49" i="4"/>
  <c r="O49" i="4"/>
  <c r="I49" i="4"/>
  <c r="C49" i="4"/>
  <c r="H67" i="4" s="1"/>
  <c r="U47" i="4"/>
  <c r="I47" i="4"/>
  <c r="R44" i="4"/>
  <c r="F44" i="4"/>
  <c r="U22" i="4"/>
  <c r="I22" i="4"/>
  <c r="O18" i="4"/>
  <c r="C18" i="4"/>
  <c r="I18" i="4" s="1"/>
  <c r="X15" i="4"/>
  <c r="U15" i="4"/>
  <c r="O15" i="4"/>
  <c r="I15" i="4"/>
  <c r="C15" i="4"/>
  <c r="L15" i="4" s="1"/>
  <c r="U14" i="4"/>
  <c r="O14" i="4"/>
  <c r="C14" i="4"/>
  <c r="I14" i="4" s="1"/>
  <c r="O13" i="4"/>
  <c r="U13" i="4" s="1"/>
  <c r="C13" i="4"/>
  <c r="I13" i="4" s="1"/>
  <c r="O12" i="4"/>
  <c r="C12" i="4"/>
  <c r="I12" i="4" s="1"/>
  <c r="U11" i="4"/>
  <c r="U10" i="4" s="1"/>
  <c r="O11" i="4"/>
  <c r="T29" i="4" s="1"/>
  <c r="I11" i="4"/>
  <c r="C11" i="4"/>
  <c r="U9" i="4"/>
  <c r="I9" i="4"/>
  <c r="R6" i="4"/>
  <c r="F6" i="4"/>
  <c r="F5" i="4"/>
  <c r="F4" i="4"/>
  <c r="P213" i="2"/>
  <c r="P211" i="2"/>
  <c r="P209" i="2"/>
  <c r="P207" i="2"/>
  <c r="P205" i="2"/>
  <c r="P203" i="2"/>
  <c r="P201" i="2"/>
  <c r="P199" i="2"/>
  <c r="P197" i="2"/>
  <c r="P195" i="2"/>
  <c r="P193" i="2"/>
  <c r="P191" i="2"/>
  <c r="P189" i="2"/>
  <c r="P187" i="2"/>
  <c r="P185" i="2"/>
  <c r="P183" i="2"/>
  <c r="P181" i="2"/>
  <c r="P179" i="2"/>
  <c r="P177" i="2"/>
  <c r="P175" i="2"/>
  <c r="P173" i="2"/>
  <c r="P171" i="2"/>
  <c r="P169" i="2"/>
  <c r="P167" i="2"/>
  <c r="P165" i="2"/>
  <c r="P163" i="2"/>
  <c r="P161" i="2"/>
  <c r="P159" i="2"/>
  <c r="P157" i="2"/>
  <c r="P155" i="2"/>
  <c r="P153" i="2"/>
  <c r="P151" i="2"/>
  <c r="P149" i="2"/>
  <c r="P147" i="2"/>
  <c r="P145" i="2"/>
  <c r="P143" i="2"/>
  <c r="P141" i="2"/>
  <c r="P139" i="2"/>
  <c r="P137" i="2"/>
  <c r="P135" i="2"/>
  <c r="P133" i="2"/>
  <c r="P131" i="2"/>
  <c r="P129" i="2"/>
  <c r="P127" i="2"/>
  <c r="P125" i="2"/>
  <c r="P123" i="2"/>
  <c r="F122" i="2"/>
  <c r="G122" i="2" s="1"/>
  <c r="P121" i="2"/>
  <c r="F121" i="2"/>
  <c r="G121" i="2" s="1"/>
  <c r="F120" i="2"/>
  <c r="G120" i="2" s="1"/>
  <c r="P119" i="2"/>
  <c r="F119" i="2"/>
  <c r="G119" i="2" s="1"/>
  <c r="P117" i="2"/>
  <c r="P115" i="2"/>
  <c r="P113" i="2"/>
  <c r="P111" i="2"/>
  <c r="P109" i="2"/>
  <c r="P107" i="2"/>
  <c r="P105" i="2"/>
  <c r="P103" i="2"/>
  <c r="P101" i="2"/>
  <c r="P99" i="2"/>
  <c r="P97" i="2"/>
  <c r="P95" i="2"/>
  <c r="P93" i="2"/>
  <c r="P91" i="2"/>
  <c r="P89" i="2"/>
  <c r="F89" i="2"/>
  <c r="G89" i="2" s="1"/>
  <c r="P87" i="2"/>
  <c r="P85" i="2"/>
  <c r="P83" i="2"/>
  <c r="D12" i="3"/>
  <c r="D10" i="3"/>
  <c r="H326" i="4" l="1"/>
  <c r="F19" i="3"/>
  <c r="I863" i="4"/>
  <c r="I867" i="4" s="1"/>
  <c r="T324" i="4"/>
  <c r="T546" i="4"/>
  <c r="U307" i="4"/>
  <c r="U381" i="4"/>
  <c r="U196" i="4"/>
  <c r="T474" i="4"/>
  <c r="X946" i="4"/>
  <c r="U949" i="4" s="1"/>
  <c r="T950" i="4" s="1"/>
  <c r="T958" i="4" s="1"/>
  <c r="H66" i="4"/>
  <c r="L1094" i="4"/>
  <c r="I1097" i="4" s="1"/>
  <c r="X11" i="4"/>
  <c r="X20" i="4" s="1"/>
  <c r="U23" i="4" s="1"/>
  <c r="I52" i="4"/>
  <c r="H62" i="4" s="1"/>
  <c r="H1142" i="4"/>
  <c r="H548" i="4"/>
  <c r="T657" i="4"/>
  <c r="T920" i="4"/>
  <c r="T27" i="4"/>
  <c r="T31" i="4" s="1"/>
  <c r="L49" i="4"/>
  <c r="L58" i="4" s="1"/>
  <c r="I61" i="4" s="1"/>
  <c r="T104" i="4"/>
  <c r="U1010" i="4"/>
  <c r="T178" i="4"/>
  <c r="H215" i="4"/>
  <c r="T361" i="4"/>
  <c r="H584" i="4"/>
  <c r="X1020" i="4"/>
  <c r="U1023" i="4" s="1"/>
  <c r="H102" i="4"/>
  <c r="T694" i="4"/>
  <c r="L1020" i="4"/>
  <c r="I1023" i="4" s="1"/>
  <c r="X1057" i="4"/>
  <c r="U1060" i="4" s="1"/>
  <c r="H1068" i="4"/>
  <c r="T1068" i="4"/>
  <c r="T398" i="4"/>
  <c r="H622" i="4"/>
  <c r="T805" i="4"/>
  <c r="U936" i="4"/>
  <c r="H1031" i="4"/>
  <c r="U85" i="4"/>
  <c r="H843" i="4"/>
  <c r="H994" i="4"/>
  <c r="H29" i="4"/>
  <c r="H176" i="4"/>
  <c r="X382" i="4"/>
  <c r="L909" i="4"/>
  <c r="I912" i="4" s="1"/>
  <c r="T994" i="4"/>
  <c r="L1131" i="4"/>
  <c r="I1134" i="4" s="1"/>
  <c r="H474" i="4"/>
  <c r="T1031" i="4"/>
  <c r="U88" i="4"/>
  <c r="I162" i="4"/>
  <c r="U533" i="4"/>
  <c r="T620" i="4"/>
  <c r="T731" i="4"/>
  <c r="U159" i="4"/>
  <c r="H214" i="4"/>
  <c r="U310" i="4"/>
  <c r="T548" i="4"/>
  <c r="T622" i="4"/>
  <c r="T768" i="4"/>
  <c r="H177" i="4"/>
  <c r="L197" i="4"/>
  <c r="L206" i="4" s="1"/>
  <c r="I209" i="4" s="1"/>
  <c r="I200" i="4"/>
  <c r="H436" i="4"/>
  <c r="H696" i="4"/>
  <c r="T103" i="4"/>
  <c r="H141" i="4"/>
  <c r="I159" i="4"/>
  <c r="T215" i="4"/>
  <c r="T326" i="4"/>
  <c r="T844" i="4"/>
  <c r="H288" i="4"/>
  <c r="T435" i="4"/>
  <c r="T696" i="4"/>
  <c r="H770" i="4"/>
  <c r="X95" i="4"/>
  <c r="U98" i="4" s="1"/>
  <c r="T102" i="4"/>
  <c r="L132" i="4"/>
  <c r="I135" i="4" s="1"/>
  <c r="H140" i="4"/>
  <c r="T176" i="4"/>
  <c r="X317" i="4"/>
  <c r="U320" i="4" s="1"/>
  <c r="T321" i="4" s="1"/>
  <c r="H510" i="4"/>
  <c r="T140" i="4"/>
  <c r="I126" i="4"/>
  <c r="X160" i="4"/>
  <c r="X169" i="4" s="1"/>
  <c r="U172" i="4" s="1"/>
  <c r="T173" i="4" s="1"/>
  <c r="T177" i="4"/>
  <c r="T287" i="4"/>
  <c r="H400" i="4"/>
  <c r="T770" i="4"/>
  <c r="T842" i="4"/>
  <c r="T843" i="4"/>
  <c r="T66" i="4"/>
  <c r="T67" i="4"/>
  <c r="H252" i="4"/>
  <c r="T509" i="4"/>
  <c r="H658" i="4"/>
  <c r="X123" i="4"/>
  <c r="X132" i="4" s="1"/>
  <c r="U135" i="4" s="1"/>
  <c r="T136" i="4" s="1"/>
  <c r="T141" i="4"/>
  <c r="T400" i="4"/>
  <c r="T583" i="4"/>
  <c r="U789" i="4"/>
  <c r="U788" i="4" s="1"/>
  <c r="X49" i="4"/>
  <c r="X58" i="4" s="1"/>
  <c r="U61" i="4" s="1"/>
  <c r="T62" i="4" s="1"/>
  <c r="H104" i="4"/>
  <c r="T252" i="4"/>
  <c r="T250" i="4"/>
  <c r="H362" i="4"/>
  <c r="H806" i="4"/>
  <c r="T472" i="4"/>
  <c r="H732" i="4"/>
  <c r="H881" i="4"/>
  <c r="D13" i="3"/>
  <c r="AB13" i="3" s="1"/>
  <c r="D11" i="3"/>
  <c r="AB11" i="3" s="1"/>
  <c r="I862" i="4"/>
  <c r="X391" i="4"/>
  <c r="U394" i="4" s="1"/>
  <c r="T395" i="4" s="1"/>
  <c r="H913" i="4"/>
  <c r="H921" i="4" s="1"/>
  <c r="H1135" i="4"/>
  <c r="H1143" i="4" s="1"/>
  <c r="T913" i="4"/>
  <c r="T921" i="4" s="1"/>
  <c r="L1057" i="4"/>
  <c r="I1060" i="4" s="1"/>
  <c r="H1024" i="4"/>
  <c r="T1061" i="4"/>
  <c r="T1069" i="4" s="1"/>
  <c r="T1172" i="4"/>
  <c r="L983" i="4"/>
  <c r="I986" i="4" s="1"/>
  <c r="H987" i="4" s="1"/>
  <c r="H995" i="4" s="1"/>
  <c r="H1098" i="4"/>
  <c r="H1106" i="4" s="1"/>
  <c r="T806" i="4"/>
  <c r="U12" i="4"/>
  <c r="T24" i="4" s="1"/>
  <c r="T32" i="4" s="1"/>
  <c r="L86" i="4"/>
  <c r="L95" i="4" s="1"/>
  <c r="I98" i="4" s="1"/>
  <c r="H99" i="4" s="1"/>
  <c r="H103" i="4"/>
  <c r="L160" i="4"/>
  <c r="L169" i="4" s="1"/>
  <c r="I172" i="4" s="1"/>
  <c r="H173" i="4" s="1"/>
  <c r="H178" i="4"/>
  <c r="H213" i="4"/>
  <c r="I233" i="4"/>
  <c r="H289" i="4"/>
  <c r="I307" i="4"/>
  <c r="H363" i="4"/>
  <c r="I381" i="4"/>
  <c r="H437" i="4"/>
  <c r="I455" i="4"/>
  <c r="H511" i="4"/>
  <c r="I529" i="4"/>
  <c r="H585" i="4"/>
  <c r="I603" i="4"/>
  <c r="H659" i="4"/>
  <c r="I677" i="4"/>
  <c r="H733" i="4"/>
  <c r="I751" i="4"/>
  <c r="H807" i="4"/>
  <c r="H844" i="4"/>
  <c r="I936" i="4"/>
  <c r="I941" i="4"/>
  <c r="L946" i="4" s="1"/>
  <c r="I949" i="4" s="1"/>
  <c r="U978" i="4"/>
  <c r="I1158" i="4"/>
  <c r="I1163" i="4"/>
  <c r="L1168" i="4" s="1"/>
  <c r="I1171" i="4" s="1"/>
  <c r="T288" i="4"/>
  <c r="T362" i="4"/>
  <c r="I10" i="4"/>
  <c r="T213" i="4"/>
  <c r="U233" i="4"/>
  <c r="X271" i="4"/>
  <c r="X280" i="4" s="1"/>
  <c r="U283" i="4" s="1"/>
  <c r="T284" i="4" s="1"/>
  <c r="T289" i="4"/>
  <c r="X345" i="4"/>
  <c r="X354" i="4" s="1"/>
  <c r="U357" i="4" s="1"/>
  <c r="T358" i="4" s="1"/>
  <c r="T363" i="4"/>
  <c r="X419" i="4"/>
  <c r="X428" i="4" s="1"/>
  <c r="U431" i="4" s="1"/>
  <c r="T432" i="4" s="1"/>
  <c r="T437" i="4"/>
  <c r="U455" i="4"/>
  <c r="X493" i="4"/>
  <c r="X502" i="4" s="1"/>
  <c r="U505" i="4" s="1"/>
  <c r="T506" i="4" s="1"/>
  <c r="T511" i="4"/>
  <c r="U529" i="4"/>
  <c r="X567" i="4"/>
  <c r="X576" i="4" s="1"/>
  <c r="U579" i="4" s="1"/>
  <c r="T580" i="4" s="1"/>
  <c r="T585" i="4"/>
  <c r="U603" i="4"/>
  <c r="X641" i="4"/>
  <c r="X650" i="4" s="1"/>
  <c r="U653" i="4" s="1"/>
  <c r="T654" i="4" s="1"/>
  <c r="T659" i="4"/>
  <c r="U677" i="4"/>
  <c r="X715" i="4"/>
  <c r="X724" i="4" s="1"/>
  <c r="U727" i="4" s="1"/>
  <c r="T728" i="4" s="1"/>
  <c r="T733" i="4"/>
  <c r="U751" i="4"/>
  <c r="X789" i="4"/>
  <c r="T807" i="4"/>
  <c r="L863" i="4"/>
  <c r="T1135" i="4"/>
  <c r="T1143" i="4" s="1"/>
  <c r="T732" i="4"/>
  <c r="H27" i="4"/>
  <c r="H31" i="4" s="1"/>
  <c r="H250" i="4"/>
  <c r="H324" i="4"/>
  <c r="H398" i="4"/>
  <c r="H472" i="4"/>
  <c r="H546" i="4"/>
  <c r="H620" i="4"/>
  <c r="H694" i="4"/>
  <c r="H768" i="4"/>
  <c r="T214" i="4"/>
  <c r="U754" i="4"/>
  <c r="I827" i="4"/>
  <c r="I830" i="4"/>
  <c r="L835" i="4" s="1"/>
  <c r="I838" i="4" s="1"/>
  <c r="T1098" i="4"/>
  <c r="T1106" i="4" s="1"/>
  <c r="H28" i="4"/>
  <c r="I48" i="4"/>
  <c r="I122" i="4"/>
  <c r="L234" i="4"/>
  <c r="L243" i="4" s="1"/>
  <c r="I246" i="4" s="1"/>
  <c r="H247" i="4" s="1"/>
  <c r="H251" i="4"/>
  <c r="L308" i="4"/>
  <c r="L317" i="4" s="1"/>
  <c r="I320" i="4" s="1"/>
  <c r="H321" i="4" s="1"/>
  <c r="H325" i="4"/>
  <c r="L382" i="4"/>
  <c r="L391" i="4" s="1"/>
  <c r="I394" i="4" s="1"/>
  <c r="H395" i="4" s="1"/>
  <c r="H399" i="4"/>
  <c r="L456" i="4"/>
  <c r="L465" i="4" s="1"/>
  <c r="I468" i="4" s="1"/>
  <c r="H469" i="4" s="1"/>
  <c r="H473" i="4"/>
  <c r="L530" i="4"/>
  <c r="L539" i="4" s="1"/>
  <c r="I542" i="4" s="1"/>
  <c r="H543" i="4" s="1"/>
  <c r="H547" i="4"/>
  <c r="L604" i="4"/>
  <c r="L613" i="4" s="1"/>
  <c r="I616" i="4" s="1"/>
  <c r="H617" i="4" s="1"/>
  <c r="H621" i="4"/>
  <c r="L678" i="4"/>
  <c r="L687" i="4" s="1"/>
  <c r="I690" i="4" s="1"/>
  <c r="H691" i="4" s="1"/>
  <c r="H695" i="4"/>
  <c r="L752" i="4"/>
  <c r="L761" i="4" s="1"/>
  <c r="I764" i="4" s="1"/>
  <c r="H765" i="4" s="1"/>
  <c r="H769" i="4"/>
  <c r="U867" i="4"/>
  <c r="H879" i="4"/>
  <c r="H1061" i="4"/>
  <c r="H1069" i="4" s="1"/>
  <c r="I1084" i="4"/>
  <c r="T584" i="4"/>
  <c r="L11" i="4"/>
  <c r="L20" i="4" s="1"/>
  <c r="I23" i="4" s="1"/>
  <c r="H24" i="4" s="1"/>
  <c r="T28" i="4"/>
  <c r="U48" i="4"/>
  <c r="U122" i="4"/>
  <c r="X197" i="4"/>
  <c r="X206" i="4" s="1"/>
  <c r="U209" i="4" s="1"/>
  <c r="T210" i="4" s="1"/>
  <c r="T251" i="4"/>
  <c r="T325" i="4"/>
  <c r="T399" i="4"/>
  <c r="T473" i="4"/>
  <c r="T547" i="4"/>
  <c r="T621" i="4"/>
  <c r="T695" i="4"/>
  <c r="T769" i="4"/>
  <c r="U1084" i="4"/>
  <c r="T436" i="4"/>
  <c r="T510" i="4"/>
  <c r="H65" i="4"/>
  <c r="H69" i="4" s="1"/>
  <c r="H139" i="4"/>
  <c r="I270" i="4"/>
  <c r="I344" i="4"/>
  <c r="I418" i="4"/>
  <c r="I492" i="4"/>
  <c r="I566" i="4"/>
  <c r="I640" i="4"/>
  <c r="I714" i="4"/>
  <c r="I788" i="4"/>
  <c r="U830" i="4"/>
  <c r="X835" i="4" s="1"/>
  <c r="U838" i="4" s="1"/>
  <c r="H880" i="4"/>
  <c r="I1047" i="4"/>
  <c r="T65" i="4"/>
  <c r="T139" i="4"/>
  <c r="X234" i="4"/>
  <c r="X243" i="4" s="1"/>
  <c r="U246" i="4" s="1"/>
  <c r="T247" i="4" s="1"/>
  <c r="U270" i="4"/>
  <c r="U344" i="4"/>
  <c r="U418" i="4"/>
  <c r="X456" i="4"/>
  <c r="X465" i="4" s="1"/>
  <c r="U468" i="4" s="1"/>
  <c r="T469" i="4" s="1"/>
  <c r="U492" i="4"/>
  <c r="X530" i="4"/>
  <c r="X539" i="4" s="1"/>
  <c r="U542" i="4" s="1"/>
  <c r="T543" i="4" s="1"/>
  <c r="U566" i="4"/>
  <c r="X604" i="4"/>
  <c r="X613" i="4" s="1"/>
  <c r="U616" i="4" s="1"/>
  <c r="T617" i="4" s="1"/>
  <c r="U640" i="4"/>
  <c r="X678" i="4"/>
  <c r="X687" i="4" s="1"/>
  <c r="U690" i="4" s="1"/>
  <c r="T691" i="4" s="1"/>
  <c r="U714" i="4"/>
  <c r="X752" i="4"/>
  <c r="X761" i="4" s="1"/>
  <c r="U764" i="4" s="1"/>
  <c r="T1024" i="4"/>
  <c r="T1032" i="4" s="1"/>
  <c r="I85" i="4"/>
  <c r="H287" i="4"/>
  <c r="H361" i="4"/>
  <c r="H435" i="4"/>
  <c r="H509" i="4"/>
  <c r="H583" i="4"/>
  <c r="H657" i="4"/>
  <c r="H731" i="4"/>
  <c r="H805" i="4"/>
  <c r="H842" i="4"/>
  <c r="T658" i="4"/>
  <c r="U828" i="4"/>
  <c r="I196" i="4"/>
  <c r="L271" i="4"/>
  <c r="L280" i="4" s="1"/>
  <c r="I283" i="4" s="1"/>
  <c r="H284" i="4" s="1"/>
  <c r="L345" i="4"/>
  <c r="L354" i="4" s="1"/>
  <c r="I357" i="4" s="1"/>
  <c r="H358" i="4" s="1"/>
  <c r="L419" i="4"/>
  <c r="L428" i="4" s="1"/>
  <c r="I431" i="4" s="1"/>
  <c r="H432" i="4" s="1"/>
  <c r="L493" i="4"/>
  <c r="L502" i="4" s="1"/>
  <c r="I505" i="4" s="1"/>
  <c r="H506" i="4" s="1"/>
  <c r="L567" i="4"/>
  <c r="L576" i="4" s="1"/>
  <c r="I579" i="4" s="1"/>
  <c r="H580" i="4" s="1"/>
  <c r="L641" i="4"/>
  <c r="L650" i="4" s="1"/>
  <c r="I653" i="4" s="1"/>
  <c r="H654" i="4" s="1"/>
  <c r="L715" i="4"/>
  <c r="L724" i="4" s="1"/>
  <c r="I727" i="4" s="1"/>
  <c r="H728" i="4" s="1"/>
  <c r="L789" i="4"/>
  <c r="L798" i="4" s="1"/>
  <c r="I801" i="4" s="1"/>
  <c r="H802" i="4" s="1"/>
  <c r="I973" i="4"/>
  <c r="H810" i="4" l="1"/>
  <c r="T765" i="4"/>
  <c r="H809" i="4"/>
  <c r="H513" i="4"/>
  <c r="H514" i="4" s="1"/>
  <c r="T624" i="4"/>
  <c r="AB128" i="3"/>
  <c r="AG11" i="3"/>
  <c r="T550" i="4"/>
  <c r="T551" i="4" s="1"/>
  <c r="T661" i="4"/>
  <c r="T402" i="4"/>
  <c r="T180" i="4"/>
  <c r="T181" i="4" s="1"/>
  <c r="H210" i="4"/>
  <c r="T809" i="4"/>
  <c r="H217" i="4"/>
  <c r="H439" i="4"/>
  <c r="H440" i="4" s="1"/>
  <c r="I19" i="3"/>
  <c r="J19" i="3"/>
  <c r="F128" i="3"/>
  <c r="T439" i="4"/>
  <c r="H291" i="4"/>
  <c r="T735" i="4"/>
  <c r="T736" i="4" s="1"/>
  <c r="H292" i="4"/>
  <c r="H661" i="4"/>
  <c r="H662" i="4" s="1"/>
  <c r="H587" i="4"/>
  <c r="H588" i="4" s="1"/>
  <c r="T698" i="4"/>
  <c r="T699" i="4" s="1"/>
  <c r="T476" i="4"/>
  <c r="T477" i="4" s="1"/>
  <c r="H106" i="4"/>
  <c r="H107" i="4" s="1"/>
  <c r="T99" i="4"/>
  <c r="H180" i="4"/>
  <c r="H181" i="4" s="1"/>
  <c r="H136" i="4"/>
  <c r="AG13" i="3"/>
  <c r="H883" i="4"/>
  <c r="T365" i="4"/>
  <c r="T366" i="4" s="1"/>
  <c r="H1032" i="4"/>
  <c r="H735" i="4"/>
  <c r="H736" i="4" s="1"/>
  <c r="H143" i="4"/>
  <c r="U793" i="4"/>
  <c r="X798" i="4" s="1"/>
  <c r="U801" i="4" s="1"/>
  <c r="T802" i="4" s="1"/>
  <c r="T810" i="4" s="1"/>
  <c r="H70" i="4"/>
  <c r="H32" i="4"/>
  <c r="T587" i="4"/>
  <c r="T588" i="4" s="1"/>
  <c r="N11" i="3"/>
  <c r="G11" i="3"/>
  <c r="H11" i="3"/>
  <c r="M11" i="3"/>
  <c r="L11" i="3"/>
  <c r="K11" i="3"/>
  <c r="M13" i="3"/>
  <c r="K13" i="3"/>
  <c r="L13" i="3"/>
  <c r="N13" i="3"/>
  <c r="G13" i="3"/>
  <c r="V13" i="3" s="1"/>
  <c r="H13" i="3"/>
  <c r="W13" i="3" s="1"/>
  <c r="H846" i="4"/>
  <c r="T143" i="4"/>
  <c r="L872" i="4"/>
  <c r="I875" i="4" s="1"/>
  <c r="H876" i="4" s="1"/>
  <c r="T69" i="4"/>
  <c r="T70" i="4" s="1"/>
  <c r="T328" i="4"/>
  <c r="T329" i="4" s="1"/>
  <c r="H772" i="4"/>
  <c r="H773" i="4" s="1"/>
  <c r="T846" i="4"/>
  <c r="T291" i="4"/>
  <c r="T292" i="4" s="1"/>
  <c r="T625" i="4"/>
  <c r="T106" i="4"/>
  <c r="T513" i="4"/>
  <c r="T514" i="4" s="1"/>
  <c r="T254" i="4"/>
  <c r="T255" i="4" s="1"/>
  <c r="H476" i="4"/>
  <c r="H477" i="4" s="1"/>
  <c r="H365" i="4"/>
  <c r="H366" i="4" s="1"/>
  <c r="T772" i="4"/>
  <c r="T773" i="4" s="1"/>
  <c r="T440" i="4"/>
  <c r="T662" i="4"/>
  <c r="T839" i="4"/>
  <c r="T217" i="4"/>
  <c r="T218" i="4" s="1"/>
  <c r="X983" i="4"/>
  <c r="U986" i="4" s="1"/>
  <c r="T987" i="4" s="1"/>
  <c r="T995" i="4" s="1"/>
  <c r="H698" i="4"/>
  <c r="H699" i="4" s="1"/>
  <c r="X872" i="4"/>
  <c r="U875" i="4" s="1"/>
  <c r="T876" i="4" s="1"/>
  <c r="T884" i="4" s="1"/>
  <c r="H624" i="4"/>
  <c r="H625" i="4" s="1"/>
  <c r="H950" i="4"/>
  <c r="H958" i="4" s="1"/>
  <c r="H550" i="4"/>
  <c r="H551" i="4" s="1"/>
  <c r="T403" i="4"/>
  <c r="H402" i="4"/>
  <c r="H403" i="4" s="1"/>
  <c r="H1172" i="4"/>
  <c r="H1180" i="4" s="1"/>
  <c r="H839" i="4"/>
  <c r="H328" i="4"/>
  <c r="H329" i="4" s="1"/>
  <c r="H254" i="4"/>
  <c r="H255" i="4" s="1"/>
  <c r="T144" i="4"/>
  <c r="H218" i="4" l="1"/>
  <c r="W19" i="3"/>
  <c r="J128" i="3"/>
  <c r="V19" i="3"/>
  <c r="Z19" i="3" s="1"/>
  <c r="I128" i="3"/>
  <c r="M128" i="3"/>
  <c r="W11" i="3"/>
  <c r="W128" i="3" s="1"/>
  <c r="H128" i="3"/>
  <c r="K128" i="3"/>
  <c r="N128" i="3"/>
  <c r="L128" i="3"/>
  <c r="V11" i="3"/>
  <c r="V128" i="3" s="1"/>
  <c r="G128" i="3"/>
  <c r="H144" i="4"/>
  <c r="T107" i="4"/>
  <c r="H847" i="4"/>
  <c r="H884" i="4"/>
  <c r="T847" i="4"/>
  <c r="Z13" i="3"/>
  <c r="AJ13" i="3" l="1"/>
  <c r="AJ19" i="3"/>
  <c r="AC19" i="3"/>
  <c r="AH19" i="3"/>
  <c r="AI19" i="3" s="1"/>
  <c r="X128" i="3" l="1"/>
  <c r="AH13" i="3"/>
  <c r="AI13" i="3" s="1"/>
  <c r="AC13" i="3"/>
  <c r="AJ11" i="3" l="1"/>
  <c r="AH11" i="3" s="1"/>
  <c r="AI11" i="3" s="1"/>
  <c r="Z128" i="3"/>
  <c r="AE128" i="3" s="1"/>
  <c r="AE129" i="3" s="1"/>
  <c r="AC11" i="3"/>
  <c r="AC128" i="3" s="1"/>
  <c r="E129" i="3" a="1"/>
  <c r="E129" i="3" l="1"/>
  <c r="AJ128" i="3"/>
  <c r="AF128" i="3" s="1"/>
  <c r="AF12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<sst xmlns="http://schemas.openxmlformats.org/spreadsheetml/2006/main" count="7180" uniqueCount="214">
  <si>
    <t>CÔNG TY TNHH SD</t>
  </si>
  <si>
    <t xml:space="preserve"> Tổ Gián tiếp</t>
  </si>
  <si>
    <t>TT</t>
  </si>
  <si>
    <t>Họ và tên</t>
  </si>
  <si>
    <t>Mã số</t>
  </si>
  <si>
    <t>Hệ số
hưởng lương</t>
  </si>
  <si>
    <t>Giây / HS</t>
  </si>
  <si>
    <t>Giây hưởng lương</t>
  </si>
  <si>
    <t xml:space="preserve">  Giây/1 công</t>
  </si>
  <si>
    <t>Ký nhận</t>
  </si>
  <si>
    <t>Ngày vào</t>
  </si>
  <si>
    <t>Mức lương</t>
  </si>
  <si>
    <t>Công</t>
  </si>
  <si>
    <t>Phép</t>
  </si>
  <si>
    <t>lễ tết</t>
  </si>
  <si>
    <t>Học, họp</t>
  </si>
  <si>
    <t>Thai 7 tháng</t>
  </si>
  <si>
    <t>Thêm giờ</t>
  </si>
  <si>
    <t>Tiền con nhỏ</t>
  </si>
  <si>
    <t>Trịnh Quốc Hiệp</t>
  </si>
  <si>
    <t>Lê Thị Hà</t>
  </si>
  <si>
    <t>Bùi Huy Ánh</t>
  </si>
  <si>
    <t>CN CÔNG TY TNHH S&amp;D TẠI THANH HOÁ</t>
  </si>
  <si>
    <t>BP: Văn phòng</t>
  </si>
  <si>
    <t>BẢNG CHI TIẾT THANH TOÁN LƯƠNG</t>
  </si>
  <si>
    <t>Stt</t>
  </si>
  <si>
    <t>Mã Số</t>
  </si>
  <si>
    <t>Ngày tiếp nhận/ Mức lương CB</t>
  </si>
  <si>
    <t>Bù lương</t>
  </si>
  <si>
    <t>Tổng cộng</t>
  </si>
  <si>
    <t>Thực lĩnh</t>
  </si>
  <si>
    <t>So sánh</t>
  </si>
  <si>
    <t>Sản phẩm  CBCV</t>
  </si>
  <si>
    <t>Xăng xe</t>
  </si>
  <si>
    <t>bï l­¬ng SP</t>
  </si>
  <si>
    <t>bï l­¬ng Thªm giê</t>
  </si>
  <si>
    <t>BHXH, BHYT, BHTN</t>
  </si>
  <si>
    <t>Tổng giây</t>
  </si>
  <si>
    <t>27=26/25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</si>
  <si>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</si>
  <si>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</si>
  <si>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</si>
  <si>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</si>
  <si>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</si>
  <si>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</si>
  <si>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</si>
  <si>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</si>
  <si>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</si>
  <si>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Nguyễn Văn Huy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</si>
  <si>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</si>
  <si>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</si>
  <si>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</si>
  <si>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</si>
  <si>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</si>
  <si>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</si>
  <si>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</si>
  <si>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</si>
  <si>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</si>
  <si>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</si>
  <si>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</si>
  <si>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</si>
  <si>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</si>
  <si>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</si>
  <si>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</si>
  <si>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</si>
  <si>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</si>
  <si>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</si>
  <si>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</si>
  <si>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</si>
  <si>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</si>
  <si>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</si>
  <si>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</si>
  <si>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</si>
  <si>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</si>
  <si>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</si>
  <si>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</si>
  <si>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</si>
  <si>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</si>
  <si>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</si>
  <si>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</si>
  <si>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</si>
  <si>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</si>
  <si>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</si>
  <si>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</si>
  <si>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</si>
  <si>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</si>
  <si>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</si>
  <si>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</si>
  <si>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</si>
  <si>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</si>
  <si>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</si>
  <si>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</si>
  <si>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</si>
  <si>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</si>
  <si>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</si>
  <si>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</si>
  <si>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Phạm Văn Định</t>
  </si>
  <si>
    <t>Đặng Văn Tá</t>
  </si>
  <si>
    <t>Lương giờ ca ba</t>
  </si>
  <si>
    <t>STT : 05</t>
  </si>
  <si>
    <t>STT : 06</t>
  </si>
  <si>
    <t>Nguyễn Thị Hạnh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</si>
  <si>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</si>
  <si>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</si>
  <si>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</si>
  <si>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</si>
  <si>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</si>
  <si>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</si>
  <si>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</si>
  <si>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</si>
  <si>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</si>
  <si>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</si>
  <si>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</si>
  <si>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</si>
  <si>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</si>
  <si>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</si>
  <si>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</si>
  <si>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</si>
  <si>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Hoàng Minh Công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</si>
  <si>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</si>
  <si>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</si>
  <si>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</si>
  <si>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</si>
  <si>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</si>
  <si>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</si>
  <si>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</si>
  <si>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</si>
  <si>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</si>
  <si>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</si>
  <si>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</si>
  <si>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</si>
  <si>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</si>
  <si>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</si>
  <si>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</si>
  <si>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</si>
  <si>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</si>
  <si>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</si>
  <si>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</si>
  <si>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</si>
  <si>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</si>
  <si>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</si>
  <si>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</si>
  <si>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</si>
  <si>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</si>
  <si>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</si>
  <si>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</si>
  <si>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</si>
  <si>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</si>
  <si>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</si>
  <si>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</si>
  <si>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</si>
  <si>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</si>
  <si>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</si>
  <si>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</si>
  <si>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</si>
  <si>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</si>
  <si>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</si>
  <si>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</si>
  <si>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</si>
  <si>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</si>
  <si>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</si>
  <si>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</si>
  <si>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</si>
  <si>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</si>
  <si>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</si>
  <si>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</si>
  <si>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</si>
  <si>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</si>
  <si>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</si>
  <si>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</si>
  <si>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</si>
  <si>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</si>
  <si>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Khuyến công</t>
  </si>
  <si>
    <t>Bằng chữ:</t>
  </si>
  <si>
    <t>Tổng lương thực tế</t>
  </si>
  <si>
    <t>Phân loại</t>
  </si>
  <si>
    <t>A</t>
  </si>
  <si>
    <t>Vắt sữa</t>
  </si>
  <si>
    <t>PC ATV</t>
  </si>
  <si>
    <t>CN</t>
  </si>
  <si>
    <t>28=30/24</t>
  </si>
  <si>
    <t>29=28/27</t>
  </si>
  <si>
    <t>Hỗ trợ Hà Trung</t>
  </si>
  <si>
    <t>Chăm hoa</t>
  </si>
  <si>
    <t>HT</t>
  </si>
  <si>
    <t>Trừ phân loại lđ</t>
  </si>
  <si>
    <t>B</t>
  </si>
  <si>
    <t>C</t>
  </si>
  <si>
    <t xml:space="preserve">Lễ tết </t>
  </si>
  <si>
    <t>Trừ PLLĐ</t>
  </si>
  <si>
    <t>Ăn ca</t>
  </si>
  <si>
    <t>30=20-8-9</t>
  </si>
  <si>
    <t>Gửi hàng</t>
  </si>
  <si>
    <t>Lê Thị Linh</t>
  </si>
  <si>
    <t>PC</t>
  </si>
  <si>
    <t>Khấu trừ</t>
  </si>
  <si>
    <t>CĐ</t>
  </si>
  <si>
    <t>Lê Văn Bắc</t>
  </si>
  <si>
    <t>Mang thai</t>
  </si>
  <si>
    <t>Con nhỏ + Vắt sữa</t>
  </si>
  <si>
    <t>Chuyên cần</t>
  </si>
  <si>
    <t>Đi lại</t>
  </si>
  <si>
    <t>Nuôi con nhỏ+ATV</t>
  </si>
  <si>
    <t>Các khoản tiền lương</t>
  </si>
  <si>
    <t>Các khoản hỗ trợ</t>
  </si>
  <si>
    <t>Thâm niên</t>
  </si>
  <si>
    <t>Thưởng theo KQKD</t>
  </si>
  <si>
    <t>BẢNG HẾ SỐ HƯỞNG LƯƠNG THÁNG 10/2025</t>
  </si>
  <si>
    <t>BQT03</t>
  </si>
  <si>
    <t>Tháng 04 năm 2026</t>
  </si>
  <si>
    <t>Công T03</t>
  </si>
  <si>
    <t>Lương T03</t>
  </si>
  <si>
    <t>BQT04</t>
  </si>
  <si>
    <t>Ngày 15 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</si>
</sst>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_-;\-* #,##0.00_-;_-* &quot;-&quot;??_-;_-@_-"/>
    <numFmt numFmtId="165" formatCode="_(* #,##0.00_);_(* \(#,##0.00\);_(* &quot;-&quot;&quot;?&quot;&quot;?&quot;_);_(@_)"/>
    <numFmt numFmtId="166" formatCode="_(* #,##0_);_(* \(#,##0\);_(* &quot;-&quot;&quot;?&quot;&quot;?&quot;_);_(@_)"/>
    <numFmt numFmtId="167" formatCode="0.0"/>
    <numFmt numFmtId="168" formatCode="0.000"/>
    <numFmt numFmtId="169" formatCode="#,##0.0"/>
    <numFmt numFmtId="170" formatCode="_(* #,##0.0_);_(* \(#,##0.0\);_(* &quot;-&quot;&quot;?&quot;&quot;?&quot;_);_(@_)"/>
    <numFmt numFmtId="171" formatCode="#,##0;[Red]#,##0"/>
    <numFmt numFmtId="172" formatCode="_-* #,##0.00\ _₫_-;\-* #,##0.00\ _₫_-;_-* &quot;-&quot;&quot;?&quot;&quot;?&quot;\ _₫_-;_-@_-"/>
    <numFmt numFmtId="173" formatCode="_-* #,##0_-;\-* #,##0_-;_-* &quot;-&quot;&quot;?&quot;&quot;?&quot;_-;_-@_-"/>
    <numFmt numFmtId="174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i/>
      <sz val="11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u/>
      <sz val="9"/>
      <name val="Times New Roman"/>
      <family val="1"/>
    </font>
    <font>
      <sz val="12"/>
      <color theme="1"/>
      <name val="Times New Roman"/>
      <family val="1"/>
    </font>
    <font>
      <b/>
      <i/>
      <sz val="13"/>
      <name val="Times New Roman"/>
      <family val="1"/>
    </font>
    <font>
      <b/>
      <i/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0" fontId="19" fillId="0" borderId="0"/>
    <xf numFmtId="165" fontId="8" fillId="0" borderId="0" applyFont="0" applyFill="0" applyBorder="0" applyAlignment="0" applyProtection="0"/>
    <xf numFmtId="172" fontId="19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36">
    <xf numFmtId="0" fontId="0" fillId="0" borderId="0" xfId="0"/>
    <xf numFmtId="0" fontId="3" fillId="2" borderId="0" xfId="2" applyFont="1" applyFill="1"/>
    <xf numFmtId="1" fontId="3" fillId="2" borderId="0" xfId="2" applyNumberFormat="1" applyFont="1" applyFill="1"/>
    <xf numFmtId="4" fontId="3" fillId="2" borderId="0" xfId="2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166" fontId="3" fillId="2" borderId="0" xfId="3" applyNumberFormat="1" applyFont="1" applyFill="1"/>
    <xf numFmtId="1" fontId="3" fillId="2" borderId="0" xfId="2" applyNumberFormat="1" applyFont="1" applyFill="1" applyAlignment="1">
      <alignment vertical="center" wrapText="1"/>
    </xf>
    <xf numFmtId="0" fontId="3" fillId="2" borderId="0" xfId="2" applyFont="1" applyFill="1" applyAlignment="1" applyProtection="1">
      <alignment vertical="center" wrapText="1"/>
      <protection locked="0"/>
    </xf>
    <xf numFmtId="0" fontId="3" fillId="2" borderId="0" xfId="2" applyFont="1" applyFill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9" fontId="5" fillId="2" borderId="3" xfId="2" applyNumberFormat="1" applyFont="1" applyFill="1" applyBorder="1" applyAlignment="1">
      <alignment horizontal="center" vertical="center" wrapText="1"/>
    </xf>
    <xf numFmtId="0" fontId="5" fillId="2" borderId="0" xfId="2" applyFont="1" applyFill="1"/>
    <xf numFmtId="0" fontId="5" fillId="0" borderId="0" xfId="2" applyFont="1"/>
    <xf numFmtId="166" fontId="5" fillId="0" borderId="0" xfId="3" applyNumberFormat="1" applyFont="1" applyFill="1"/>
    <xf numFmtId="3" fontId="4" fillId="0" borderId="0" xfId="2" applyNumberFormat="1" applyFont="1"/>
    <xf numFmtId="169" fontId="4" fillId="0" borderId="0" xfId="2" applyNumberFormat="1" applyFont="1"/>
    <xf numFmtId="0" fontId="4" fillId="0" borderId="0" xfId="2" applyFont="1"/>
    <xf numFmtId="166" fontId="4" fillId="0" borderId="0" xfId="3" applyNumberFormat="1" applyFont="1" applyFill="1"/>
    <xf numFmtId="0" fontId="3" fillId="0" borderId="0" xfId="2" applyFont="1"/>
    <xf numFmtId="166" fontId="3" fillId="0" borderId="0" xfId="3" applyNumberFormat="1" applyFont="1" applyFill="1"/>
    <xf numFmtId="3" fontId="3" fillId="0" borderId="0" xfId="2" applyNumberFormat="1" applyFont="1"/>
    <xf numFmtId="170" fontId="3" fillId="0" borderId="0" xfId="3" applyNumberFormat="1" applyFont="1" applyFill="1"/>
    <xf numFmtId="0" fontId="11" fillId="0" borderId="3" xfId="2" applyFont="1" applyBorder="1" applyAlignment="1">
      <alignment horizontal="center" vertical="center" wrapText="1"/>
    </xf>
    <xf numFmtId="0" fontId="10" fillId="0" borderId="0" xfId="2" applyFont="1"/>
    <xf numFmtId="0" fontId="14" fillId="0" borderId="1" xfId="2" applyFont="1" applyBorder="1" applyAlignment="1">
      <alignment horizontal="center" vertical="center" wrapText="1"/>
    </xf>
    <xf numFmtId="166" fontId="14" fillId="0" borderId="1" xfId="5" applyNumberFormat="1" applyFont="1" applyFill="1" applyBorder="1" applyAlignment="1">
      <alignment horizontal="center" vertical="center" wrapText="1"/>
    </xf>
    <xf numFmtId="1" fontId="14" fillId="0" borderId="1" xfId="3" applyNumberFormat="1" applyFont="1" applyFill="1" applyBorder="1" applyAlignment="1">
      <alignment horizontal="center" vertical="center" wrapText="1"/>
    </xf>
    <xf numFmtId="166" fontId="14" fillId="0" borderId="1" xfId="3" applyNumberFormat="1" applyFont="1" applyFill="1" applyBorder="1" applyAlignment="1">
      <alignment horizontal="center" vertical="center" wrapText="1"/>
    </xf>
    <xf numFmtId="3" fontId="14" fillId="0" borderId="1" xfId="2" applyNumberFormat="1" applyFont="1" applyBorder="1" applyAlignment="1">
      <alignment horizontal="center" vertical="center" wrapText="1"/>
    </xf>
    <xf numFmtId="3" fontId="10" fillId="0" borderId="1" xfId="2" applyNumberFormat="1" applyFont="1" applyBorder="1" applyAlignment="1">
      <alignment vertical="center" shrinkToFit="1"/>
    </xf>
    <xf numFmtId="0" fontId="10" fillId="0" borderId="1" xfId="2" applyFont="1" applyBorder="1" applyAlignment="1">
      <alignment vertical="center" shrinkToFit="1"/>
    </xf>
    <xf numFmtId="167" fontId="10" fillId="0" borderId="1" xfId="2" applyNumberFormat="1" applyFont="1" applyBorder="1" applyAlignment="1">
      <alignment vertical="center" shrinkToFit="1"/>
    </xf>
    <xf numFmtId="167" fontId="10" fillId="0" borderId="1" xfId="3" applyNumberFormat="1" applyFont="1" applyFill="1" applyBorder="1" applyAlignment="1">
      <alignment vertical="center" shrinkToFit="1"/>
    </xf>
    <xf numFmtId="2" fontId="10" fillId="0" borderId="1" xfId="3" applyNumberFormat="1" applyFont="1" applyFill="1" applyBorder="1" applyAlignment="1">
      <alignment vertical="center" shrinkToFit="1"/>
    </xf>
    <xf numFmtId="166" fontId="10" fillId="0" borderId="1" xfId="3" applyNumberFormat="1" applyFont="1" applyFill="1" applyBorder="1" applyAlignment="1">
      <alignment vertical="center" shrinkToFit="1"/>
    </xf>
    <xf numFmtId="0" fontId="15" fillId="2" borderId="1" xfId="2" applyFont="1" applyFill="1" applyBorder="1" applyAlignment="1">
      <alignment vertical="center" shrinkToFit="1"/>
    </xf>
    <xf numFmtId="0" fontId="4" fillId="4" borderId="3" xfId="2" applyFont="1" applyFill="1" applyBorder="1"/>
    <xf numFmtId="2" fontId="4" fillId="4" borderId="3" xfId="2" applyNumberFormat="1" applyFont="1" applyFill="1" applyBorder="1"/>
    <xf numFmtId="4" fontId="10" fillId="0" borderId="8" xfId="2" applyNumberFormat="1" applyFont="1" applyBorder="1" applyAlignment="1">
      <alignment vertical="center" shrinkToFit="1"/>
    </xf>
    <xf numFmtId="3" fontId="10" fillId="0" borderId="8" xfId="2" applyNumberFormat="1" applyFont="1" applyBorder="1" applyAlignment="1">
      <alignment vertical="center" shrinkToFit="1"/>
    </xf>
    <xf numFmtId="3" fontId="10" fillId="0" borderId="8" xfId="5" applyNumberFormat="1" applyFont="1" applyFill="1" applyBorder="1" applyAlignment="1">
      <alignment vertical="center" shrinkToFit="1"/>
    </xf>
    <xf numFmtId="1" fontId="15" fillId="2" borderId="8" xfId="2" applyNumberFormat="1" applyFont="1" applyFill="1" applyBorder="1" applyAlignment="1">
      <alignment vertical="center" shrinkToFit="1"/>
    </xf>
    <xf numFmtId="166" fontId="4" fillId="3" borderId="3" xfId="5" applyNumberFormat="1" applyFont="1" applyFill="1" applyBorder="1"/>
    <xf numFmtId="166" fontId="9" fillId="4" borderId="3" xfId="5" applyNumberFormat="1" applyFont="1" applyFill="1" applyBorder="1"/>
    <xf numFmtId="166" fontId="4" fillId="4" borderId="3" xfId="3" applyNumberFormat="1" applyFont="1" applyFill="1" applyBorder="1"/>
    <xf numFmtId="9" fontId="4" fillId="4" borderId="3" xfId="6" applyFont="1" applyFill="1" applyBorder="1"/>
    <xf numFmtId="0" fontId="10" fillId="0" borderId="8" xfId="2" applyFont="1" applyBorder="1" applyAlignment="1">
      <alignment horizontal="center" vertical="center"/>
    </xf>
    <xf numFmtId="0" fontId="10" fillId="0" borderId="8" xfId="2" applyFont="1" applyBorder="1" applyAlignment="1">
      <alignment horizontal="left" vertical="center" wrapText="1"/>
    </xf>
    <xf numFmtId="0" fontId="10" fillId="0" borderId="17" xfId="2" applyFont="1" applyBorder="1" applyAlignment="1">
      <alignment vertical="center" shrinkToFit="1"/>
    </xf>
    <xf numFmtId="0" fontId="10" fillId="0" borderId="18" xfId="2" applyFont="1" applyBorder="1" applyAlignment="1">
      <alignment vertical="center" shrinkToFit="1"/>
    </xf>
    <xf numFmtId="0" fontId="10" fillId="0" borderId="8" xfId="2" applyFont="1" applyBorder="1" applyAlignment="1">
      <alignment vertical="center" shrinkToFit="1"/>
    </xf>
    <xf numFmtId="0" fontId="10" fillId="0" borderId="8" xfId="3" applyNumberFormat="1" applyFont="1" applyFill="1" applyBorder="1" applyAlignment="1">
      <alignment vertical="center" shrinkToFit="1"/>
    </xf>
    <xf numFmtId="3" fontId="15" fillId="0" borderId="1" xfId="2" applyNumberFormat="1" applyFont="1" applyBorder="1" applyAlignment="1">
      <alignment vertical="center" shrinkToFit="1"/>
    </xf>
    <xf numFmtId="169" fontId="11" fillId="0" borderId="3" xfId="3" applyNumberFormat="1" applyFont="1" applyFill="1" applyBorder="1" applyAlignment="1">
      <alignment vertical="center" shrinkToFit="1"/>
    </xf>
    <xf numFmtId="3" fontId="11" fillId="0" borderId="3" xfId="3" applyNumberFormat="1" applyFont="1" applyFill="1" applyBorder="1" applyAlignment="1">
      <alignment vertical="center" shrinkToFit="1"/>
    </xf>
    <xf numFmtId="0" fontId="4" fillId="0" borderId="27" xfId="2" applyFont="1" applyBorder="1"/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 wrapText="1"/>
    </xf>
    <xf numFmtId="167" fontId="11" fillId="0" borderId="0" xfId="3" applyNumberFormat="1" applyFont="1" applyFill="1" applyBorder="1" applyAlignment="1">
      <alignment vertical="center" shrinkToFit="1"/>
    </xf>
    <xf numFmtId="166" fontId="11" fillId="0" borderId="0" xfId="3" applyNumberFormat="1" applyFont="1" applyFill="1" applyBorder="1" applyAlignment="1">
      <alignment vertical="center" shrinkToFit="1"/>
    </xf>
    <xf numFmtId="3" fontId="11" fillId="0" borderId="0" xfId="3" applyNumberFormat="1" applyFont="1" applyFill="1" applyBorder="1" applyAlignment="1">
      <alignment vertical="center" shrinkToFit="1"/>
    </xf>
    <xf numFmtId="3" fontId="4" fillId="0" borderId="0" xfId="3" applyNumberFormat="1" applyFont="1" applyFill="1"/>
    <xf numFmtId="0" fontId="3" fillId="0" borderId="0" xfId="3" applyNumberFormat="1" applyFont="1" applyFill="1"/>
    <xf numFmtId="0" fontId="16" fillId="0" borderId="0" xfId="2" applyFont="1" applyAlignment="1">
      <alignment wrapText="1"/>
    </xf>
    <xf numFmtId="0" fontId="16" fillId="0" borderId="0" xfId="2" applyFont="1"/>
    <xf numFmtId="166" fontId="16" fillId="0" borderId="0" xfId="3" applyNumberFormat="1" applyFont="1" applyFill="1"/>
    <xf numFmtId="3" fontId="18" fillId="0" borderId="0" xfId="2" applyNumberFormat="1" applyFont="1"/>
    <xf numFmtId="169" fontId="18" fillId="0" borderId="0" xfId="2" applyNumberFormat="1" applyFont="1"/>
    <xf numFmtId="0" fontId="18" fillId="0" borderId="0" xfId="2" applyFont="1"/>
    <xf numFmtId="0" fontId="14" fillId="0" borderId="0" xfId="8" applyFont="1"/>
    <xf numFmtId="0" fontId="13" fillId="3" borderId="31" xfId="7" applyFont="1" applyFill="1" applyBorder="1" applyAlignment="1">
      <alignment horizontal="center"/>
    </xf>
    <xf numFmtId="0" fontId="13" fillId="0" borderId="0" xfId="7" applyFont="1" applyAlignment="1">
      <alignment horizontal="center"/>
    </xf>
    <xf numFmtId="0" fontId="13" fillId="0" borderId="32" xfId="7" applyFont="1" applyBorder="1" applyAlignment="1">
      <alignment horizontal="center"/>
    </xf>
    <xf numFmtId="0" fontId="14" fillId="0" borderId="0" xfId="7" applyFont="1"/>
    <xf numFmtId="0" fontId="14" fillId="0" borderId="33" xfId="7" applyFont="1" applyBorder="1"/>
    <xf numFmtId="0" fontId="13" fillId="0" borderId="31" xfId="7" applyFont="1" applyBorder="1"/>
    <xf numFmtId="2" fontId="14" fillId="0" borderId="10" xfId="7" applyNumberFormat="1" applyFont="1" applyBorder="1" applyAlignment="1">
      <alignment horizontal="right"/>
    </xf>
    <xf numFmtId="0" fontId="20" fillId="0" borderId="0" xfId="7" applyFont="1"/>
    <xf numFmtId="0" fontId="14" fillId="0" borderId="0" xfId="7" applyFont="1" applyAlignment="1">
      <alignment horizontal="left"/>
    </xf>
    <xf numFmtId="3" fontId="3" fillId="2" borderId="0" xfId="8" applyNumberFormat="1" applyFont="1" applyFill="1" applyAlignment="1">
      <alignment vertical="center" shrinkToFit="1"/>
    </xf>
    <xf numFmtId="171" fontId="5" fillId="0" borderId="0" xfId="9" applyNumberFormat="1" applyFont="1" applyBorder="1" applyAlignment="1">
      <alignment horizontal="right"/>
    </xf>
    <xf numFmtId="0" fontId="20" fillId="0" borderId="33" xfId="7" applyFont="1" applyBorder="1"/>
    <xf numFmtId="173" fontId="14" fillId="0" borderId="0" xfId="10" applyNumberFormat="1" applyFont="1"/>
    <xf numFmtId="2" fontId="14" fillId="0" borderId="0" xfId="7" applyNumberFormat="1" applyFont="1"/>
    <xf numFmtId="0" fontId="12" fillId="0" borderId="31" xfId="7" applyFont="1" applyBorder="1"/>
    <xf numFmtId="0" fontId="13" fillId="0" borderId="0" xfId="7" applyFont="1" applyAlignment="1">
      <alignment horizontal="left"/>
    </xf>
    <xf numFmtId="0" fontId="13" fillId="0" borderId="35" xfId="7" applyFont="1" applyBorder="1"/>
    <xf numFmtId="0" fontId="14" fillId="0" borderId="10" xfId="7" applyFont="1" applyBorder="1"/>
    <xf numFmtId="0" fontId="14" fillId="0" borderId="38" xfId="7" applyFont="1" applyBorder="1"/>
    <xf numFmtId="0" fontId="14" fillId="0" borderId="27" xfId="7" applyFont="1" applyBorder="1"/>
    <xf numFmtId="0" fontId="20" fillId="0" borderId="39" xfId="7" applyFont="1" applyBorder="1"/>
    <xf numFmtId="0" fontId="14" fillId="0" borderId="44" xfId="7" applyFont="1" applyBorder="1"/>
    <xf numFmtId="2" fontId="14" fillId="0" borderId="45" xfId="7" applyNumberFormat="1" applyFont="1" applyBorder="1"/>
    <xf numFmtId="0" fontId="14" fillId="0" borderId="46" xfId="7" applyFont="1" applyBorder="1"/>
    <xf numFmtId="0" fontId="14" fillId="0" borderId="31" xfId="7" applyFont="1" applyBorder="1"/>
    <xf numFmtId="0" fontId="14" fillId="0" borderId="47" xfId="7" applyFont="1" applyBorder="1"/>
    <xf numFmtId="0" fontId="14" fillId="0" borderId="48" xfId="7" applyFont="1" applyBorder="1"/>
    <xf numFmtId="0" fontId="14" fillId="0" borderId="0" xfId="7" applyFont="1" applyAlignment="1">
      <alignment horizontal="center"/>
    </xf>
    <xf numFmtId="0" fontId="2" fillId="0" borderId="0" xfId="2"/>
    <xf numFmtId="0" fontId="4" fillId="0" borderId="3" xfId="2" applyFont="1" applyBorder="1"/>
    <xf numFmtId="3" fontId="4" fillId="0" borderId="3" xfId="2" applyNumberFormat="1" applyFont="1" applyBorder="1"/>
    <xf numFmtId="0" fontId="3" fillId="2" borderId="3" xfId="2" applyFont="1" applyFill="1" applyBorder="1" applyAlignment="1">
      <alignment horizontal="center" wrapText="1"/>
    </xf>
    <xf numFmtId="0" fontId="3" fillId="2" borderId="0" xfId="2" applyFont="1" applyFill="1" applyAlignment="1">
      <alignment vertical="center" wrapText="1"/>
    </xf>
    <xf numFmtId="0" fontId="3" fillId="2" borderId="6" xfId="2" applyFont="1" applyFill="1" applyBorder="1" applyAlignment="1">
      <alignment horizontal="center" wrapText="1"/>
    </xf>
    <xf numFmtId="1" fontId="3" fillId="2" borderId="7" xfId="2" applyNumberFormat="1" applyFont="1" applyFill="1" applyBorder="1" applyAlignment="1">
      <alignment horizontal="center" wrapText="1"/>
    </xf>
    <xf numFmtId="14" fontId="3" fillId="2" borderId="0" xfId="2" applyNumberFormat="1" applyFont="1" applyFill="1"/>
    <xf numFmtId="167" fontId="3" fillId="2" borderId="0" xfId="2" applyNumberFormat="1" applyFont="1" applyFill="1"/>
    <xf numFmtId="3" fontId="3" fillId="2" borderId="0" xfId="2" applyNumberFormat="1" applyFont="1" applyFill="1"/>
    <xf numFmtId="0" fontId="3" fillId="0" borderId="3" xfId="2" applyFont="1" applyBorder="1" applyAlignment="1">
      <alignment horizontal="left" vertical="center"/>
    </xf>
    <xf numFmtId="1" fontId="22" fillId="0" borderId="3" xfId="2" applyNumberFormat="1" applyFont="1" applyBorder="1" applyAlignment="1">
      <alignment horizontal="center" vertical="center"/>
    </xf>
    <xf numFmtId="0" fontId="3" fillId="2" borderId="7" xfId="2" applyFont="1" applyFill="1" applyBorder="1" applyAlignment="1">
      <alignment horizontal="left" wrapText="1"/>
    </xf>
    <xf numFmtId="0" fontId="3" fillId="2" borderId="7" xfId="2" applyFont="1" applyFill="1" applyBorder="1" applyAlignment="1">
      <alignment horizontal="center" wrapText="1"/>
    </xf>
    <xf numFmtId="4" fontId="3" fillId="2" borderId="3" xfId="2" applyNumberFormat="1" applyFont="1" applyFill="1" applyBorder="1" applyAlignment="1">
      <alignment horizontal="left" wrapText="1"/>
    </xf>
    <xf numFmtId="1" fontId="3" fillId="2" borderId="3" xfId="2" applyNumberFormat="1" applyFont="1" applyFill="1" applyBorder="1" applyAlignment="1">
      <alignment horizontal="center" wrapText="1"/>
    </xf>
    <xf numFmtId="168" fontId="3" fillId="2" borderId="3" xfId="2" applyNumberFormat="1" applyFont="1" applyFill="1" applyBorder="1" applyAlignment="1">
      <alignment horizontal="center" wrapText="1"/>
    </xf>
    <xf numFmtId="3" fontId="3" fillId="2" borderId="3" xfId="4" applyNumberFormat="1" applyFont="1" applyFill="1" applyBorder="1" applyAlignment="1">
      <alignment horizontal="center" wrapText="1"/>
    </xf>
    <xf numFmtId="167" fontId="3" fillId="2" borderId="3" xfId="2" applyNumberFormat="1" applyFont="1" applyFill="1" applyBorder="1"/>
    <xf numFmtId="3" fontId="3" fillId="2" borderId="3" xfId="2" applyNumberFormat="1" applyFont="1" applyFill="1" applyBorder="1"/>
    <xf numFmtId="0" fontId="3" fillId="2" borderId="0" xfId="2" applyFont="1" applyFill="1" applyAlignment="1">
      <alignment horizontal="left" wrapText="1"/>
    </xf>
    <xf numFmtId="1" fontId="3" fillId="2" borderId="0" xfId="2" applyNumberFormat="1" applyFont="1" applyFill="1" applyAlignment="1">
      <alignment horizontal="center" wrapText="1"/>
    </xf>
    <xf numFmtId="2" fontId="3" fillId="2" borderId="0" xfId="4" applyNumberFormat="1" applyFont="1" applyFill="1" applyBorder="1" applyAlignment="1">
      <alignment horizontal="center" wrapText="1"/>
    </xf>
    <xf numFmtId="3" fontId="3" fillId="2" borderId="0" xfId="4" applyNumberFormat="1" applyFont="1" applyFill="1" applyBorder="1" applyAlignment="1">
      <alignment horizontal="center" wrapText="1"/>
    </xf>
    <xf numFmtId="4" fontId="3" fillId="2" borderId="0" xfId="4" applyNumberFormat="1" applyFont="1" applyFill="1" applyBorder="1" applyAlignment="1">
      <alignment horizontal="center" wrapText="1"/>
    </xf>
    <xf numFmtId="166" fontId="3" fillId="2" borderId="0" xfId="4" applyNumberFormat="1" applyFont="1" applyFill="1" applyBorder="1" applyAlignment="1">
      <alignment horizontal="center" wrapText="1"/>
    </xf>
    <xf numFmtId="4" fontId="3" fillId="2" borderId="0" xfId="3" applyNumberFormat="1" applyFont="1" applyFill="1" applyBorder="1" applyAlignment="1">
      <alignment horizontal="center" wrapText="1"/>
    </xf>
    <xf numFmtId="166" fontId="3" fillId="2" borderId="0" xfId="3" applyNumberFormat="1" applyFont="1" applyFill="1" applyBorder="1" applyAlignment="1">
      <alignment horizontal="center" wrapText="1"/>
    </xf>
    <xf numFmtId="0" fontId="3" fillId="2" borderId="0" xfId="2" applyFont="1" applyFill="1" applyAlignment="1">
      <alignment horizontal="center" wrapText="1"/>
    </xf>
    <xf numFmtId="0" fontId="3" fillId="2" borderId="8" xfId="2" applyFont="1" applyFill="1" applyBorder="1" applyAlignment="1">
      <alignment horizontal="center" wrapText="1"/>
    </xf>
    <xf numFmtId="0" fontId="3" fillId="2" borderId="8" xfId="2" applyFont="1" applyFill="1" applyBorder="1" applyAlignment="1">
      <alignment horizontal="left" wrapText="1"/>
    </xf>
    <xf numFmtId="1" fontId="3" fillId="2" borderId="8" xfId="2" applyNumberFormat="1" applyFont="1" applyFill="1" applyBorder="1" applyAlignment="1">
      <alignment horizontal="center" wrapText="1"/>
    </xf>
    <xf numFmtId="4" fontId="3" fillId="2" borderId="8" xfId="3" applyNumberFormat="1" applyFont="1" applyFill="1" applyBorder="1" applyAlignment="1">
      <alignment horizontal="center" wrapText="1"/>
    </xf>
    <xf numFmtId="166" fontId="3" fillId="2" borderId="8" xfId="3" applyNumberFormat="1" applyFont="1" applyFill="1" applyBorder="1" applyAlignment="1">
      <alignment horizontal="center" wrapText="1"/>
    </xf>
    <xf numFmtId="1" fontId="3" fillId="2" borderId="9" xfId="2" applyNumberFormat="1" applyFont="1" applyFill="1" applyBorder="1"/>
    <xf numFmtId="0" fontId="3" fillId="2" borderId="10" xfId="2" applyFont="1" applyFill="1" applyBorder="1"/>
    <xf numFmtId="4" fontId="3" fillId="2" borderId="7" xfId="3" applyNumberFormat="1" applyFont="1" applyFill="1" applyBorder="1" applyAlignment="1">
      <alignment horizontal="center" wrapText="1"/>
    </xf>
    <xf numFmtId="166" fontId="3" fillId="2" borderId="7" xfId="3" applyNumberFormat="1" applyFont="1" applyFill="1" applyBorder="1" applyAlignment="1">
      <alignment horizontal="center" wrapText="1"/>
    </xf>
    <xf numFmtId="1" fontId="3" fillId="2" borderId="6" xfId="2" applyNumberFormat="1" applyFont="1" applyFill="1" applyBorder="1"/>
    <xf numFmtId="0" fontId="3" fillId="2" borderId="11" xfId="2" applyFont="1" applyFill="1" applyBorder="1"/>
    <xf numFmtId="0" fontId="3" fillId="2" borderId="12" xfId="2" applyFont="1" applyFill="1" applyBorder="1" applyAlignment="1">
      <alignment horizontal="center" wrapText="1"/>
    </xf>
    <xf numFmtId="0" fontId="3" fillId="2" borderId="12" xfId="2" applyFont="1" applyFill="1" applyBorder="1" applyAlignment="1">
      <alignment horizontal="left" wrapText="1"/>
    </xf>
    <xf numFmtId="1" fontId="3" fillId="2" borderId="12" xfId="2" applyNumberFormat="1" applyFont="1" applyFill="1" applyBorder="1" applyAlignment="1">
      <alignment horizontal="center" wrapText="1"/>
    </xf>
    <xf numFmtId="4" fontId="3" fillId="2" borderId="12" xfId="3" applyNumberFormat="1" applyFont="1" applyFill="1" applyBorder="1" applyAlignment="1">
      <alignment horizontal="center" wrapText="1"/>
    </xf>
    <xf numFmtId="166" fontId="3" fillId="2" borderId="12" xfId="3" applyNumberFormat="1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left" wrapText="1"/>
    </xf>
    <xf numFmtId="1" fontId="3" fillId="2" borderId="13" xfId="2" applyNumberFormat="1" applyFont="1" applyFill="1" applyBorder="1" applyAlignment="1">
      <alignment horizontal="center" wrapText="1"/>
    </xf>
    <xf numFmtId="4" fontId="3" fillId="2" borderId="13" xfId="3" applyNumberFormat="1" applyFont="1" applyFill="1" applyBorder="1" applyAlignment="1">
      <alignment horizontal="center" wrapText="1"/>
    </xf>
    <xf numFmtId="166" fontId="3" fillId="2" borderId="13" xfId="3" applyNumberFormat="1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center"/>
    </xf>
    <xf numFmtId="0" fontId="3" fillId="2" borderId="13" xfId="2" applyFont="1" applyFill="1" applyBorder="1"/>
    <xf numFmtId="1" fontId="3" fillId="2" borderId="13" xfId="2" applyNumberFormat="1" applyFont="1" applyFill="1" applyBorder="1"/>
    <xf numFmtId="4" fontId="3" fillId="2" borderId="13" xfId="2" applyNumberFormat="1" applyFont="1" applyFill="1" applyBorder="1" applyAlignment="1">
      <alignment horizontal="center"/>
    </xf>
    <xf numFmtId="1" fontId="3" fillId="2" borderId="7" xfId="2" applyNumberFormat="1" applyFont="1" applyFill="1" applyBorder="1"/>
    <xf numFmtId="0" fontId="3" fillId="2" borderId="7" xfId="2" applyFont="1" applyFill="1" applyBorder="1" applyAlignment="1">
      <alignment horizontal="center"/>
    </xf>
    <xf numFmtId="4" fontId="3" fillId="2" borderId="7" xfId="2" applyNumberFormat="1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14" xfId="2" applyFont="1" applyFill="1" applyBorder="1"/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 wrapText="1"/>
    </xf>
    <xf numFmtId="3" fontId="7" fillId="0" borderId="27" xfId="2" applyNumberFormat="1" applyFont="1" applyBorder="1"/>
    <xf numFmtId="0" fontId="14" fillId="2" borderId="1" xfId="0" applyFont="1" applyFill="1" applyBorder="1" applyAlignment="1">
      <alignment horizontal="center" vertical="center" wrapText="1"/>
    </xf>
    <xf numFmtId="167" fontId="4" fillId="3" borderId="3" xfId="0" applyNumberFormat="1" applyFont="1" applyFill="1" applyBorder="1"/>
    <xf numFmtId="0" fontId="4" fillId="3" borderId="3" xfId="0" applyFont="1" applyFill="1" applyBorder="1"/>
    <xf numFmtId="0" fontId="4" fillId="4" borderId="3" xfId="0" applyFont="1" applyFill="1" applyBorder="1"/>
    <xf numFmtId="2" fontId="4" fillId="4" borderId="3" xfId="0" applyNumberFormat="1" applyFont="1" applyFill="1" applyBorder="1"/>
    <xf numFmtId="0" fontId="4" fillId="2" borderId="4" xfId="0" applyFont="1" applyFill="1" applyBorder="1" applyAlignment="1">
      <alignment horizontal="center" vertical="center"/>
    </xf>
    <xf numFmtId="166" fontId="14" fillId="2" borderId="1" xfId="5" applyNumberFormat="1" applyFont="1" applyFill="1" applyBorder="1" applyAlignment="1">
      <alignment horizontal="center" vertical="center" wrapText="1"/>
    </xf>
    <xf numFmtId="166" fontId="14" fillId="2" borderId="1" xfId="4" applyNumberFormat="1" applyFont="1" applyFill="1" applyBorder="1" applyAlignment="1">
      <alignment horizontal="center" vertical="center" wrapText="1"/>
    </xf>
    <xf numFmtId="166" fontId="9" fillId="4" borderId="3" xfId="4" applyNumberFormat="1" applyFont="1" applyFill="1" applyBorder="1"/>
    <xf numFmtId="166" fontId="4" fillId="4" borderId="3" xfId="4" applyNumberFormat="1" applyFont="1" applyFill="1" applyBorder="1"/>
    <xf numFmtId="0" fontId="3" fillId="2" borderId="1" xfId="2" applyFont="1" applyFill="1" applyBorder="1"/>
    <xf numFmtId="0" fontId="14" fillId="0" borderId="3" xfId="2" applyFont="1" applyBorder="1" applyAlignment="1">
      <alignment horizontal="center" vertical="center"/>
    </xf>
    <xf numFmtId="174" fontId="24" fillId="0" borderId="27" xfId="1" applyNumberFormat="1" applyFont="1" applyBorder="1"/>
    <xf numFmtId="3" fontId="24" fillId="0" borderId="27" xfId="2" applyNumberFormat="1" applyFont="1" applyBorder="1"/>
    <xf numFmtId="174" fontId="24" fillId="0" borderId="0" xfId="1" applyNumberFormat="1" applyFont="1"/>
    <xf numFmtId="3" fontId="24" fillId="0" borderId="0" xfId="2" applyNumberFormat="1" applyFont="1"/>
    <xf numFmtId="3" fontId="10" fillId="0" borderId="50" xfId="5" applyNumberFormat="1" applyFont="1" applyFill="1" applyBorder="1" applyAlignment="1">
      <alignment vertical="center" shrinkToFit="1"/>
    </xf>
    <xf numFmtId="0" fontId="17" fillId="0" borderId="0" xfId="2" applyFont="1"/>
    <xf numFmtId="0" fontId="3" fillId="0" borderId="0" xfId="2" applyFont="1" applyAlignment="1">
      <alignment vertical="center"/>
    </xf>
    <xf numFmtId="166" fontId="3" fillId="0" borderId="0" xfId="3" applyNumberFormat="1" applyFont="1" applyFill="1" applyAlignment="1">
      <alignment vertical="center"/>
    </xf>
    <xf numFmtId="0" fontId="6" fillId="0" borderId="0" xfId="2" applyFont="1" applyAlignment="1">
      <alignment horizontal="center" vertical="center"/>
    </xf>
    <xf numFmtId="166" fontId="10" fillId="0" borderId="0" xfId="3" applyNumberFormat="1" applyFont="1" applyFill="1" applyAlignment="1">
      <alignment vertical="center"/>
    </xf>
    <xf numFmtId="3" fontId="4" fillId="0" borderId="0" xfId="2" applyNumberFormat="1" applyFont="1" applyAlignment="1">
      <alignment vertical="center"/>
    </xf>
    <xf numFmtId="169" fontId="4" fillId="0" borderId="0" xfId="2" applyNumberFormat="1" applyFont="1" applyAlignment="1">
      <alignment vertical="center"/>
    </xf>
    <xf numFmtId="0" fontId="4" fillId="0" borderId="0" xfId="2" applyFont="1" applyAlignment="1">
      <alignment vertical="center"/>
    </xf>
    <xf numFmtId="3" fontId="3" fillId="0" borderId="0" xfId="2" applyNumberFormat="1" applyFont="1" applyAlignment="1">
      <alignment vertical="center"/>
    </xf>
    <xf numFmtId="166" fontId="9" fillId="0" borderId="0" xfId="2" applyNumberFormat="1" applyFont="1" applyAlignment="1">
      <alignment vertical="center"/>
    </xf>
    <xf numFmtId="3" fontId="3" fillId="0" borderId="0" xfId="3" applyNumberFormat="1" applyFont="1" applyFill="1" applyAlignment="1">
      <alignment vertical="center"/>
    </xf>
    <xf numFmtId="170" fontId="14" fillId="2" borderId="1" xfId="5" applyNumberFormat="1" applyFont="1" applyFill="1" applyBorder="1" applyAlignment="1">
      <alignment horizontal="center" vertical="center" wrapText="1"/>
    </xf>
    <xf numFmtId="170" fontId="4" fillId="3" borderId="3" xfId="5" applyNumberFormat="1" applyFont="1" applyFill="1" applyBorder="1"/>
    <xf numFmtId="170" fontId="4" fillId="3" borderId="3" xfId="3" applyNumberFormat="1" applyFont="1" applyFill="1" applyBorder="1"/>
    <xf numFmtId="174" fontId="7" fillId="0" borderId="0" xfId="1" applyNumberFormat="1" applyFont="1"/>
    <xf numFmtId="0" fontId="5" fillId="2" borderId="4" xfId="2" applyFont="1" applyFill="1" applyBorder="1" applyAlignment="1">
      <alignment horizontal="center" vertical="center" wrapText="1"/>
    </xf>
    <xf numFmtId="1" fontId="5" fillId="2" borderId="4" xfId="2" applyNumberFormat="1" applyFont="1" applyFill="1" applyBorder="1" applyAlignment="1">
      <alignment horizontal="center" vertical="center" wrapText="1"/>
    </xf>
    <xf numFmtId="4" fontId="5" fillId="2" borderId="4" xfId="2" applyNumberFormat="1" applyFont="1" applyFill="1" applyBorder="1" applyAlignment="1">
      <alignment horizontal="center" vertical="center" wrapText="1"/>
    </xf>
    <xf numFmtId="9" fontId="5" fillId="2" borderId="4" xfId="2" applyNumberFormat="1" applyFont="1" applyFill="1" applyBorder="1" applyAlignment="1">
      <alignment horizontal="center" vertical="center" wrapText="1"/>
    </xf>
    <xf numFmtId="0" fontId="5" fillId="2" borderId="50" xfId="2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>
      <alignment horizontal="center" vertical="center"/>
    </xf>
    <xf numFmtId="174" fontId="3" fillId="2" borderId="3" xfId="1" applyNumberFormat="1" applyFont="1" applyFill="1" applyBorder="1"/>
    <xf numFmtId="0" fontId="3" fillId="2" borderId="3" xfId="2" applyFont="1" applyFill="1" applyBorder="1"/>
    <xf numFmtId="4" fontId="3" fillId="2" borderId="3" xfId="2" applyNumberFormat="1" applyFont="1" applyFill="1" applyBorder="1"/>
    <xf numFmtId="2" fontId="5" fillId="2" borderId="3" xfId="2" applyNumberFormat="1" applyFont="1" applyFill="1" applyBorder="1" applyAlignment="1">
      <alignment horizontal="center" vertical="center" wrapText="1"/>
    </xf>
    <xf numFmtId="2" fontId="3" fillId="2" borderId="3" xfId="2" applyNumberFormat="1" applyFont="1" applyFill="1" applyBorder="1" applyAlignment="1">
      <alignment horizontal="center"/>
    </xf>
    <xf numFmtId="14" fontId="3" fillId="2" borderId="3" xfId="2" applyNumberFormat="1" applyFont="1" applyFill="1" applyBorder="1"/>
    <xf numFmtId="167" fontId="3" fillId="0" borderId="3" xfId="2" applyNumberFormat="1" applyFont="1" applyBorder="1"/>
    <xf numFmtId="166" fontId="3" fillId="2" borderId="3" xfId="5" applyNumberFormat="1" applyFont="1" applyFill="1" applyBorder="1"/>
    <xf numFmtId="2" fontId="3" fillId="2" borderId="3" xfId="2" applyNumberFormat="1" applyFont="1" applyFill="1" applyBorder="1"/>
    <xf numFmtId="166" fontId="3" fillId="2" borderId="3" xfId="3" applyNumberFormat="1" applyFont="1" applyFill="1" applyBorder="1"/>
    <xf numFmtId="1" fontId="3" fillId="2" borderId="3" xfId="2" applyNumberFormat="1" applyFont="1" applyFill="1" applyBorder="1"/>
    <xf numFmtId="2" fontId="3" fillId="2" borderId="3" xfId="3" applyNumberFormat="1" applyFont="1" applyFill="1" applyBorder="1" applyAlignment="1">
      <alignment horizontal="center"/>
    </xf>
    <xf numFmtId="166" fontId="22" fillId="2" borderId="3" xfId="3" applyNumberFormat="1" applyFont="1" applyFill="1" applyBorder="1"/>
    <xf numFmtId="0" fontId="3" fillId="2" borderId="3" xfId="2" applyFont="1" applyFill="1" applyBorder="1" applyAlignment="1">
      <alignment horizontal="left" wrapText="1"/>
    </xf>
    <xf numFmtId="2" fontId="5" fillId="2" borderId="3" xfId="2" applyNumberFormat="1" applyFont="1" applyFill="1" applyBorder="1" applyAlignment="1">
      <alignment horizontal="center"/>
    </xf>
    <xf numFmtId="0" fontId="5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11" fillId="0" borderId="1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166" fontId="13" fillId="0" borderId="1" xfId="5" applyNumberFormat="1" applyFont="1" applyFill="1" applyBorder="1" applyAlignment="1">
      <alignment horizontal="center" vertical="center" wrapText="1"/>
    </xf>
    <xf numFmtId="166" fontId="13" fillId="0" borderId="8" xfId="5" applyNumberFormat="1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10" fillId="0" borderId="21" xfId="2" applyFont="1" applyBorder="1" applyAlignment="1">
      <alignment horizontal="center" vertical="center" shrinkToFit="1"/>
    </xf>
    <xf numFmtId="0" fontId="10" fillId="0" borderId="22" xfId="2" applyFont="1" applyBorder="1" applyAlignment="1">
      <alignment horizontal="center" vertical="center" shrinkToFit="1"/>
    </xf>
    <xf numFmtId="0" fontId="10" fillId="0" borderId="23" xfId="2" applyFont="1" applyBorder="1" applyAlignment="1">
      <alignment horizontal="center" vertical="center" shrinkToFit="1"/>
    </xf>
    <xf numFmtId="0" fontId="10" fillId="0" borderId="24" xfId="2" applyFont="1" applyBorder="1" applyAlignment="1">
      <alignment horizontal="center" vertical="center" shrinkToFit="1"/>
    </xf>
    <xf numFmtId="0" fontId="11" fillId="0" borderId="50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16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8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1" fillId="0" borderId="20" xfId="2" applyFont="1" applyBorder="1" applyAlignment="1">
      <alignment horizontal="center" vertical="center" wrapText="1"/>
    </xf>
    <xf numFmtId="166" fontId="13" fillId="0" borderId="50" xfId="5" applyNumberFormat="1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51" xfId="2" applyFont="1" applyBorder="1" applyAlignment="1">
      <alignment horizontal="center" vertical="center" wrapText="1"/>
    </xf>
    <xf numFmtId="0" fontId="7" fillId="0" borderId="20" xfId="2" applyFont="1" applyBorder="1" applyAlignment="1">
      <alignment horizontal="center" vertical="center" wrapText="1"/>
    </xf>
    <xf numFmtId="170" fontId="4" fillId="3" borderId="3" xfId="5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0" xfId="0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wrapText="1"/>
    </xf>
    <xf numFmtId="166" fontId="11" fillId="0" borderId="3" xfId="3" applyNumberFormat="1" applyFont="1" applyFill="1" applyBorder="1" applyAlignment="1">
      <alignment horizontal="center" vertical="center" wrapText="1"/>
    </xf>
    <xf numFmtId="3" fontId="11" fillId="0" borderId="3" xfId="2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1" fontId="10" fillId="0" borderId="1" xfId="2" applyNumberFormat="1" applyFont="1" applyBorder="1" applyAlignment="1">
      <alignment horizontal="left" vertical="center"/>
    </xf>
    <xf numFmtId="0" fontId="10" fillId="0" borderId="9" xfId="2" applyFont="1" applyBorder="1" applyAlignment="1">
      <alignment horizontal="left" vertical="center"/>
    </xf>
    <xf numFmtId="1" fontId="10" fillId="0" borderId="1" xfId="2" applyNumberFormat="1" applyFont="1" applyBorder="1" applyAlignment="1">
      <alignment horizontal="center" vertical="center"/>
    </xf>
    <xf numFmtId="14" fontId="10" fillId="0" borderId="21" xfId="2" applyNumberFormat="1" applyFont="1" applyBorder="1" applyAlignment="1">
      <alignment horizontal="center" vertical="center" shrinkToFit="1"/>
    </xf>
    <xf numFmtId="0" fontId="4" fillId="5" borderId="1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50" xfId="2" applyFont="1" applyFill="1" applyBorder="1" applyAlignment="1">
      <alignment horizontal="center" vertical="center" wrapText="1"/>
    </xf>
    <xf numFmtId="0" fontId="10" fillId="0" borderId="25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 wrapText="1"/>
    </xf>
    <xf numFmtId="0" fontId="11" fillId="0" borderId="27" xfId="2" applyFont="1" applyBorder="1" applyAlignment="1">
      <alignment horizontal="center" vertical="center" wrapText="1"/>
    </xf>
    <xf numFmtId="0" fontId="11" fillId="0" borderId="26" xfId="2" applyFont="1" applyBorder="1" applyAlignment="1">
      <alignment horizontal="center" vertical="center"/>
    </xf>
    <xf numFmtId="0" fontId="11" fillId="0" borderId="24" xfId="2" applyFont="1" applyBorder="1" applyAlignment="1">
      <alignment horizontal="center" vertical="center"/>
    </xf>
    <xf numFmtId="167" fontId="16" fillId="0" borderId="0" xfId="3" applyNumberFormat="1" applyFont="1" applyFill="1" applyBorder="1" applyAlignment="1">
      <alignment horizontal="center" vertical="center" shrinkToFit="1"/>
    </xf>
    <xf numFmtId="0" fontId="23" fillId="0" borderId="0" xfId="2" applyFont="1" applyAlignment="1">
      <alignment horizontal="right" vertical="center"/>
    </xf>
    <xf numFmtId="0" fontId="3" fillId="3" borderId="1" xfId="2" applyFont="1" applyFill="1" applyBorder="1" applyAlignment="1" applyProtection="1">
      <alignment horizontal="center" vertical="center" wrapText="1"/>
      <protection locked="0"/>
    </xf>
    <xf numFmtId="0" fontId="3" fillId="3" borderId="4" xfId="2" applyFont="1" applyFill="1" applyBorder="1" applyAlignment="1" applyProtection="1">
      <alignment horizontal="center" vertical="center" wrapText="1"/>
      <protection locked="0"/>
    </xf>
    <xf numFmtId="0" fontId="5" fillId="2" borderId="0" xfId="2" applyFont="1" applyFill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1" fontId="5" fillId="3" borderId="4" xfId="2" applyNumberFormat="1" applyFont="1" applyFill="1" applyBorder="1" applyAlignment="1">
      <alignment horizontal="center" vertical="center" wrapText="1"/>
    </xf>
    <xf numFmtId="1" fontId="5" fillId="3" borderId="8" xfId="2" applyNumberFormat="1" applyFont="1" applyFill="1" applyBorder="1" applyAlignment="1">
      <alignment horizontal="center" vertical="center" wrapText="1"/>
    </xf>
    <xf numFmtId="4" fontId="5" fillId="3" borderId="1" xfId="2" applyNumberFormat="1" applyFont="1" applyFill="1" applyBorder="1" applyAlignment="1">
      <alignment horizontal="center" vertical="center" wrapText="1"/>
    </xf>
    <xf numFmtId="4" fontId="5" fillId="3" borderId="4" xfId="2" applyNumberFormat="1" applyFont="1" applyFill="1" applyBorder="1" applyAlignment="1">
      <alignment horizontal="center" vertical="center" wrapText="1"/>
    </xf>
    <xf numFmtId="4" fontId="5" fillId="3" borderId="8" xfId="2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3" fillId="3" borderId="8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1" fontId="3" fillId="3" borderId="4" xfId="2" applyNumberFormat="1" applyFont="1" applyFill="1" applyBorder="1" applyAlignment="1">
      <alignment horizontal="center" vertical="center" wrapText="1"/>
    </xf>
    <xf numFmtId="1" fontId="3" fillId="3" borderId="8" xfId="2" applyNumberFormat="1" applyFont="1" applyFill="1" applyBorder="1" applyAlignment="1">
      <alignment horizontal="center" vertical="center" wrapText="1"/>
    </xf>
    <xf numFmtId="0" fontId="3" fillId="3" borderId="8" xfId="2" applyFont="1" applyFill="1" applyBorder="1" applyAlignment="1" applyProtection="1">
      <alignment horizontal="center" vertical="center" wrapText="1"/>
      <protection locked="0"/>
    </xf>
    <xf numFmtId="0" fontId="13" fillId="0" borderId="31" xfId="7" applyFont="1" applyBorder="1" applyAlignment="1">
      <alignment horizontal="left"/>
    </xf>
    <xf numFmtId="0" fontId="13" fillId="0" borderId="0" xfId="7" applyFont="1" applyAlignment="1">
      <alignment horizontal="left"/>
    </xf>
    <xf numFmtId="1" fontId="13" fillId="0" borderId="0" xfId="7" applyNumberFormat="1" applyFont="1" applyAlignment="1">
      <alignment horizontal="left"/>
    </xf>
    <xf numFmtId="1" fontId="13" fillId="0" borderId="32" xfId="7" applyNumberFormat="1" applyFont="1" applyBorder="1" applyAlignment="1">
      <alignment horizontal="left"/>
    </xf>
    <xf numFmtId="0" fontId="13" fillId="0" borderId="32" xfId="7" applyFont="1" applyBorder="1" applyAlignment="1">
      <alignment horizontal="left"/>
    </xf>
    <xf numFmtId="0" fontId="13" fillId="0" borderId="28" xfId="7" applyFont="1" applyBorder="1" applyAlignment="1">
      <alignment horizontal="center"/>
    </xf>
    <xf numFmtId="0" fontId="13" fillId="0" borderId="29" xfId="7" applyFont="1" applyBorder="1" applyAlignment="1">
      <alignment horizontal="center"/>
    </xf>
    <xf numFmtId="0" fontId="13" fillId="0" borderId="30" xfId="7" applyFont="1" applyBorder="1" applyAlignment="1">
      <alignment horizontal="center"/>
    </xf>
    <xf numFmtId="0" fontId="13" fillId="0" borderId="31" xfId="7" applyFont="1" applyBorder="1" applyAlignment="1">
      <alignment horizontal="center"/>
    </xf>
    <xf numFmtId="0" fontId="13" fillId="0" borderId="0" xfId="7" applyFont="1" applyAlignment="1">
      <alignment horizontal="center"/>
    </xf>
    <xf numFmtId="0" fontId="13" fillId="0" borderId="32" xfId="7" applyFont="1" applyBorder="1" applyAlignment="1">
      <alignment horizontal="center"/>
    </xf>
    <xf numFmtId="0" fontId="13" fillId="2" borderId="0" xfId="7" applyFont="1" applyFill="1" applyAlignment="1">
      <alignment horizontal="left"/>
    </xf>
    <xf numFmtId="171" fontId="13" fillId="0" borderId="11" xfId="9" applyNumberFormat="1" applyFont="1" applyBorder="1" applyAlignment="1">
      <alignment horizontal="right"/>
    </xf>
    <xf numFmtId="0" fontId="13" fillId="0" borderId="34" xfId="7" applyFont="1" applyBorder="1" applyAlignment="1">
      <alignment horizontal="left"/>
    </xf>
    <xf numFmtId="171" fontId="13" fillId="0" borderId="10" xfId="9" applyNumberFormat="1" applyFont="1" applyBorder="1" applyAlignment="1">
      <alignment horizontal="right"/>
    </xf>
    <xf numFmtId="171" fontId="13" fillId="0" borderId="0" xfId="7" applyNumberFormat="1" applyFont="1" applyAlignment="1">
      <alignment horizontal="left"/>
    </xf>
    <xf numFmtId="0" fontId="21" fillId="0" borderId="36" xfId="7" applyFont="1" applyBorder="1" applyAlignment="1">
      <alignment horizontal="left"/>
    </xf>
    <xf numFmtId="0" fontId="21" fillId="0" borderId="34" xfId="7" applyFont="1" applyBorder="1" applyAlignment="1">
      <alignment horizontal="left"/>
    </xf>
    <xf numFmtId="171" fontId="13" fillId="0" borderId="37" xfId="9" applyNumberFormat="1" applyFont="1" applyBorder="1" applyAlignment="1">
      <alignment horizontal="right"/>
    </xf>
    <xf numFmtId="0" fontId="13" fillId="0" borderId="36" xfId="7" applyFont="1" applyBorder="1" applyAlignment="1">
      <alignment horizontal="left"/>
    </xf>
    <xf numFmtId="0" fontId="13" fillId="0" borderId="31" xfId="7" applyFont="1" applyBorder="1"/>
    <xf numFmtId="0" fontId="13" fillId="0" borderId="0" xfId="7" applyFont="1"/>
    <xf numFmtId="171" fontId="13" fillId="0" borderId="42" xfId="9" applyNumberFormat="1" applyFont="1" applyBorder="1" applyAlignment="1">
      <alignment horizontal="right"/>
    </xf>
    <xf numFmtId="0" fontId="21" fillId="0" borderId="31" xfId="7" applyFont="1" applyBorder="1"/>
    <xf numFmtId="0" fontId="21" fillId="0" borderId="0" xfId="7" applyFont="1"/>
    <xf numFmtId="171" fontId="13" fillId="0" borderId="43" xfId="9" applyNumberFormat="1" applyFont="1" applyBorder="1" applyAlignment="1">
      <alignment horizontal="right"/>
    </xf>
    <xf numFmtId="0" fontId="21" fillId="0" borderId="40" xfId="7" applyFont="1" applyBorder="1"/>
    <xf numFmtId="0" fontId="21" fillId="0" borderId="14" xfId="7" applyFont="1" applyBorder="1"/>
    <xf numFmtId="171" fontId="13" fillId="0" borderId="41" xfId="9" applyNumberFormat="1" applyFont="1" applyBorder="1" applyAlignment="1">
      <alignment horizontal="right"/>
    </xf>
    <xf numFmtId="0" fontId="14" fillId="0" borderId="0" xfId="7" applyFont="1" applyAlignment="1">
      <alignment horizontal="center"/>
    </xf>
    <xf numFmtId="0" fontId="14" fillId="0" borderId="48" xfId="7" applyFont="1" applyBorder="1" applyAlignment="1">
      <alignment horizontal="center"/>
    </xf>
    <xf numFmtId="0" fontId="14" fillId="0" borderId="49" xfId="7" applyFont="1" applyBorder="1" applyAlignment="1">
      <alignment horizontal="center"/>
    </xf>
    <xf numFmtId="37" fontId="13" fillId="0" borderId="27" xfId="9" applyNumberFormat="1" applyFont="1" applyBorder="1" applyAlignment="1">
      <alignment horizontal="right"/>
    </xf>
    <xf numFmtId="0" fontId="14" fillId="0" borderId="33" xfId="7" applyFont="1" applyBorder="1" applyAlignment="1">
      <alignment horizontal="center"/>
    </xf>
    <xf numFmtId="0" fontId="14" fillId="0" borderId="0" xfId="8" applyFont="1"/>
    <xf numFmtId="0" fontId="2" fillId="0" borderId="0" xfId="2"/>
    <xf numFmtId="0" fontId="3" fillId="2" borderId="1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50" xfId="2" applyFont="1" applyFill="1" applyBorder="1" applyAlignment="1">
      <alignment horizontal="center" vertical="center" wrapText="1"/>
    </xf>
    <xf numFmtId="166" fontId="3" fillId="3" borderId="1" xfId="3" applyNumberFormat="1" applyFont="1" applyFill="1" applyBorder="1" applyAlignment="1">
      <alignment horizontal="center" vertical="center" wrapText="1"/>
    </xf>
    <xf numFmtId="166" fontId="3" fillId="3" borderId="4" xfId="3" applyNumberFormat="1" applyFont="1" applyFill="1" applyBorder="1" applyAlignment="1">
      <alignment horizontal="center" vertical="center" wrapText="1"/>
    </xf>
  </cellXfs>
  <cellStyles count="12">
    <cellStyle name="Comma" xfId="1" builtinId="3"/>
    <cellStyle name="Comma 2" xfId="3" xr:uid="{0CD637BF-6D91-41E1-950E-CB5B3DB10ED4}"/>
    <cellStyle name="Comma 2 2" xfId="4" xr:uid="{EDC990A0-DF54-4F4C-B959-94660854511E}"/>
    <cellStyle name="Comma 4" xfId="5" xr:uid="{A11CDFCD-C2C1-4A0F-B8EE-69A41983A729}"/>
    <cellStyle name="Comma 4 2" xfId="11" xr:uid="{47A4889D-782F-4996-9A24-60A916890441}"/>
    <cellStyle name="Comma 5" xfId="10" xr:uid="{82F6301C-27A4-4E26-9877-F5ACE6AB9336}"/>
    <cellStyle name="Comma_Sheet1" xfId="9" xr:uid="{821637CA-EAFF-492A-A89D-0F376F092738}"/>
    <cellStyle name="Normal" xfId="0" builtinId="0"/>
    <cellStyle name="Normal 2" xfId="2" xr:uid="{5957E1F9-BF9E-40B9-A0F6-E79F46FE9344}"/>
    <cellStyle name="Normal 3" xfId="8" xr:uid="{8B88398F-25DC-4A6E-9824-4E07ED3B198F}"/>
    <cellStyle name="Normal_Sheet1 2" xfId="7" xr:uid="{FAE6596C-5915-4150-A05D-B1F2EF259E7D}"/>
    <cellStyle name="Percent 2" xfId="6" xr:uid="{55790703-3843-4C34-A946-02A9F07784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IEN-VP\N&#259;m%202020\Thang%209-2020\New%20folder\ph&#7909;%20c&#7845;p%20con%20nh&#7887;%20n&#259;m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V&#259;n%20ph&#242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Sheet8"/>
      <sheetName val="T9"/>
      <sheetName val="Sheet5"/>
      <sheetName val="Sheet3"/>
    </sheetNames>
    <sheetDataSet>
      <sheetData sheetId="0">
        <row r="4">
          <cell r="A4">
            <v>2</v>
          </cell>
          <cell r="B4" t="str">
            <v>Bếp</v>
          </cell>
          <cell r="C4">
            <v>80610</v>
          </cell>
        </row>
        <row r="5">
          <cell r="A5">
            <v>3</v>
          </cell>
          <cell r="B5" t="str">
            <v>Bếp</v>
          </cell>
          <cell r="C5">
            <v>80999</v>
          </cell>
        </row>
        <row r="6">
          <cell r="A6">
            <v>4</v>
          </cell>
          <cell r="B6" t="str">
            <v>H.Thiện</v>
          </cell>
          <cell r="C6">
            <v>80352</v>
          </cell>
        </row>
        <row r="7">
          <cell r="A7">
            <v>5</v>
          </cell>
          <cell r="B7" t="str">
            <v>H.Thiện</v>
          </cell>
          <cell r="C7">
            <v>80876</v>
          </cell>
        </row>
        <row r="8">
          <cell r="A8">
            <v>6</v>
          </cell>
          <cell r="B8" t="str">
            <v>H.Thiện</v>
          </cell>
          <cell r="C8">
            <v>80876</v>
          </cell>
        </row>
        <row r="9">
          <cell r="A9">
            <v>7</v>
          </cell>
          <cell r="B9" t="str">
            <v>H.Thiện</v>
          </cell>
          <cell r="C9">
            <v>81354</v>
          </cell>
        </row>
        <row r="10">
          <cell r="A10">
            <v>8</v>
          </cell>
          <cell r="B10" t="str">
            <v>H.Thiện</v>
          </cell>
          <cell r="C10">
            <v>81555</v>
          </cell>
        </row>
        <row r="11">
          <cell r="A11">
            <v>9</v>
          </cell>
          <cell r="B11" t="str">
            <v>H.Thiện</v>
          </cell>
          <cell r="C11">
            <v>81609</v>
          </cell>
        </row>
        <row r="12">
          <cell r="A12">
            <v>10</v>
          </cell>
          <cell r="B12" t="str">
            <v>H.Thiện</v>
          </cell>
          <cell r="C12">
            <v>81609</v>
          </cell>
        </row>
        <row r="13">
          <cell r="A13">
            <v>11</v>
          </cell>
          <cell r="B13" t="str">
            <v>H.Thiện</v>
          </cell>
          <cell r="C13">
            <v>81658</v>
          </cell>
        </row>
        <row r="14">
          <cell r="A14">
            <v>12</v>
          </cell>
          <cell r="B14" t="str">
            <v>H.Thiện</v>
          </cell>
          <cell r="C14">
            <v>81674</v>
          </cell>
        </row>
        <row r="15">
          <cell r="A15">
            <v>13</v>
          </cell>
          <cell r="B15" t="str">
            <v>H.Thiện</v>
          </cell>
          <cell r="C15">
            <v>81988</v>
          </cell>
        </row>
        <row r="16">
          <cell r="A16">
            <v>14</v>
          </cell>
          <cell r="B16" t="str">
            <v>H.Thiện</v>
          </cell>
          <cell r="C16">
            <v>81988</v>
          </cell>
        </row>
        <row r="17">
          <cell r="A17">
            <v>15</v>
          </cell>
          <cell r="B17" t="str">
            <v>H.Thiện</v>
          </cell>
          <cell r="C17">
            <v>82912</v>
          </cell>
        </row>
        <row r="18">
          <cell r="A18">
            <v>16</v>
          </cell>
          <cell r="B18" t="str">
            <v>H.Thiện</v>
          </cell>
          <cell r="C18">
            <v>81987</v>
          </cell>
        </row>
        <row r="19">
          <cell r="A19">
            <v>17</v>
          </cell>
          <cell r="B19" t="str">
            <v>H.Thiện</v>
          </cell>
          <cell r="C19">
            <v>81987</v>
          </cell>
        </row>
        <row r="20">
          <cell r="A20">
            <v>18</v>
          </cell>
          <cell r="B20" t="str">
            <v>H.Thiện</v>
          </cell>
          <cell r="C20">
            <v>81262</v>
          </cell>
        </row>
        <row r="21">
          <cell r="A21">
            <v>19</v>
          </cell>
          <cell r="B21" t="str">
            <v>H.Thiện</v>
          </cell>
          <cell r="C21">
            <v>81262</v>
          </cell>
        </row>
        <row r="22">
          <cell r="A22">
            <v>20</v>
          </cell>
          <cell r="B22" t="str">
            <v>H.Thiện</v>
          </cell>
          <cell r="C22">
            <v>83258</v>
          </cell>
        </row>
        <row r="23">
          <cell r="A23">
            <v>21</v>
          </cell>
          <cell r="B23" t="str">
            <v>H.Thiện</v>
          </cell>
          <cell r="C23">
            <v>81975</v>
          </cell>
        </row>
        <row r="24">
          <cell r="A24">
            <v>22</v>
          </cell>
          <cell r="B24" t="str">
            <v>H.Thiện</v>
          </cell>
          <cell r="C24">
            <v>81984</v>
          </cell>
        </row>
        <row r="25">
          <cell r="A25">
            <v>23</v>
          </cell>
          <cell r="B25" t="str">
            <v>K.Hóa</v>
          </cell>
          <cell r="C25">
            <v>80031</v>
          </cell>
        </row>
        <row r="26">
          <cell r="A26">
            <v>24</v>
          </cell>
          <cell r="B26" t="str">
            <v>K.Hóa</v>
          </cell>
          <cell r="C26">
            <v>80031</v>
          </cell>
        </row>
        <row r="27">
          <cell r="A27">
            <v>25</v>
          </cell>
          <cell r="B27" t="str">
            <v>K.Hóa</v>
          </cell>
          <cell r="C27">
            <v>80053</v>
          </cell>
        </row>
        <row r="28">
          <cell r="A28">
            <v>26</v>
          </cell>
          <cell r="B28" t="str">
            <v>K.Hóa</v>
          </cell>
          <cell r="C28">
            <v>80061</v>
          </cell>
        </row>
        <row r="29">
          <cell r="A29">
            <v>27</v>
          </cell>
          <cell r="B29" t="str">
            <v>K.Hóa</v>
          </cell>
          <cell r="C29">
            <v>80061</v>
          </cell>
        </row>
        <row r="30">
          <cell r="A30">
            <v>28</v>
          </cell>
          <cell r="B30" t="str">
            <v>K.Hóa</v>
          </cell>
          <cell r="C30">
            <v>80082</v>
          </cell>
        </row>
        <row r="31">
          <cell r="A31">
            <v>29</v>
          </cell>
          <cell r="B31" t="str">
            <v>K.Hóa</v>
          </cell>
          <cell r="C31">
            <v>80125</v>
          </cell>
        </row>
        <row r="32">
          <cell r="A32">
            <v>30</v>
          </cell>
          <cell r="B32" t="str">
            <v>K.Hóa</v>
          </cell>
          <cell r="C32">
            <v>80131</v>
          </cell>
        </row>
        <row r="33">
          <cell r="A33">
            <v>31</v>
          </cell>
          <cell r="B33" t="str">
            <v>K.Hóa</v>
          </cell>
          <cell r="C33">
            <v>80201</v>
          </cell>
        </row>
        <row r="34">
          <cell r="A34">
            <v>32</v>
          </cell>
          <cell r="B34" t="str">
            <v>K.Hóa</v>
          </cell>
          <cell r="C34">
            <v>80201</v>
          </cell>
        </row>
        <row r="35">
          <cell r="A35">
            <v>33</v>
          </cell>
          <cell r="B35" t="str">
            <v>K.Hóa</v>
          </cell>
          <cell r="C35">
            <v>80203</v>
          </cell>
        </row>
        <row r="36">
          <cell r="A36">
            <v>34</v>
          </cell>
          <cell r="B36" t="str">
            <v>K.Hóa</v>
          </cell>
          <cell r="C36">
            <v>80203</v>
          </cell>
        </row>
        <row r="37">
          <cell r="A37">
            <v>35</v>
          </cell>
          <cell r="B37" t="str">
            <v>K.Hóa</v>
          </cell>
          <cell r="C37">
            <v>80265</v>
          </cell>
        </row>
        <row r="38">
          <cell r="A38">
            <v>36</v>
          </cell>
          <cell r="B38" t="str">
            <v>K.Hóa</v>
          </cell>
          <cell r="C38">
            <v>80281</v>
          </cell>
        </row>
        <row r="39">
          <cell r="A39">
            <v>37</v>
          </cell>
          <cell r="B39" t="str">
            <v>K.Hóa</v>
          </cell>
          <cell r="C39">
            <v>80281</v>
          </cell>
        </row>
        <row r="40">
          <cell r="A40">
            <v>38</v>
          </cell>
          <cell r="B40" t="str">
            <v>K.Hóa</v>
          </cell>
          <cell r="C40">
            <v>80418</v>
          </cell>
        </row>
        <row r="41">
          <cell r="A41">
            <v>39</v>
          </cell>
          <cell r="B41" t="str">
            <v>K.Hóa</v>
          </cell>
          <cell r="C41">
            <v>80457</v>
          </cell>
        </row>
        <row r="42">
          <cell r="A42">
            <v>40</v>
          </cell>
          <cell r="B42" t="str">
            <v>K.Hóa</v>
          </cell>
          <cell r="C42">
            <v>80498</v>
          </cell>
        </row>
        <row r="43">
          <cell r="A43">
            <v>41</v>
          </cell>
          <cell r="B43" t="str">
            <v>K.Hóa</v>
          </cell>
          <cell r="C43">
            <v>80511</v>
          </cell>
        </row>
        <row r="44">
          <cell r="A44">
            <v>42</v>
          </cell>
          <cell r="B44" t="str">
            <v>K.Hóa</v>
          </cell>
          <cell r="C44">
            <v>80601</v>
          </cell>
        </row>
        <row r="45">
          <cell r="A45">
            <v>43</v>
          </cell>
          <cell r="B45" t="str">
            <v>K.Hóa</v>
          </cell>
          <cell r="C45">
            <v>80736</v>
          </cell>
        </row>
        <row r="46">
          <cell r="A46">
            <v>44</v>
          </cell>
          <cell r="B46" t="str">
            <v>K.Hóa</v>
          </cell>
          <cell r="C46">
            <v>80736</v>
          </cell>
        </row>
        <row r="47">
          <cell r="A47">
            <v>45</v>
          </cell>
          <cell r="B47" t="str">
            <v>K.Hóa</v>
          </cell>
          <cell r="C47">
            <v>80772</v>
          </cell>
        </row>
        <row r="48">
          <cell r="A48">
            <v>46</v>
          </cell>
          <cell r="B48" t="str">
            <v>K.Hóa</v>
          </cell>
          <cell r="C48">
            <v>80772</v>
          </cell>
        </row>
        <row r="49">
          <cell r="A49">
            <v>47</v>
          </cell>
          <cell r="B49" t="str">
            <v>K.Hóa</v>
          </cell>
          <cell r="C49">
            <v>80781</v>
          </cell>
        </row>
        <row r="50">
          <cell r="A50">
            <v>48</v>
          </cell>
          <cell r="B50" t="str">
            <v>K.Hóa</v>
          </cell>
          <cell r="C50">
            <v>80791</v>
          </cell>
        </row>
        <row r="51">
          <cell r="A51">
            <v>49</v>
          </cell>
          <cell r="B51" t="str">
            <v>K.Hóa</v>
          </cell>
          <cell r="C51">
            <v>81142</v>
          </cell>
        </row>
        <row r="52">
          <cell r="A52">
            <v>50</v>
          </cell>
          <cell r="B52" t="str">
            <v>K.Hóa</v>
          </cell>
          <cell r="C52">
            <v>81142</v>
          </cell>
        </row>
        <row r="53">
          <cell r="A53">
            <v>51</v>
          </cell>
          <cell r="B53" t="str">
            <v>K.Hóa</v>
          </cell>
          <cell r="C53">
            <v>81149</v>
          </cell>
        </row>
        <row r="54">
          <cell r="A54">
            <v>52</v>
          </cell>
          <cell r="B54" t="str">
            <v>K.Hóa</v>
          </cell>
          <cell r="C54">
            <v>81827</v>
          </cell>
        </row>
        <row r="55">
          <cell r="A55">
            <v>53</v>
          </cell>
          <cell r="B55" t="str">
            <v>K.Hóa</v>
          </cell>
          <cell r="C55">
            <v>81827</v>
          </cell>
        </row>
        <row r="56">
          <cell r="A56">
            <v>54</v>
          </cell>
          <cell r="B56" t="str">
            <v>K.Hóa</v>
          </cell>
          <cell r="C56">
            <v>81940</v>
          </cell>
        </row>
        <row r="57">
          <cell r="A57">
            <v>55</v>
          </cell>
          <cell r="B57" t="str">
            <v>K.Hóa</v>
          </cell>
          <cell r="C57">
            <v>82109</v>
          </cell>
        </row>
        <row r="58">
          <cell r="A58">
            <v>56</v>
          </cell>
          <cell r="B58" t="str">
            <v>K.Hóa</v>
          </cell>
          <cell r="C58">
            <v>82109</v>
          </cell>
        </row>
        <row r="59">
          <cell r="A59">
            <v>57</v>
          </cell>
          <cell r="B59" t="str">
            <v>K.Hóa</v>
          </cell>
          <cell r="C59">
            <v>82589</v>
          </cell>
        </row>
        <row r="60">
          <cell r="A60">
            <v>58</v>
          </cell>
          <cell r="B60" t="str">
            <v>K.Hóa</v>
          </cell>
          <cell r="C60">
            <v>80157</v>
          </cell>
        </row>
        <row r="61">
          <cell r="A61">
            <v>59</v>
          </cell>
          <cell r="B61" t="str">
            <v>K.Hóa</v>
          </cell>
          <cell r="C61">
            <v>80578</v>
          </cell>
        </row>
        <row r="62">
          <cell r="A62">
            <v>60</v>
          </cell>
          <cell r="B62" t="str">
            <v>K.Hóa</v>
          </cell>
          <cell r="C62">
            <v>80578</v>
          </cell>
        </row>
        <row r="63">
          <cell r="A63">
            <v>61</v>
          </cell>
          <cell r="B63" t="str">
            <v>K.Hóa</v>
          </cell>
          <cell r="C63">
            <v>82210</v>
          </cell>
        </row>
        <row r="64">
          <cell r="A64">
            <v>62</v>
          </cell>
          <cell r="B64" t="str">
            <v>K.Hóa</v>
          </cell>
          <cell r="C64">
            <v>80007</v>
          </cell>
        </row>
        <row r="65">
          <cell r="A65">
            <v>63</v>
          </cell>
          <cell r="B65" t="str">
            <v>K.Hóa</v>
          </cell>
          <cell r="C65">
            <v>80007</v>
          </cell>
        </row>
        <row r="66">
          <cell r="A66">
            <v>64</v>
          </cell>
          <cell r="B66" t="str">
            <v>K.Hóa</v>
          </cell>
          <cell r="C66">
            <v>80503</v>
          </cell>
        </row>
        <row r="67">
          <cell r="A67">
            <v>65</v>
          </cell>
          <cell r="B67" t="str">
            <v>K.Hóa</v>
          </cell>
          <cell r="C67">
            <v>80503</v>
          </cell>
        </row>
        <row r="68">
          <cell r="A68">
            <v>66</v>
          </cell>
          <cell r="B68" t="str">
            <v>K.Hóa</v>
          </cell>
          <cell r="C68">
            <v>80063</v>
          </cell>
        </row>
        <row r="69">
          <cell r="A69">
            <v>67</v>
          </cell>
          <cell r="B69" t="str">
            <v>K.Hóa</v>
          </cell>
          <cell r="C69">
            <v>81075</v>
          </cell>
        </row>
        <row r="70">
          <cell r="A70">
            <v>68</v>
          </cell>
          <cell r="B70" t="str">
            <v>K.Hóa</v>
          </cell>
          <cell r="C70">
            <v>81083</v>
          </cell>
        </row>
        <row r="71">
          <cell r="A71">
            <v>69</v>
          </cell>
          <cell r="B71" t="str">
            <v>K.Hóa</v>
          </cell>
          <cell r="C71">
            <v>81083</v>
          </cell>
        </row>
        <row r="72">
          <cell r="A72">
            <v>70</v>
          </cell>
          <cell r="B72" t="str">
            <v>K.Hóa</v>
          </cell>
          <cell r="C72">
            <v>81035</v>
          </cell>
        </row>
        <row r="73">
          <cell r="A73">
            <v>71</v>
          </cell>
          <cell r="B73" t="str">
            <v>K.Hóa</v>
          </cell>
          <cell r="C73">
            <v>81035</v>
          </cell>
        </row>
        <row r="74">
          <cell r="A74">
            <v>72</v>
          </cell>
          <cell r="B74" t="str">
            <v>K.Hóa</v>
          </cell>
          <cell r="C74">
            <v>80492</v>
          </cell>
        </row>
        <row r="75">
          <cell r="A75">
            <v>73</v>
          </cell>
          <cell r="B75" t="str">
            <v>K.Hóa</v>
          </cell>
          <cell r="C75">
            <v>80492</v>
          </cell>
        </row>
        <row r="76">
          <cell r="A76">
            <v>74</v>
          </cell>
          <cell r="B76" t="str">
            <v>K.Hoạch</v>
          </cell>
          <cell r="C76">
            <v>80479</v>
          </cell>
        </row>
        <row r="77">
          <cell r="A77">
            <v>75</v>
          </cell>
          <cell r="B77" t="str">
            <v>K.Hoạch</v>
          </cell>
          <cell r="C77">
            <v>80885</v>
          </cell>
        </row>
        <row r="78">
          <cell r="A78">
            <v>76</v>
          </cell>
          <cell r="B78" t="str">
            <v>K.Hoạch</v>
          </cell>
          <cell r="C78">
            <v>80885</v>
          </cell>
        </row>
        <row r="79">
          <cell r="A79">
            <v>77</v>
          </cell>
          <cell r="B79" t="str">
            <v>K.Hoạch</v>
          </cell>
          <cell r="C79">
            <v>81053</v>
          </cell>
        </row>
        <row r="80">
          <cell r="A80">
            <v>78</v>
          </cell>
          <cell r="B80" t="str">
            <v>K.Hoạch</v>
          </cell>
          <cell r="C80">
            <v>81053</v>
          </cell>
        </row>
        <row r="81">
          <cell r="A81">
            <v>79</v>
          </cell>
          <cell r="B81" t="str">
            <v>K.Hoạch</v>
          </cell>
          <cell r="C81">
            <v>81244</v>
          </cell>
        </row>
        <row r="82">
          <cell r="A82">
            <v>80</v>
          </cell>
          <cell r="B82" t="str">
            <v>K.Hoạch</v>
          </cell>
          <cell r="C82">
            <v>81884</v>
          </cell>
        </row>
        <row r="83">
          <cell r="A83">
            <v>81</v>
          </cell>
          <cell r="B83" t="str">
            <v>K.Hoạch</v>
          </cell>
          <cell r="C83">
            <v>82146</v>
          </cell>
        </row>
        <row r="84">
          <cell r="A84">
            <v>82</v>
          </cell>
          <cell r="B84" t="str">
            <v>K.Hoạch</v>
          </cell>
          <cell r="C84">
            <v>82146</v>
          </cell>
        </row>
        <row r="85">
          <cell r="A85">
            <v>83</v>
          </cell>
          <cell r="B85" t="str">
            <v>K.Hoạch</v>
          </cell>
          <cell r="C85">
            <v>81263</v>
          </cell>
        </row>
        <row r="86">
          <cell r="A86">
            <v>84</v>
          </cell>
          <cell r="B86" t="str">
            <v>K.Thuật</v>
          </cell>
          <cell r="C86">
            <v>80045</v>
          </cell>
        </row>
        <row r="87">
          <cell r="A87">
            <v>85</v>
          </cell>
          <cell r="B87" t="str">
            <v>K.Thuật</v>
          </cell>
          <cell r="C87">
            <v>80140</v>
          </cell>
        </row>
        <row r="88">
          <cell r="A88">
            <v>86</v>
          </cell>
          <cell r="B88" t="str">
            <v>K.Thuật</v>
          </cell>
          <cell r="C88">
            <v>80532</v>
          </cell>
        </row>
        <row r="89">
          <cell r="A89">
            <v>87</v>
          </cell>
          <cell r="B89" t="str">
            <v>K.Thuật</v>
          </cell>
          <cell r="C89">
            <v>80551</v>
          </cell>
        </row>
        <row r="90">
          <cell r="A90">
            <v>88</v>
          </cell>
          <cell r="B90" t="str">
            <v>K.Thuật</v>
          </cell>
          <cell r="C90">
            <v>80551</v>
          </cell>
        </row>
        <row r="91">
          <cell r="A91">
            <v>89</v>
          </cell>
          <cell r="B91" t="str">
            <v>K.Thuật</v>
          </cell>
          <cell r="C91">
            <v>80551</v>
          </cell>
        </row>
        <row r="92">
          <cell r="A92">
            <v>90</v>
          </cell>
          <cell r="B92" t="str">
            <v>K.Thuật</v>
          </cell>
          <cell r="C92">
            <v>80894</v>
          </cell>
        </row>
        <row r="93">
          <cell r="A93">
            <v>91</v>
          </cell>
          <cell r="B93" t="str">
            <v>K.Thuật</v>
          </cell>
          <cell r="C93">
            <v>80960</v>
          </cell>
        </row>
        <row r="94">
          <cell r="A94">
            <v>92</v>
          </cell>
          <cell r="B94" t="str">
            <v>K.Thuật</v>
          </cell>
          <cell r="C94">
            <v>81259</v>
          </cell>
        </row>
        <row r="95">
          <cell r="A95">
            <v>93</v>
          </cell>
          <cell r="B95" t="str">
            <v>K.Thuật</v>
          </cell>
          <cell r="C95">
            <v>81276</v>
          </cell>
        </row>
        <row r="96">
          <cell r="A96">
            <v>94</v>
          </cell>
          <cell r="B96" t="str">
            <v>K.Thuật</v>
          </cell>
          <cell r="C96">
            <v>81360</v>
          </cell>
        </row>
        <row r="97">
          <cell r="A97">
            <v>95</v>
          </cell>
          <cell r="B97" t="str">
            <v>K.Thuật</v>
          </cell>
          <cell r="C97">
            <v>81384</v>
          </cell>
        </row>
        <row r="98">
          <cell r="A98">
            <v>96</v>
          </cell>
          <cell r="B98" t="str">
            <v>K.Thuật</v>
          </cell>
          <cell r="C98">
            <v>81700</v>
          </cell>
        </row>
        <row r="99">
          <cell r="A99">
            <v>97</v>
          </cell>
          <cell r="B99" t="str">
            <v>K.Thuật</v>
          </cell>
          <cell r="C99">
            <v>81939</v>
          </cell>
        </row>
        <row r="100">
          <cell r="A100">
            <v>98</v>
          </cell>
          <cell r="B100" t="str">
            <v>K.Thuật</v>
          </cell>
          <cell r="C100">
            <v>80714</v>
          </cell>
        </row>
        <row r="101">
          <cell r="A101">
            <v>99</v>
          </cell>
          <cell r="B101" t="str">
            <v>K.Thuật</v>
          </cell>
          <cell r="C101">
            <v>80714</v>
          </cell>
        </row>
        <row r="102">
          <cell r="A102">
            <v>100</v>
          </cell>
          <cell r="B102" t="str">
            <v>K.Thuật</v>
          </cell>
          <cell r="C102">
            <v>80426</v>
          </cell>
        </row>
        <row r="103">
          <cell r="A103">
            <v>101</v>
          </cell>
          <cell r="B103" t="str">
            <v>K.Thuật</v>
          </cell>
          <cell r="C103">
            <v>82317</v>
          </cell>
        </row>
        <row r="104">
          <cell r="A104">
            <v>102</v>
          </cell>
          <cell r="B104" t="str">
            <v>K.Thuật</v>
          </cell>
          <cell r="C104">
            <v>81753</v>
          </cell>
        </row>
        <row r="105">
          <cell r="A105">
            <v>103</v>
          </cell>
          <cell r="B105" t="str">
            <v>T1</v>
          </cell>
          <cell r="C105">
            <v>80028</v>
          </cell>
        </row>
        <row r="106">
          <cell r="A106">
            <v>104</v>
          </cell>
          <cell r="B106" t="str">
            <v>T1</v>
          </cell>
          <cell r="C106">
            <v>80152</v>
          </cell>
        </row>
        <row r="107">
          <cell r="A107">
            <v>105</v>
          </cell>
          <cell r="B107" t="str">
            <v>T1</v>
          </cell>
          <cell r="C107">
            <v>80165</v>
          </cell>
        </row>
        <row r="108">
          <cell r="A108">
            <v>106</v>
          </cell>
          <cell r="B108" t="str">
            <v>T1</v>
          </cell>
          <cell r="C108">
            <v>80199</v>
          </cell>
        </row>
        <row r="109">
          <cell r="A109">
            <v>107</v>
          </cell>
          <cell r="B109" t="str">
            <v>T1</v>
          </cell>
          <cell r="C109">
            <v>80269</v>
          </cell>
        </row>
        <row r="110">
          <cell r="A110">
            <v>108</v>
          </cell>
          <cell r="B110" t="str">
            <v>T1</v>
          </cell>
          <cell r="C110">
            <v>81002</v>
          </cell>
        </row>
        <row r="111">
          <cell r="A111">
            <v>109</v>
          </cell>
          <cell r="B111" t="str">
            <v>T1</v>
          </cell>
          <cell r="C111">
            <v>81087</v>
          </cell>
        </row>
        <row r="112">
          <cell r="A112">
            <v>110</v>
          </cell>
          <cell r="B112" t="str">
            <v>T1</v>
          </cell>
          <cell r="C112">
            <v>81087</v>
          </cell>
        </row>
        <row r="113">
          <cell r="A113">
            <v>111</v>
          </cell>
          <cell r="B113" t="str">
            <v>T1</v>
          </cell>
          <cell r="C113">
            <v>81100</v>
          </cell>
        </row>
        <row r="114">
          <cell r="A114">
            <v>112</v>
          </cell>
          <cell r="B114" t="str">
            <v>T1</v>
          </cell>
          <cell r="C114">
            <v>81288</v>
          </cell>
        </row>
        <row r="115">
          <cell r="A115">
            <v>113</v>
          </cell>
          <cell r="B115" t="str">
            <v>T1</v>
          </cell>
          <cell r="C115">
            <v>81428</v>
          </cell>
        </row>
        <row r="116">
          <cell r="A116">
            <v>114</v>
          </cell>
          <cell r="B116" t="str">
            <v>T1</v>
          </cell>
          <cell r="C116">
            <v>81428</v>
          </cell>
        </row>
        <row r="117">
          <cell r="A117">
            <v>115</v>
          </cell>
          <cell r="B117" t="str">
            <v>T1</v>
          </cell>
          <cell r="C117">
            <v>81614</v>
          </cell>
        </row>
        <row r="118">
          <cell r="A118">
            <v>116</v>
          </cell>
          <cell r="B118" t="str">
            <v>T1</v>
          </cell>
          <cell r="C118">
            <v>81614</v>
          </cell>
        </row>
        <row r="119">
          <cell r="A119">
            <v>117</v>
          </cell>
          <cell r="B119" t="str">
            <v>T1</v>
          </cell>
          <cell r="C119">
            <v>81770</v>
          </cell>
        </row>
        <row r="120">
          <cell r="A120">
            <v>118</v>
          </cell>
          <cell r="B120" t="str">
            <v>T1</v>
          </cell>
          <cell r="C120">
            <v>82539</v>
          </cell>
        </row>
        <row r="121">
          <cell r="A121">
            <v>119</v>
          </cell>
          <cell r="B121" t="str">
            <v>T1</v>
          </cell>
          <cell r="C121">
            <v>82588</v>
          </cell>
        </row>
        <row r="122">
          <cell r="A122">
            <v>120</v>
          </cell>
          <cell r="B122" t="str">
            <v>T1</v>
          </cell>
          <cell r="C122">
            <v>82732</v>
          </cell>
        </row>
        <row r="123">
          <cell r="A123">
            <v>121</v>
          </cell>
          <cell r="B123" t="str">
            <v>T1</v>
          </cell>
          <cell r="C123">
            <v>82738</v>
          </cell>
        </row>
        <row r="124">
          <cell r="A124">
            <v>122</v>
          </cell>
          <cell r="B124" t="str">
            <v>T1</v>
          </cell>
          <cell r="C124">
            <v>82229</v>
          </cell>
        </row>
        <row r="125">
          <cell r="A125">
            <v>123</v>
          </cell>
          <cell r="B125" t="str">
            <v>T1</v>
          </cell>
          <cell r="C125">
            <v>83022</v>
          </cell>
        </row>
        <row r="126">
          <cell r="A126">
            <v>124</v>
          </cell>
          <cell r="B126" t="str">
            <v>T1</v>
          </cell>
          <cell r="C126">
            <v>80128</v>
          </cell>
        </row>
        <row r="127">
          <cell r="A127">
            <v>125</v>
          </cell>
          <cell r="B127" t="str">
            <v>T1</v>
          </cell>
          <cell r="C127">
            <v>80128</v>
          </cell>
        </row>
        <row r="128">
          <cell r="A128">
            <v>126</v>
          </cell>
          <cell r="B128" t="str">
            <v>T1</v>
          </cell>
          <cell r="C128">
            <v>80153</v>
          </cell>
        </row>
        <row r="129">
          <cell r="A129">
            <v>127</v>
          </cell>
          <cell r="B129" t="str">
            <v>T1</v>
          </cell>
          <cell r="C129">
            <v>80153</v>
          </cell>
        </row>
        <row r="130">
          <cell r="A130">
            <v>128</v>
          </cell>
          <cell r="B130" t="str">
            <v>T1</v>
          </cell>
          <cell r="C130">
            <v>81281</v>
          </cell>
        </row>
        <row r="131">
          <cell r="A131">
            <v>129</v>
          </cell>
          <cell r="B131" t="str">
            <v>T1</v>
          </cell>
          <cell r="C131">
            <v>81281</v>
          </cell>
        </row>
        <row r="132">
          <cell r="A132">
            <v>130</v>
          </cell>
          <cell r="B132" t="str">
            <v>T1</v>
          </cell>
          <cell r="C132">
            <v>83339</v>
          </cell>
        </row>
        <row r="133">
          <cell r="A133">
            <v>131</v>
          </cell>
          <cell r="B133" t="str">
            <v>T10</v>
          </cell>
          <cell r="C133">
            <v>80644</v>
          </cell>
        </row>
        <row r="134">
          <cell r="A134">
            <v>132</v>
          </cell>
          <cell r="B134" t="str">
            <v>T10</v>
          </cell>
          <cell r="C134">
            <v>80652</v>
          </cell>
        </row>
        <row r="135">
          <cell r="A135">
            <v>133</v>
          </cell>
          <cell r="B135" t="str">
            <v>T10</v>
          </cell>
          <cell r="C135">
            <v>80652</v>
          </cell>
        </row>
        <row r="136">
          <cell r="A136">
            <v>134</v>
          </cell>
          <cell r="B136" t="str">
            <v>T10</v>
          </cell>
          <cell r="C136">
            <v>80663</v>
          </cell>
        </row>
        <row r="137">
          <cell r="A137">
            <v>135</v>
          </cell>
          <cell r="B137" t="str">
            <v>T10</v>
          </cell>
          <cell r="C137">
            <v>80663</v>
          </cell>
        </row>
        <row r="138">
          <cell r="A138">
            <v>136</v>
          </cell>
          <cell r="B138" t="str">
            <v>T10</v>
          </cell>
          <cell r="C138">
            <v>80677</v>
          </cell>
        </row>
        <row r="139">
          <cell r="A139">
            <v>137</v>
          </cell>
          <cell r="B139" t="str">
            <v>T10</v>
          </cell>
          <cell r="C139">
            <v>80677</v>
          </cell>
        </row>
        <row r="140">
          <cell r="A140">
            <v>138</v>
          </cell>
          <cell r="B140" t="str">
            <v>T10</v>
          </cell>
          <cell r="C140">
            <v>80678</v>
          </cell>
        </row>
        <row r="141">
          <cell r="A141">
            <v>139</v>
          </cell>
          <cell r="B141" t="str">
            <v>T10</v>
          </cell>
          <cell r="C141">
            <v>80678</v>
          </cell>
        </row>
        <row r="142">
          <cell r="A142">
            <v>140</v>
          </cell>
          <cell r="B142" t="str">
            <v>T10</v>
          </cell>
          <cell r="C142">
            <v>81146</v>
          </cell>
        </row>
        <row r="143">
          <cell r="A143">
            <v>141</v>
          </cell>
          <cell r="B143" t="str">
            <v>T10</v>
          </cell>
          <cell r="C143">
            <v>81172</v>
          </cell>
        </row>
        <row r="144">
          <cell r="A144">
            <v>142</v>
          </cell>
          <cell r="B144" t="str">
            <v>T10</v>
          </cell>
          <cell r="C144">
            <v>81172</v>
          </cell>
        </row>
        <row r="145">
          <cell r="A145">
            <v>143</v>
          </cell>
          <cell r="B145" t="str">
            <v>T10</v>
          </cell>
          <cell r="C145">
            <v>81251</v>
          </cell>
        </row>
        <row r="146">
          <cell r="A146">
            <v>144</v>
          </cell>
          <cell r="B146" t="str">
            <v>T10</v>
          </cell>
          <cell r="C146">
            <v>81337</v>
          </cell>
        </row>
        <row r="147">
          <cell r="A147">
            <v>145</v>
          </cell>
          <cell r="B147" t="str">
            <v>T10</v>
          </cell>
          <cell r="C147">
            <v>81337</v>
          </cell>
        </row>
        <row r="148">
          <cell r="A148">
            <v>146</v>
          </cell>
          <cell r="B148" t="str">
            <v>T10</v>
          </cell>
          <cell r="C148">
            <v>81685</v>
          </cell>
        </row>
        <row r="149">
          <cell r="A149">
            <v>147</v>
          </cell>
          <cell r="B149" t="str">
            <v>T10</v>
          </cell>
          <cell r="C149">
            <v>82055</v>
          </cell>
        </row>
        <row r="150">
          <cell r="A150">
            <v>148</v>
          </cell>
          <cell r="B150" t="str">
            <v>T10</v>
          </cell>
          <cell r="C150">
            <v>82091</v>
          </cell>
        </row>
        <row r="151">
          <cell r="A151">
            <v>149</v>
          </cell>
          <cell r="B151" t="str">
            <v>T10</v>
          </cell>
          <cell r="C151">
            <v>82427</v>
          </cell>
        </row>
        <row r="152">
          <cell r="A152">
            <v>150</v>
          </cell>
          <cell r="B152" t="str">
            <v>T10</v>
          </cell>
          <cell r="C152">
            <v>82456</v>
          </cell>
        </row>
        <row r="153">
          <cell r="A153">
            <v>151</v>
          </cell>
          <cell r="B153" t="str">
            <v>T10</v>
          </cell>
          <cell r="C153">
            <v>82456</v>
          </cell>
        </row>
        <row r="154">
          <cell r="A154">
            <v>152</v>
          </cell>
          <cell r="B154" t="str">
            <v>T10</v>
          </cell>
          <cell r="C154">
            <v>82621</v>
          </cell>
        </row>
        <row r="155">
          <cell r="A155">
            <v>153</v>
          </cell>
          <cell r="B155" t="str">
            <v>T10</v>
          </cell>
          <cell r="C155">
            <v>82895</v>
          </cell>
        </row>
        <row r="156">
          <cell r="A156">
            <v>154</v>
          </cell>
          <cell r="B156" t="str">
            <v>T10</v>
          </cell>
          <cell r="C156">
            <v>82092</v>
          </cell>
        </row>
        <row r="157">
          <cell r="A157">
            <v>155</v>
          </cell>
          <cell r="B157" t="str">
            <v>T10</v>
          </cell>
          <cell r="C157">
            <v>82898</v>
          </cell>
        </row>
        <row r="158">
          <cell r="A158">
            <v>156</v>
          </cell>
          <cell r="B158" t="str">
            <v>T10</v>
          </cell>
          <cell r="C158">
            <v>83129</v>
          </cell>
        </row>
        <row r="159">
          <cell r="A159">
            <v>157</v>
          </cell>
          <cell r="B159" t="str">
            <v>T10</v>
          </cell>
          <cell r="C159">
            <v>80764</v>
          </cell>
        </row>
        <row r="160">
          <cell r="A160">
            <v>158</v>
          </cell>
          <cell r="B160" t="str">
            <v>T10</v>
          </cell>
          <cell r="C160">
            <v>80764</v>
          </cell>
        </row>
        <row r="161">
          <cell r="A161">
            <v>159</v>
          </cell>
          <cell r="B161" t="str">
            <v>T10</v>
          </cell>
          <cell r="C161">
            <v>82401</v>
          </cell>
        </row>
        <row r="162">
          <cell r="A162">
            <v>160</v>
          </cell>
          <cell r="B162" t="str">
            <v>T10</v>
          </cell>
          <cell r="C162">
            <v>82401</v>
          </cell>
        </row>
        <row r="163">
          <cell r="A163">
            <v>161</v>
          </cell>
          <cell r="B163" t="str">
            <v>T10</v>
          </cell>
          <cell r="C163">
            <v>80645</v>
          </cell>
        </row>
        <row r="164">
          <cell r="A164">
            <v>162</v>
          </cell>
          <cell r="B164" t="str">
            <v>T10</v>
          </cell>
          <cell r="C164">
            <v>80645</v>
          </cell>
        </row>
        <row r="165">
          <cell r="A165">
            <v>163</v>
          </cell>
          <cell r="B165" t="str">
            <v>T10</v>
          </cell>
          <cell r="C165">
            <v>80660</v>
          </cell>
        </row>
        <row r="166">
          <cell r="A166">
            <v>164</v>
          </cell>
          <cell r="B166" t="str">
            <v>T10</v>
          </cell>
          <cell r="C166">
            <v>80660</v>
          </cell>
        </row>
        <row r="167">
          <cell r="A167">
            <v>165</v>
          </cell>
          <cell r="B167" t="str">
            <v>T10</v>
          </cell>
          <cell r="C167">
            <v>83242</v>
          </cell>
        </row>
        <row r="168">
          <cell r="A168">
            <v>166</v>
          </cell>
          <cell r="B168" t="str">
            <v>T10</v>
          </cell>
          <cell r="C168">
            <v>83242</v>
          </cell>
        </row>
        <row r="169">
          <cell r="A169">
            <v>167</v>
          </cell>
          <cell r="B169" t="str">
            <v>T10</v>
          </cell>
          <cell r="C169">
            <v>83186</v>
          </cell>
        </row>
        <row r="170">
          <cell r="A170">
            <v>168</v>
          </cell>
          <cell r="B170" t="str">
            <v>T10</v>
          </cell>
          <cell r="C170">
            <v>83186</v>
          </cell>
        </row>
        <row r="171">
          <cell r="A171">
            <v>169</v>
          </cell>
          <cell r="B171" t="str">
            <v>T10</v>
          </cell>
          <cell r="C171">
            <v>80757</v>
          </cell>
        </row>
        <row r="172">
          <cell r="A172">
            <v>170</v>
          </cell>
          <cell r="B172" t="str">
            <v>T10</v>
          </cell>
          <cell r="C172">
            <v>83136</v>
          </cell>
        </row>
        <row r="173">
          <cell r="A173">
            <v>171</v>
          </cell>
          <cell r="B173" t="str">
            <v>T10</v>
          </cell>
          <cell r="C173">
            <v>83180</v>
          </cell>
        </row>
        <row r="174">
          <cell r="A174">
            <v>172</v>
          </cell>
          <cell r="B174" t="str">
            <v>T11</v>
          </cell>
          <cell r="C174">
            <v>80136</v>
          </cell>
        </row>
        <row r="175">
          <cell r="A175">
            <v>173</v>
          </cell>
          <cell r="B175" t="str">
            <v>T11</v>
          </cell>
          <cell r="C175">
            <v>81383</v>
          </cell>
        </row>
        <row r="176">
          <cell r="A176">
            <v>174</v>
          </cell>
          <cell r="B176" t="str">
            <v>T11</v>
          </cell>
          <cell r="C176">
            <v>81444</v>
          </cell>
        </row>
        <row r="177">
          <cell r="A177">
            <v>175</v>
          </cell>
          <cell r="B177" t="str">
            <v>T11</v>
          </cell>
          <cell r="C177">
            <v>81447</v>
          </cell>
        </row>
        <row r="178">
          <cell r="A178">
            <v>176</v>
          </cell>
          <cell r="B178" t="str">
            <v>T11</v>
          </cell>
          <cell r="C178">
            <v>81456</v>
          </cell>
        </row>
        <row r="179">
          <cell r="A179">
            <v>177</v>
          </cell>
          <cell r="B179" t="str">
            <v>T11</v>
          </cell>
          <cell r="C179">
            <v>81485</v>
          </cell>
        </row>
        <row r="180">
          <cell r="A180">
            <v>178</v>
          </cell>
          <cell r="B180" t="str">
            <v>T11</v>
          </cell>
          <cell r="C180">
            <v>81485</v>
          </cell>
        </row>
        <row r="181">
          <cell r="A181">
            <v>179</v>
          </cell>
          <cell r="B181" t="str">
            <v>T11</v>
          </cell>
          <cell r="C181">
            <v>81493</v>
          </cell>
        </row>
        <row r="182">
          <cell r="A182">
            <v>180</v>
          </cell>
          <cell r="B182" t="str">
            <v>T11</v>
          </cell>
          <cell r="C182">
            <v>81526</v>
          </cell>
        </row>
        <row r="183">
          <cell r="A183">
            <v>181</v>
          </cell>
          <cell r="B183" t="str">
            <v>T11</v>
          </cell>
          <cell r="C183">
            <v>81624</v>
          </cell>
        </row>
        <row r="184">
          <cell r="A184">
            <v>182</v>
          </cell>
          <cell r="B184" t="str">
            <v>T11</v>
          </cell>
          <cell r="C184">
            <v>81947</v>
          </cell>
        </row>
        <row r="185">
          <cell r="A185">
            <v>183</v>
          </cell>
          <cell r="B185" t="str">
            <v>T11</v>
          </cell>
          <cell r="C185">
            <v>82118</v>
          </cell>
        </row>
        <row r="186">
          <cell r="A186">
            <v>184</v>
          </cell>
          <cell r="B186" t="str">
            <v>T11</v>
          </cell>
          <cell r="C186">
            <v>82282</v>
          </cell>
        </row>
        <row r="187">
          <cell r="A187">
            <v>185</v>
          </cell>
          <cell r="B187" t="str">
            <v>T11</v>
          </cell>
          <cell r="C187">
            <v>82384</v>
          </cell>
        </row>
        <row r="188">
          <cell r="A188">
            <v>186</v>
          </cell>
          <cell r="B188" t="str">
            <v>T11</v>
          </cell>
          <cell r="C188">
            <v>82457</v>
          </cell>
        </row>
        <row r="189">
          <cell r="A189">
            <v>187</v>
          </cell>
          <cell r="B189" t="str">
            <v>T11</v>
          </cell>
          <cell r="C189">
            <v>82473</v>
          </cell>
        </row>
        <row r="190">
          <cell r="A190">
            <v>188</v>
          </cell>
          <cell r="B190" t="str">
            <v>T11</v>
          </cell>
          <cell r="C190">
            <v>82556</v>
          </cell>
        </row>
        <row r="191">
          <cell r="A191">
            <v>189</v>
          </cell>
          <cell r="B191" t="str">
            <v>T11</v>
          </cell>
          <cell r="C191">
            <v>82559</v>
          </cell>
        </row>
        <row r="192">
          <cell r="A192">
            <v>190</v>
          </cell>
          <cell r="B192" t="str">
            <v>T11</v>
          </cell>
          <cell r="C192">
            <v>82610</v>
          </cell>
        </row>
        <row r="193">
          <cell r="A193">
            <v>191</v>
          </cell>
          <cell r="B193" t="str">
            <v>T11</v>
          </cell>
          <cell r="C193">
            <v>82887</v>
          </cell>
        </row>
        <row r="194">
          <cell r="A194">
            <v>192</v>
          </cell>
          <cell r="B194" t="str">
            <v>T11</v>
          </cell>
          <cell r="C194">
            <v>82878</v>
          </cell>
        </row>
        <row r="195">
          <cell r="A195">
            <v>193</v>
          </cell>
          <cell r="B195" t="str">
            <v>T11</v>
          </cell>
          <cell r="C195">
            <v>82878</v>
          </cell>
        </row>
        <row r="196">
          <cell r="A196">
            <v>194</v>
          </cell>
          <cell r="B196" t="str">
            <v>T11</v>
          </cell>
          <cell r="C196">
            <v>81487</v>
          </cell>
        </row>
        <row r="197">
          <cell r="A197">
            <v>195</v>
          </cell>
          <cell r="B197" t="str">
            <v>T11</v>
          </cell>
          <cell r="C197">
            <v>83101</v>
          </cell>
        </row>
        <row r="198">
          <cell r="A198">
            <v>196</v>
          </cell>
          <cell r="B198" t="str">
            <v>T11</v>
          </cell>
          <cell r="C198">
            <v>83102</v>
          </cell>
        </row>
        <row r="199">
          <cell r="A199">
            <v>197</v>
          </cell>
          <cell r="B199" t="str">
            <v>T11</v>
          </cell>
          <cell r="C199">
            <v>83182</v>
          </cell>
        </row>
        <row r="200">
          <cell r="A200">
            <v>198</v>
          </cell>
          <cell r="B200" t="str">
            <v>T11</v>
          </cell>
          <cell r="C200">
            <v>83182</v>
          </cell>
        </row>
        <row r="201">
          <cell r="A201">
            <v>199</v>
          </cell>
          <cell r="B201" t="str">
            <v>T11</v>
          </cell>
          <cell r="C201">
            <v>83179</v>
          </cell>
        </row>
        <row r="202">
          <cell r="A202">
            <v>200</v>
          </cell>
          <cell r="B202" t="str">
            <v>T11</v>
          </cell>
          <cell r="C202">
            <v>83179</v>
          </cell>
        </row>
        <row r="203">
          <cell r="A203">
            <v>201</v>
          </cell>
          <cell r="B203" t="str">
            <v>T11</v>
          </cell>
          <cell r="C203">
            <v>83230</v>
          </cell>
        </row>
        <row r="204">
          <cell r="A204">
            <v>202</v>
          </cell>
          <cell r="B204" t="str">
            <v>T11</v>
          </cell>
          <cell r="C204">
            <v>83145</v>
          </cell>
        </row>
        <row r="205">
          <cell r="A205">
            <v>203</v>
          </cell>
          <cell r="B205" t="str">
            <v>T11</v>
          </cell>
          <cell r="C205">
            <v>81435</v>
          </cell>
        </row>
        <row r="206">
          <cell r="A206">
            <v>204</v>
          </cell>
          <cell r="B206" t="str">
            <v>T11</v>
          </cell>
          <cell r="C206">
            <v>81435</v>
          </cell>
        </row>
        <row r="207">
          <cell r="A207">
            <v>205</v>
          </cell>
          <cell r="B207" t="str">
            <v>T11</v>
          </cell>
          <cell r="C207">
            <v>83401</v>
          </cell>
        </row>
        <row r="208">
          <cell r="A208">
            <v>206</v>
          </cell>
          <cell r="B208" t="str">
            <v>T11</v>
          </cell>
          <cell r="C208">
            <v>83401</v>
          </cell>
        </row>
        <row r="209">
          <cell r="A209">
            <v>207</v>
          </cell>
          <cell r="B209" t="str">
            <v>T12</v>
          </cell>
          <cell r="C209">
            <v>81393</v>
          </cell>
        </row>
        <row r="210">
          <cell r="A210">
            <v>208</v>
          </cell>
          <cell r="B210" t="str">
            <v>T12</v>
          </cell>
          <cell r="C210">
            <v>81393</v>
          </cell>
        </row>
        <row r="211">
          <cell r="A211">
            <v>209</v>
          </cell>
          <cell r="B211" t="str">
            <v>T12</v>
          </cell>
          <cell r="C211">
            <v>81439</v>
          </cell>
        </row>
        <row r="212">
          <cell r="A212">
            <v>210</v>
          </cell>
          <cell r="B212" t="str">
            <v>T12</v>
          </cell>
          <cell r="C212">
            <v>81442</v>
          </cell>
        </row>
        <row r="213">
          <cell r="A213">
            <v>211</v>
          </cell>
          <cell r="B213" t="str">
            <v>T12</v>
          </cell>
          <cell r="C213">
            <v>81452</v>
          </cell>
        </row>
        <row r="214">
          <cell r="A214">
            <v>212</v>
          </cell>
          <cell r="B214" t="str">
            <v>T12</v>
          </cell>
          <cell r="C214">
            <v>81510</v>
          </cell>
        </row>
        <row r="215">
          <cell r="A215">
            <v>213</v>
          </cell>
          <cell r="B215" t="str">
            <v>T12</v>
          </cell>
          <cell r="C215">
            <v>81522</v>
          </cell>
        </row>
        <row r="216">
          <cell r="A216">
            <v>214</v>
          </cell>
          <cell r="B216" t="str">
            <v>T12</v>
          </cell>
          <cell r="C216">
            <v>81529</v>
          </cell>
        </row>
        <row r="217">
          <cell r="A217">
            <v>215</v>
          </cell>
          <cell r="B217" t="str">
            <v>T12</v>
          </cell>
          <cell r="C217">
            <v>81541</v>
          </cell>
        </row>
        <row r="218">
          <cell r="A218">
            <v>216</v>
          </cell>
          <cell r="B218" t="str">
            <v>T12</v>
          </cell>
          <cell r="C218">
            <v>81541</v>
          </cell>
        </row>
        <row r="219">
          <cell r="A219">
            <v>217</v>
          </cell>
          <cell r="B219" t="str">
            <v>T12</v>
          </cell>
          <cell r="C219">
            <v>81651</v>
          </cell>
        </row>
        <row r="220">
          <cell r="A220">
            <v>218</v>
          </cell>
          <cell r="B220" t="str">
            <v>T12</v>
          </cell>
          <cell r="C220">
            <v>81972</v>
          </cell>
        </row>
        <row r="221">
          <cell r="A221">
            <v>219</v>
          </cell>
          <cell r="B221" t="str">
            <v>T12</v>
          </cell>
          <cell r="C221">
            <v>82040</v>
          </cell>
        </row>
        <row r="222">
          <cell r="A222">
            <v>220</v>
          </cell>
          <cell r="B222" t="str">
            <v>T12</v>
          </cell>
          <cell r="C222">
            <v>82040</v>
          </cell>
        </row>
        <row r="223">
          <cell r="A223">
            <v>221</v>
          </cell>
          <cell r="B223" t="str">
            <v>T12</v>
          </cell>
          <cell r="C223">
            <v>82051</v>
          </cell>
        </row>
        <row r="224">
          <cell r="A224">
            <v>222</v>
          </cell>
          <cell r="B224" t="str">
            <v>T12</v>
          </cell>
          <cell r="C224">
            <v>82102</v>
          </cell>
        </row>
        <row r="225">
          <cell r="A225">
            <v>223</v>
          </cell>
          <cell r="B225" t="str">
            <v>T12</v>
          </cell>
          <cell r="C225">
            <v>82110</v>
          </cell>
        </row>
        <row r="226">
          <cell r="A226">
            <v>224</v>
          </cell>
          <cell r="B226" t="str">
            <v>T12</v>
          </cell>
          <cell r="C226">
            <v>82127</v>
          </cell>
        </row>
        <row r="227">
          <cell r="A227">
            <v>225</v>
          </cell>
          <cell r="B227" t="str">
            <v>T12</v>
          </cell>
          <cell r="C227">
            <v>82197</v>
          </cell>
        </row>
        <row r="228">
          <cell r="A228">
            <v>226</v>
          </cell>
          <cell r="B228" t="str">
            <v>T12</v>
          </cell>
          <cell r="C228">
            <v>82246</v>
          </cell>
        </row>
        <row r="229">
          <cell r="A229">
            <v>227</v>
          </cell>
          <cell r="B229" t="str">
            <v>T12</v>
          </cell>
          <cell r="C229">
            <v>82246</v>
          </cell>
        </row>
        <row r="230">
          <cell r="A230">
            <v>228</v>
          </cell>
          <cell r="B230" t="str">
            <v>T12</v>
          </cell>
          <cell r="C230">
            <v>82340</v>
          </cell>
        </row>
        <row r="231">
          <cell r="A231">
            <v>229</v>
          </cell>
          <cell r="B231" t="str">
            <v>T12</v>
          </cell>
          <cell r="C231">
            <v>82340</v>
          </cell>
        </row>
        <row r="232">
          <cell r="A232">
            <v>230</v>
          </cell>
          <cell r="B232" t="str">
            <v>T12</v>
          </cell>
          <cell r="C232">
            <v>80834</v>
          </cell>
        </row>
        <row r="233">
          <cell r="A233">
            <v>231</v>
          </cell>
          <cell r="B233" t="str">
            <v>T12</v>
          </cell>
          <cell r="C233">
            <v>81495</v>
          </cell>
        </row>
        <row r="234">
          <cell r="A234">
            <v>232</v>
          </cell>
          <cell r="B234" t="str">
            <v>T12</v>
          </cell>
          <cell r="C234">
            <v>82608</v>
          </cell>
        </row>
        <row r="235">
          <cell r="A235">
            <v>233</v>
          </cell>
          <cell r="B235" t="str">
            <v>T12</v>
          </cell>
          <cell r="C235">
            <v>83194</v>
          </cell>
        </row>
        <row r="236">
          <cell r="A236">
            <v>234</v>
          </cell>
          <cell r="B236" t="str">
            <v>T12</v>
          </cell>
          <cell r="C236">
            <v>83413</v>
          </cell>
        </row>
        <row r="237">
          <cell r="A237">
            <v>235</v>
          </cell>
          <cell r="B237" t="str">
            <v>T12</v>
          </cell>
          <cell r="C237">
            <v>82117</v>
          </cell>
        </row>
        <row r="238">
          <cell r="A238">
            <v>236</v>
          </cell>
          <cell r="B238" t="str">
            <v>T12</v>
          </cell>
          <cell r="C238">
            <v>81528</v>
          </cell>
        </row>
        <row r="239">
          <cell r="A239">
            <v>237</v>
          </cell>
          <cell r="B239" t="str">
            <v>T13</v>
          </cell>
          <cell r="C239">
            <v>80765</v>
          </cell>
        </row>
        <row r="240">
          <cell r="A240">
            <v>238</v>
          </cell>
          <cell r="B240" t="str">
            <v>T13</v>
          </cell>
          <cell r="C240">
            <v>81045</v>
          </cell>
        </row>
        <row r="241">
          <cell r="A241">
            <v>239</v>
          </cell>
          <cell r="B241" t="str">
            <v>T13</v>
          </cell>
          <cell r="C241">
            <v>81045</v>
          </cell>
        </row>
        <row r="242">
          <cell r="A242">
            <v>240</v>
          </cell>
          <cell r="B242" t="str">
            <v>T13</v>
          </cell>
          <cell r="C242">
            <v>81756</v>
          </cell>
        </row>
        <row r="243">
          <cell r="A243">
            <v>241</v>
          </cell>
          <cell r="B243" t="str">
            <v>T13</v>
          </cell>
          <cell r="C243">
            <v>81778</v>
          </cell>
        </row>
        <row r="244">
          <cell r="A244">
            <v>242</v>
          </cell>
          <cell r="B244" t="str">
            <v>T13</v>
          </cell>
          <cell r="C244">
            <v>81782</v>
          </cell>
        </row>
        <row r="245">
          <cell r="A245">
            <v>243</v>
          </cell>
          <cell r="B245" t="str">
            <v>T13</v>
          </cell>
          <cell r="C245">
            <v>81785</v>
          </cell>
        </row>
        <row r="246">
          <cell r="A246">
            <v>244</v>
          </cell>
          <cell r="B246" t="str">
            <v>T13</v>
          </cell>
          <cell r="C246">
            <v>81807</v>
          </cell>
        </row>
        <row r="247">
          <cell r="A247">
            <v>245</v>
          </cell>
          <cell r="B247" t="str">
            <v>T13</v>
          </cell>
          <cell r="C247">
            <v>81807</v>
          </cell>
        </row>
        <row r="248">
          <cell r="A248">
            <v>246</v>
          </cell>
          <cell r="B248" t="str">
            <v>T13</v>
          </cell>
          <cell r="C248">
            <v>81825</v>
          </cell>
        </row>
        <row r="249">
          <cell r="A249">
            <v>247</v>
          </cell>
          <cell r="B249" t="str">
            <v>T13</v>
          </cell>
          <cell r="C249">
            <v>81826</v>
          </cell>
        </row>
        <row r="250">
          <cell r="A250">
            <v>248</v>
          </cell>
          <cell r="B250" t="str">
            <v>T13</v>
          </cell>
          <cell r="C250">
            <v>81829</v>
          </cell>
        </row>
        <row r="251">
          <cell r="A251">
            <v>249</v>
          </cell>
          <cell r="B251" t="str">
            <v>T13</v>
          </cell>
          <cell r="C251">
            <v>81829</v>
          </cell>
        </row>
        <row r="252">
          <cell r="A252">
            <v>250</v>
          </cell>
          <cell r="B252" t="str">
            <v>T13</v>
          </cell>
          <cell r="C252">
            <v>81891</v>
          </cell>
        </row>
        <row r="253">
          <cell r="A253">
            <v>251</v>
          </cell>
          <cell r="B253" t="str">
            <v>T13</v>
          </cell>
          <cell r="C253">
            <v>81891</v>
          </cell>
        </row>
        <row r="254">
          <cell r="A254">
            <v>252</v>
          </cell>
          <cell r="B254" t="str">
            <v>T13</v>
          </cell>
          <cell r="C254">
            <v>82112</v>
          </cell>
        </row>
        <row r="255">
          <cell r="A255">
            <v>253</v>
          </cell>
          <cell r="B255" t="str">
            <v>T13</v>
          </cell>
          <cell r="C255">
            <v>82147</v>
          </cell>
        </row>
        <row r="256">
          <cell r="A256">
            <v>254</v>
          </cell>
          <cell r="B256" t="str">
            <v>T13</v>
          </cell>
          <cell r="C256">
            <v>82175</v>
          </cell>
        </row>
        <row r="257">
          <cell r="A257">
            <v>255</v>
          </cell>
          <cell r="B257" t="str">
            <v>T13</v>
          </cell>
          <cell r="C257">
            <v>82203</v>
          </cell>
        </row>
        <row r="258">
          <cell r="A258">
            <v>256</v>
          </cell>
          <cell r="B258" t="str">
            <v>T13</v>
          </cell>
          <cell r="C258">
            <v>82208</v>
          </cell>
        </row>
        <row r="259">
          <cell r="A259">
            <v>257</v>
          </cell>
          <cell r="B259" t="str">
            <v>T13</v>
          </cell>
          <cell r="C259">
            <v>82395</v>
          </cell>
        </row>
        <row r="260">
          <cell r="A260">
            <v>258</v>
          </cell>
          <cell r="B260" t="str">
            <v>T13</v>
          </cell>
          <cell r="C260">
            <v>82606</v>
          </cell>
        </row>
        <row r="261">
          <cell r="A261">
            <v>259</v>
          </cell>
          <cell r="B261" t="str">
            <v>T13</v>
          </cell>
          <cell r="C261">
            <v>82622</v>
          </cell>
        </row>
        <row r="262">
          <cell r="A262">
            <v>260</v>
          </cell>
          <cell r="B262" t="str">
            <v>T13</v>
          </cell>
          <cell r="C262">
            <v>82103</v>
          </cell>
        </row>
        <row r="263">
          <cell r="A263">
            <v>261</v>
          </cell>
          <cell r="B263" t="str">
            <v>T13</v>
          </cell>
          <cell r="C263">
            <v>82103</v>
          </cell>
        </row>
        <row r="264">
          <cell r="A264">
            <v>262</v>
          </cell>
          <cell r="B264" t="str">
            <v>T13</v>
          </cell>
          <cell r="C264">
            <v>82434</v>
          </cell>
        </row>
        <row r="265">
          <cell r="A265">
            <v>263</v>
          </cell>
          <cell r="B265" t="str">
            <v>T13</v>
          </cell>
          <cell r="C265">
            <v>82107</v>
          </cell>
        </row>
        <row r="266">
          <cell r="A266">
            <v>264</v>
          </cell>
          <cell r="B266" t="str">
            <v>T14</v>
          </cell>
          <cell r="C266">
            <v>80468</v>
          </cell>
        </row>
        <row r="267">
          <cell r="A267">
            <v>265</v>
          </cell>
          <cell r="B267" t="str">
            <v>T14</v>
          </cell>
          <cell r="C267">
            <v>81412</v>
          </cell>
        </row>
        <row r="268">
          <cell r="A268">
            <v>266</v>
          </cell>
          <cell r="B268" t="str">
            <v>T14</v>
          </cell>
          <cell r="C268">
            <v>81705</v>
          </cell>
        </row>
        <row r="269">
          <cell r="A269">
            <v>267</v>
          </cell>
          <cell r="B269" t="str">
            <v>T14</v>
          </cell>
          <cell r="C269">
            <v>81892</v>
          </cell>
        </row>
        <row r="270">
          <cell r="A270">
            <v>268</v>
          </cell>
          <cell r="B270" t="str">
            <v>T14</v>
          </cell>
          <cell r="C270">
            <v>81892</v>
          </cell>
        </row>
        <row r="271">
          <cell r="A271">
            <v>269</v>
          </cell>
          <cell r="B271" t="str">
            <v>T14</v>
          </cell>
          <cell r="C271">
            <v>81938</v>
          </cell>
        </row>
        <row r="272">
          <cell r="A272">
            <v>270</v>
          </cell>
          <cell r="B272" t="str">
            <v>T14</v>
          </cell>
          <cell r="C272">
            <v>81938</v>
          </cell>
        </row>
        <row r="273">
          <cell r="A273">
            <v>271</v>
          </cell>
          <cell r="B273" t="str">
            <v>T14</v>
          </cell>
          <cell r="C273">
            <v>81959</v>
          </cell>
        </row>
        <row r="274">
          <cell r="A274">
            <v>272</v>
          </cell>
          <cell r="B274" t="str">
            <v>T14</v>
          </cell>
          <cell r="C274">
            <v>82089</v>
          </cell>
        </row>
        <row r="275">
          <cell r="A275">
            <v>273</v>
          </cell>
          <cell r="B275" t="str">
            <v>T14</v>
          </cell>
          <cell r="C275">
            <v>82089</v>
          </cell>
        </row>
        <row r="276">
          <cell r="A276">
            <v>274</v>
          </cell>
          <cell r="B276" t="str">
            <v>T14</v>
          </cell>
          <cell r="C276">
            <v>82090</v>
          </cell>
        </row>
        <row r="277">
          <cell r="A277">
            <v>275</v>
          </cell>
          <cell r="B277" t="str">
            <v>T14</v>
          </cell>
          <cell r="C277">
            <v>82101</v>
          </cell>
        </row>
        <row r="278">
          <cell r="A278">
            <v>276</v>
          </cell>
          <cell r="B278" t="str">
            <v>T14</v>
          </cell>
          <cell r="C278">
            <v>82169</v>
          </cell>
        </row>
        <row r="279">
          <cell r="A279">
            <v>277</v>
          </cell>
          <cell r="B279" t="str">
            <v>T14</v>
          </cell>
          <cell r="C279">
            <v>82247</v>
          </cell>
        </row>
        <row r="280">
          <cell r="A280">
            <v>278</v>
          </cell>
          <cell r="B280" t="str">
            <v>T14</v>
          </cell>
          <cell r="C280">
            <v>82315</v>
          </cell>
        </row>
        <row r="281">
          <cell r="A281">
            <v>279</v>
          </cell>
          <cell r="B281" t="str">
            <v>T14</v>
          </cell>
          <cell r="C281">
            <v>82336</v>
          </cell>
        </row>
        <row r="282">
          <cell r="A282">
            <v>280</v>
          </cell>
          <cell r="B282" t="str">
            <v>T14</v>
          </cell>
          <cell r="C282">
            <v>82440</v>
          </cell>
        </row>
        <row r="283">
          <cell r="A283">
            <v>281</v>
          </cell>
          <cell r="B283" t="str">
            <v>T14</v>
          </cell>
          <cell r="C283">
            <v>82453</v>
          </cell>
        </row>
        <row r="284">
          <cell r="A284">
            <v>282</v>
          </cell>
          <cell r="B284" t="str">
            <v>T14</v>
          </cell>
          <cell r="C284">
            <v>82663</v>
          </cell>
        </row>
        <row r="285">
          <cell r="A285">
            <v>283</v>
          </cell>
          <cell r="B285" t="str">
            <v>T14</v>
          </cell>
          <cell r="C285">
            <v>82730</v>
          </cell>
        </row>
        <row r="286">
          <cell r="A286">
            <v>284</v>
          </cell>
          <cell r="B286" t="str">
            <v>T14</v>
          </cell>
          <cell r="C286">
            <v>82730</v>
          </cell>
        </row>
        <row r="287">
          <cell r="A287">
            <v>285</v>
          </cell>
          <cell r="B287" t="str">
            <v>T14</v>
          </cell>
          <cell r="C287">
            <v>82279</v>
          </cell>
        </row>
        <row r="288">
          <cell r="A288">
            <v>286</v>
          </cell>
          <cell r="B288" t="str">
            <v>T14</v>
          </cell>
          <cell r="C288">
            <v>82640</v>
          </cell>
        </row>
        <row r="289">
          <cell r="A289">
            <v>287</v>
          </cell>
          <cell r="B289" t="str">
            <v>T14</v>
          </cell>
          <cell r="C289">
            <v>81839</v>
          </cell>
        </row>
        <row r="290">
          <cell r="A290">
            <v>288</v>
          </cell>
          <cell r="B290" t="str">
            <v>T14</v>
          </cell>
          <cell r="C290">
            <v>81839</v>
          </cell>
        </row>
        <row r="291">
          <cell r="A291">
            <v>289</v>
          </cell>
          <cell r="B291" t="str">
            <v>T14</v>
          </cell>
          <cell r="C291">
            <v>80973</v>
          </cell>
        </row>
        <row r="292">
          <cell r="A292">
            <v>290</v>
          </cell>
          <cell r="B292" t="str">
            <v>T14</v>
          </cell>
          <cell r="C292">
            <v>83085</v>
          </cell>
        </row>
        <row r="293">
          <cell r="A293">
            <v>291</v>
          </cell>
          <cell r="B293" t="str">
            <v>T14</v>
          </cell>
          <cell r="C293">
            <v>81930</v>
          </cell>
        </row>
        <row r="294">
          <cell r="A294">
            <v>292</v>
          </cell>
          <cell r="B294" t="str">
            <v>T14</v>
          </cell>
          <cell r="C294">
            <v>81930</v>
          </cell>
        </row>
        <row r="295">
          <cell r="A295">
            <v>293</v>
          </cell>
          <cell r="B295" t="str">
            <v>T14</v>
          </cell>
          <cell r="C295">
            <v>81943</v>
          </cell>
        </row>
        <row r="296">
          <cell r="A296">
            <v>294</v>
          </cell>
          <cell r="B296" t="str">
            <v>T14</v>
          </cell>
          <cell r="C296">
            <v>82183</v>
          </cell>
        </row>
        <row r="297">
          <cell r="A297">
            <v>295</v>
          </cell>
          <cell r="B297" t="str">
            <v>T14</v>
          </cell>
          <cell r="C297">
            <v>82262</v>
          </cell>
        </row>
        <row r="298">
          <cell r="A298">
            <v>296</v>
          </cell>
          <cell r="B298" t="str">
            <v>T14</v>
          </cell>
          <cell r="C298">
            <v>82262</v>
          </cell>
        </row>
        <row r="299">
          <cell r="A299">
            <v>297</v>
          </cell>
          <cell r="B299" t="str">
            <v>T14</v>
          </cell>
          <cell r="C299">
            <v>81780</v>
          </cell>
        </row>
        <row r="300">
          <cell r="A300">
            <v>298</v>
          </cell>
          <cell r="B300" t="str">
            <v>T14</v>
          </cell>
          <cell r="C300">
            <v>81780</v>
          </cell>
        </row>
        <row r="301">
          <cell r="A301">
            <v>299</v>
          </cell>
          <cell r="B301" t="str">
            <v>T14</v>
          </cell>
          <cell r="C301">
            <v>81921</v>
          </cell>
        </row>
        <row r="302">
          <cell r="A302">
            <v>300</v>
          </cell>
          <cell r="B302" t="str">
            <v>T15</v>
          </cell>
          <cell r="C302">
            <v>83305</v>
          </cell>
        </row>
        <row r="303">
          <cell r="A303">
            <v>301</v>
          </cell>
          <cell r="B303" t="str">
            <v>T15</v>
          </cell>
          <cell r="C303">
            <v>80278</v>
          </cell>
        </row>
        <row r="304">
          <cell r="A304">
            <v>302</v>
          </cell>
          <cell r="B304" t="str">
            <v>T15</v>
          </cell>
          <cell r="C304">
            <v>80363</v>
          </cell>
        </row>
        <row r="305">
          <cell r="A305">
            <v>303</v>
          </cell>
          <cell r="B305" t="str">
            <v>T15</v>
          </cell>
          <cell r="C305">
            <v>80556</v>
          </cell>
        </row>
        <row r="306">
          <cell r="A306">
            <v>304</v>
          </cell>
          <cell r="B306" t="str">
            <v>T15</v>
          </cell>
          <cell r="C306">
            <v>80952</v>
          </cell>
        </row>
        <row r="307">
          <cell r="A307">
            <v>305</v>
          </cell>
          <cell r="B307" t="str">
            <v>T15</v>
          </cell>
          <cell r="C307">
            <v>81014</v>
          </cell>
        </row>
        <row r="308">
          <cell r="A308">
            <v>306</v>
          </cell>
          <cell r="B308" t="str">
            <v>T15</v>
          </cell>
          <cell r="C308">
            <v>81731</v>
          </cell>
        </row>
        <row r="309">
          <cell r="A309">
            <v>307</v>
          </cell>
          <cell r="B309" t="str">
            <v>T15</v>
          </cell>
          <cell r="C309">
            <v>82511</v>
          </cell>
        </row>
        <row r="310">
          <cell r="A310">
            <v>308</v>
          </cell>
          <cell r="B310" t="str">
            <v>T15</v>
          </cell>
          <cell r="C310">
            <v>82511</v>
          </cell>
        </row>
        <row r="311">
          <cell r="A311">
            <v>309</v>
          </cell>
          <cell r="B311" t="str">
            <v>T15</v>
          </cell>
          <cell r="C311">
            <v>82532</v>
          </cell>
        </row>
        <row r="312">
          <cell r="A312">
            <v>310</v>
          </cell>
          <cell r="B312" t="str">
            <v>T15</v>
          </cell>
          <cell r="C312">
            <v>82544</v>
          </cell>
        </row>
        <row r="313">
          <cell r="A313">
            <v>311</v>
          </cell>
          <cell r="B313" t="str">
            <v>T15</v>
          </cell>
          <cell r="C313">
            <v>82549</v>
          </cell>
        </row>
        <row r="314">
          <cell r="A314">
            <v>312</v>
          </cell>
          <cell r="B314" t="str">
            <v>T15</v>
          </cell>
          <cell r="C314">
            <v>82550</v>
          </cell>
        </row>
        <row r="315">
          <cell r="A315">
            <v>313</v>
          </cell>
          <cell r="B315" t="str">
            <v>T15</v>
          </cell>
          <cell r="C315">
            <v>82565</v>
          </cell>
        </row>
        <row r="316">
          <cell r="A316">
            <v>314</v>
          </cell>
          <cell r="B316" t="str">
            <v>T15</v>
          </cell>
          <cell r="C316">
            <v>82574</v>
          </cell>
        </row>
        <row r="317">
          <cell r="A317">
            <v>315</v>
          </cell>
          <cell r="B317" t="str">
            <v>T15</v>
          </cell>
          <cell r="C317">
            <v>82600</v>
          </cell>
        </row>
        <row r="318">
          <cell r="A318">
            <v>316</v>
          </cell>
          <cell r="B318" t="str">
            <v>T15</v>
          </cell>
          <cell r="C318">
            <v>82968</v>
          </cell>
        </row>
        <row r="319">
          <cell r="A319">
            <v>317</v>
          </cell>
          <cell r="B319" t="str">
            <v>T15</v>
          </cell>
          <cell r="C319">
            <v>80198</v>
          </cell>
        </row>
        <row r="320">
          <cell r="A320">
            <v>318</v>
          </cell>
          <cell r="B320" t="str">
            <v>T15</v>
          </cell>
          <cell r="C320">
            <v>81732</v>
          </cell>
        </row>
        <row r="321">
          <cell r="A321">
            <v>319</v>
          </cell>
          <cell r="B321" t="str">
            <v>T15</v>
          </cell>
          <cell r="C321">
            <v>81732</v>
          </cell>
        </row>
        <row r="322">
          <cell r="A322">
            <v>320</v>
          </cell>
          <cell r="B322" t="str">
            <v>T15</v>
          </cell>
          <cell r="C322">
            <v>82143</v>
          </cell>
        </row>
        <row r="323">
          <cell r="A323">
            <v>321</v>
          </cell>
          <cell r="B323" t="str">
            <v>T15</v>
          </cell>
          <cell r="C323">
            <v>82143</v>
          </cell>
        </row>
        <row r="324">
          <cell r="A324">
            <v>322</v>
          </cell>
          <cell r="B324" t="str">
            <v>T16</v>
          </cell>
          <cell r="C324">
            <v>80686</v>
          </cell>
        </row>
        <row r="325">
          <cell r="A325">
            <v>323</v>
          </cell>
          <cell r="B325" t="str">
            <v>T16</v>
          </cell>
          <cell r="C325">
            <v>80933</v>
          </cell>
        </row>
        <row r="326">
          <cell r="A326">
            <v>324</v>
          </cell>
          <cell r="B326" t="str">
            <v>T16</v>
          </cell>
          <cell r="C326">
            <v>80934</v>
          </cell>
        </row>
        <row r="327">
          <cell r="A327">
            <v>325</v>
          </cell>
          <cell r="B327" t="str">
            <v>T16</v>
          </cell>
          <cell r="C327">
            <v>80934</v>
          </cell>
        </row>
        <row r="328">
          <cell r="A328">
            <v>326</v>
          </cell>
          <cell r="B328" t="str">
            <v>T16</v>
          </cell>
          <cell r="C328">
            <v>82095</v>
          </cell>
        </row>
        <row r="329">
          <cell r="A329">
            <v>327</v>
          </cell>
          <cell r="B329" t="str">
            <v>T16</v>
          </cell>
          <cell r="C329">
            <v>82095</v>
          </cell>
        </row>
        <row r="330">
          <cell r="A330">
            <v>328</v>
          </cell>
          <cell r="B330" t="str">
            <v>T16</v>
          </cell>
          <cell r="C330">
            <v>82248</v>
          </cell>
        </row>
        <row r="331">
          <cell r="A331">
            <v>329</v>
          </cell>
          <cell r="B331" t="str">
            <v>T16</v>
          </cell>
          <cell r="C331">
            <v>82683</v>
          </cell>
        </row>
        <row r="332">
          <cell r="A332">
            <v>330</v>
          </cell>
          <cell r="B332" t="str">
            <v>T16</v>
          </cell>
          <cell r="C332">
            <v>82683</v>
          </cell>
        </row>
        <row r="333">
          <cell r="A333">
            <v>331</v>
          </cell>
          <cell r="B333" t="str">
            <v>T16</v>
          </cell>
          <cell r="C333">
            <v>82685</v>
          </cell>
        </row>
        <row r="334">
          <cell r="A334">
            <v>332</v>
          </cell>
          <cell r="B334" t="str">
            <v>T16</v>
          </cell>
          <cell r="C334">
            <v>82686</v>
          </cell>
        </row>
        <row r="335">
          <cell r="A335">
            <v>333</v>
          </cell>
          <cell r="B335" t="str">
            <v>T16</v>
          </cell>
          <cell r="C335">
            <v>82686</v>
          </cell>
        </row>
        <row r="336">
          <cell r="A336">
            <v>334</v>
          </cell>
          <cell r="B336" t="str">
            <v>T16</v>
          </cell>
          <cell r="C336">
            <v>82710</v>
          </cell>
        </row>
        <row r="337">
          <cell r="A337">
            <v>335</v>
          </cell>
          <cell r="B337" t="str">
            <v>T16</v>
          </cell>
          <cell r="C337">
            <v>82716</v>
          </cell>
        </row>
        <row r="338">
          <cell r="A338">
            <v>336</v>
          </cell>
          <cell r="B338" t="str">
            <v>T16</v>
          </cell>
          <cell r="C338">
            <v>82716</v>
          </cell>
        </row>
        <row r="339">
          <cell r="A339">
            <v>337</v>
          </cell>
          <cell r="B339" t="str">
            <v>T16</v>
          </cell>
          <cell r="C339">
            <v>81308</v>
          </cell>
        </row>
        <row r="340">
          <cell r="A340">
            <v>338</v>
          </cell>
          <cell r="B340" t="str">
            <v>T16</v>
          </cell>
          <cell r="C340">
            <v>82856</v>
          </cell>
        </row>
        <row r="341">
          <cell r="A341">
            <v>339</v>
          </cell>
          <cell r="B341" t="str">
            <v>T16</v>
          </cell>
          <cell r="C341">
            <v>82733</v>
          </cell>
        </row>
        <row r="342">
          <cell r="A342">
            <v>340</v>
          </cell>
          <cell r="B342" t="str">
            <v>T16</v>
          </cell>
          <cell r="C342">
            <v>82725</v>
          </cell>
        </row>
        <row r="343">
          <cell r="A343">
            <v>341</v>
          </cell>
          <cell r="B343" t="str">
            <v>T16</v>
          </cell>
          <cell r="C343">
            <v>82966</v>
          </cell>
        </row>
        <row r="344">
          <cell r="A344">
            <v>342</v>
          </cell>
          <cell r="B344" t="str">
            <v>T16</v>
          </cell>
          <cell r="C344">
            <v>83270</v>
          </cell>
        </row>
        <row r="345">
          <cell r="A345">
            <v>343</v>
          </cell>
          <cell r="B345" t="str">
            <v>T16</v>
          </cell>
          <cell r="C345">
            <v>83382</v>
          </cell>
        </row>
        <row r="346">
          <cell r="A346">
            <v>344</v>
          </cell>
          <cell r="B346" t="str">
            <v>T17</v>
          </cell>
          <cell r="C346">
            <v>80651</v>
          </cell>
        </row>
        <row r="347">
          <cell r="A347">
            <v>345</v>
          </cell>
          <cell r="B347" t="str">
            <v>T17</v>
          </cell>
          <cell r="C347">
            <v>80651</v>
          </cell>
        </row>
        <row r="348">
          <cell r="A348">
            <v>346</v>
          </cell>
          <cell r="B348" t="str">
            <v>T17</v>
          </cell>
          <cell r="C348">
            <v>82764</v>
          </cell>
        </row>
        <row r="349">
          <cell r="A349">
            <v>347</v>
          </cell>
          <cell r="B349" t="str">
            <v>T17</v>
          </cell>
          <cell r="C349">
            <v>82766</v>
          </cell>
        </row>
        <row r="350">
          <cell r="A350">
            <v>348</v>
          </cell>
          <cell r="B350" t="str">
            <v>T17</v>
          </cell>
          <cell r="C350">
            <v>82766</v>
          </cell>
        </row>
        <row r="351">
          <cell r="A351">
            <v>349</v>
          </cell>
          <cell r="B351" t="str">
            <v>T17</v>
          </cell>
          <cell r="C351">
            <v>82827</v>
          </cell>
        </row>
        <row r="352">
          <cell r="A352">
            <v>350</v>
          </cell>
          <cell r="B352" t="str">
            <v>T17</v>
          </cell>
          <cell r="C352">
            <v>82835</v>
          </cell>
        </row>
        <row r="353">
          <cell r="A353">
            <v>351</v>
          </cell>
          <cell r="B353" t="str">
            <v>T17</v>
          </cell>
          <cell r="C353">
            <v>82835</v>
          </cell>
        </row>
        <row r="354">
          <cell r="A354">
            <v>352</v>
          </cell>
          <cell r="B354" t="str">
            <v>T17</v>
          </cell>
          <cell r="C354">
            <v>82838</v>
          </cell>
        </row>
        <row r="355">
          <cell r="A355">
            <v>353</v>
          </cell>
          <cell r="B355" t="str">
            <v>T17</v>
          </cell>
          <cell r="C355">
            <v>82841</v>
          </cell>
        </row>
        <row r="356">
          <cell r="A356">
            <v>354</v>
          </cell>
          <cell r="B356" t="str">
            <v>T17</v>
          </cell>
          <cell r="C356">
            <v>82841</v>
          </cell>
        </row>
        <row r="357">
          <cell r="A357">
            <v>355</v>
          </cell>
          <cell r="B357" t="str">
            <v>T17</v>
          </cell>
          <cell r="C357">
            <v>82864</v>
          </cell>
        </row>
        <row r="358">
          <cell r="A358">
            <v>356</v>
          </cell>
          <cell r="B358" t="str">
            <v>T17</v>
          </cell>
          <cell r="C358">
            <v>82865</v>
          </cell>
        </row>
        <row r="359">
          <cell r="A359">
            <v>357</v>
          </cell>
          <cell r="B359" t="str">
            <v>T17</v>
          </cell>
          <cell r="C359">
            <v>82865</v>
          </cell>
        </row>
        <row r="360">
          <cell r="A360">
            <v>358</v>
          </cell>
          <cell r="B360" t="str">
            <v>T17</v>
          </cell>
          <cell r="C360">
            <v>82801</v>
          </cell>
        </row>
        <row r="361">
          <cell r="A361">
            <v>359</v>
          </cell>
          <cell r="B361" t="str">
            <v>T17</v>
          </cell>
          <cell r="C361">
            <v>82801</v>
          </cell>
        </row>
        <row r="362">
          <cell r="A362">
            <v>360</v>
          </cell>
          <cell r="B362" t="str">
            <v>T17</v>
          </cell>
          <cell r="C362">
            <v>82917</v>
          </cell>
        </row>
        <row r="363">
          <cell r="A363">
            <v>361</v>
          </cell>
          <cell r="B363" t="str">
            <v>T17</v>
          </cell>
          <cell r="C363">
            <v>82836</v>
          </cell>
        </row>
        <row r="364">
          <cell r="A364">
            <v>362</v>
          </cell>
          <cell r="B364" t="str">
            <v>T17</v>
          </cell>
          <cell r="C364">
            <v>82836</v>
          </cell>
        </row>
        <row r="365">
          <cell r="A365">
            <v>363</v>
          </cell>
          <cell r="B365" t="str">
            <v>T17</v>
          </cell>
          <cell r="C365">
            <v>82931</v>
          </cell>
        </row>
        <row r="366">
          <cell r="A366">
            <v>364</v>
          </cell>
          <cell r="B366" t="str">
            <v>T18</v>
          </cell>
          <cell r="C366">
            <v>80673</v>
          </cell>
        </row>
        <row r="367">
          <cell r="A367">
            <v>365</v>
          </cell>
          <cell r="B367" t="str">
            <v>T18</v>
          </cell>
          <cell r="C367">
            <v>82757</v>
          </cell>
        </row>
        <row r="368">
          <cell r="A368">
            <v>366</v>
          </cell>
          <cell r="B368" t="str">
            <v>T18</v>
          </cell>
          <cell r="C368">
            <v>82763</v>
          </cell>
        </row>
        <row r="369">
          <cell r="A369">
            <v>367</v>
          </cell>
          <cell r="B369" t="str">
            <v>T18</v>
          </cell>
          <cell r="C369">
            <v>82763</v>
          </cell>
        </row>
        <row r="370">
          <cell r="A370">
            <v>368</v>
          </cell>
          <cell r="B370" t="str">
            <v>T18</v>
          </cell>
          <cell r="C370">
            <v>82765</v>
          </cell>
        </row>
        <row r="371">
          <cell r="A371">
            <v>369</v>
          </cell>
          <cell r="B371" t="str">
            <v>T18</v>
          </cell>
          <cell r="C371">
            <v>82781</v>
          </cell>
        </row>
        <row r="372">
          <cell r="A372">
            <v>370</v>
          </cell>
          <cell r="B372" t="str">
            <v>T18</v>
          </cell>
          <cell r="C372">
            <v>82791</v>
          </cell>
        </row>
        <row r="373">
          <cell r="A373">
            <v>371</v>
          </cell>
          <cell r="B373" t="str">
            <v>T18</v>
          </cell>
          <cell r="C373">
            <v>82791</v>
          </cell>
        </row>
        <row r="374">
          <cell r="A374">
            <v>372</v>
          </cell>
          <cell r="B374" t="str">
            <v>T18</v>
          </cell>
          <cell r="C374">
            <v>82792</v>
          </cell>
        </row>
        <row r="375">
          <cell r="A375">
            <v>373</v>
          </cell>
          <cell r="B375" t="str">
            <v>T18</v>
          </cell>
          <cell r="C375">
            <v>82796</v>
          </cell>
        </row>
        <row r="376">
          <cell r="A376">
            <v>374</v>
          </cell>
          <cell r="B376" t="str">
            <v>T18</v>
          </cell>
          <cell r="C376">
            <v>82797</v>
          </cell>
        </row>
        <row r="377">
          <cell r="A377">
            <v>375</v>
          </cell>
          <cell r="B377" t="str">
            <v>T18</v>
          </cell>
          <cell r="C377">
            <v>82797</v>
          </cell>
        </row>
        <row r="378">
          <cell r="A378">
            <v>376</v>
          </cell>
          <cell r="B378" t="str">
            <v>T18</v>
          </cell>
          <cell r="C378">
            <v>82822</v>
          </cell>
        </row>
        <row r="379">
          <cell r="A379">
            <v>377</v>
          </cell>
          <cell r="B379" t="str">
            <v>T18</v>
          </cell>
          <cell r="C379">
            <v>82833</v>
          </cell>
        </row>
        <row r="380">
          <cell r="A380">
            <v>378</v>
          </cell>
          <cell r="B380" t="str">
            <v>T18</v>
          </cell>
          <cell r="C380">
            <v>82837</v>
          </cell>
        </row>
        <row r="381">
          <cell r="A381">
            <v>379</v>
          </cell>
          <cell r="B381" t="str">
            <v>T18</v>
          </cell>
          <cell r="C381">
            <v>82860</v>
          </cell>
        </row>
        <row r="382">
          <cell r="A382">
            <v>380</v>
          </cell>
          <cell r="B382" t="str">
            <v>T18</v>
          </cell>
          <cell r="C382">
            <v>83019</v>
          </cell>
        </row>
        <row r="383">
          <cell r="A383">
            <v>381</v>
          </cell>
          <cell r="B383" t="str">
            <v>T18</v>
          </cell>
          <cell r="C383">
            <v>80253</v>
          </cell>
        </row>
        <row r="384">
          <cell r="A384">
            <v>382</v>
          </cell>
          <cell r="B384" t="str">
            <v>T18</v>
          </cell>
          <cell r="C384">
            <v>83079</v>
          </cell>
        </row>
        <row r="385">
          <cell r="A385">
            <v>383</v>
          </cell>
          <cell r="B385" t="str">
            <v>T18</v>
          </cell>
          <cell r="C385">
            <v>83241</v>
          </cell>
        </row>
        <row r="386">
          <cell r="A386">
            <v>384</v>
          </cell>
          <cell r="B386" t="str">
            <v>T19</v>
          </cell>
          <cell r="C386">
            <v>81402</v>
          </cell>
        </row>
        <row r="387">
          <cell r="A387">
            <v>385</v>
          </cell>
          <cell r="B387" t="str">
            <v>T19</v>
          </cell>
          <cell r="C387">
            <v>81925</v>
          </cell>
        </row>
        <row r="388">
          <cell r="A388">
            <v>386</v>
          </cell>
          <cell r="B388" t="str">
            <v>T19</v>
          </cell>
          <cell r="C388">
            <v>83069</v>
          </cell>
        </row>
        <row r="389">
          <cell r="A389">
            <v>387</v>
          </cell>
          <cell r="B389" t="str">
            <v>T19</v>
          </cell>
          <cell r="C389">
            <v>83027</v>
          </cell>
        </row>
        <row r="390">
          <cell r="A390">
            <v>388</v>
          </cell>
          <cell r="B390" t="str">
            <v>T19</v>
          </cell>
          <cell r="C390">
            <v>83027</v>
          </cell>
        </row>
        <row r="391">
          <cell r="A391">
            <v>389</v>
          </cell>
          <cell r="B391" t="str">
            <v>T19</v>
          </cell>
          <cell r="C391">
            <v>82927</v>
          </cell>
        </row>
        <row r="392">
          <cell r="A392">
            <v>390</v>
          </cell>
          <cell r="B392" t="str">
            <v>T19</v>
          </cell>
          <cell r="C392">
            <v>83088</v>
          </cell>
        </row>
        <row r="393">
          <cell r="A393">
            <v>391</v>
          </cell>
          <cell r="B393" t="str">
            <v>T19</v>
          </cell>
          <cell r="C393">
            <v>83055</v>
          </cell>
        </row>
        <row r="394">
          <cell r="A394">
            <v>392</v>
          </cell>
          <cell r="B394" t="str">
            <v>T19</v>
          </cell>
          <cell r="C394">
            <v>82938</v>
          </cell>
        </row>
        <row r="395">
          <cell r="A395">
            <v>393</v>
          </cell>
          <cell r="B395" t="str">
            <v>T19</v>
          </cell>
          <cell r="C395">
            <v>83069</v>
          </cell>
        </row>
        <row r="396">
          <cell r="A396">
            <v>394</v>
          </cell>
          <cell r="B396" t="str">
            <v>T19</v>
          </cell>
          <cell r="C396">
            <v>83063</v>
          </cell>
        </row>
        <row r="397">
          <cell r="A397">
            <v>395</v>
          </cell>
          <cell r="B397" t="str">
            <v>T19</v>
          </cell>
          <cell r="C397">
            <v>83063</v>
          </cell>
        </row>
        <row r="398">
          <cell r="A398">
            <v>396</v>
          </cell>
          <cell r="B398" t="str">
            <v>T19</v>
          </cell>
          <cell r="C398">
            <v>83153</v>
          </cell>
        </row>
        <row r="399">
          <cell r="A399">
            <v>397</v>
          </cell>
          <cell r="B399" t="str">
            <v>T19</v>
          </cell>
          <cell r="C399">
            <v>83272</v>
          </cell>
        </row>
        <row r="400">
          <cell r="A400">
            <v>398</v>
          </cell>
          <cell r="B400" t="str">
            <v>T19</v>
          </cell>
          <cell r="C400">
            <v>83225</v>
          </cell>
        </row>
        <row r="401">
          <cell r="A401">
            <v>399</v>
          </cell>
          <cell r="B401" t="str">
            <v>T19</v>
          </cell>
          <cell r="C401">
            <v>83267</v>
          </cell>
        </row>
        <row r="402">
          <cell r="A402">
            <v>400</v>
          </cell>
          <cell r="B402" t="str">
            <v>T19</v>
          </cell>
          <cell r="C402">
            <v>83267</v>
          </cell>
        </row>
        <row r="403">
          <cell r="A403">
            <v>401</v>
          </cell>
          <cell r="B403" t="str">
            <v>T2</v>
          </cell>
          <cell r="C403">
            <v>80127</v>
          </cell>
        </row>
        <row r="404">
          <cell r="A404">
            <v>402</v>
          </cell>
          <cell r="B404" t="str">
            <v>T2</v>
          </cell>
          <cell r="C404">
            <v>80127</v>
          </cell>
        </row>
        <row r="405">
          <cell r="A405">
            <v>403</v>
          </cell>
          <cell r="B405" t="str">
            <v>T2</v>
          </cell>
          <cell r="C405">
            <v>80144</v>
          </cell>
        </row>
        <row r="406">
          <cell r="A406">
            <v>404</v>
          </cell>
          <cell r="B406" t="str">
            <v>T2</v>
          </cell>
          <cell r="C406">
            <v>80174</v>
          </cell>
        </row>
        <row r="407">
          <cell r="A407">
            <v>405</v>
          </cell>
          <cell r="B407" t="str">
            <v>T2</v>
          </cell>
          <cell r="C407">
            <v>80324</v>
          </cell>
        </row>
        <row r="408">
          <cell r="A408">
            <v>406</v>
          </cell>
          <cell r="B408" t="str">
            <v>T2</v>
          </cell>
          <cell r="C408">
            <v>80547</v>
          </cell>
        </row>
        <row r="409">
          <cell r="A409">
            <v>407</v>
          </cell>
          <cell r="B409" t="str">
            <v>T2</v>
          </cell>
          <cell r="C409">
            <v>80547</v>
          </cell>
        </row>
        <row r="410">
          <cell r="A410">
            <v>408</v>
          </cell>
          <cell r="B410" t="str">
            <v>T2</v>
          </cell>
          <cell r="C410">
            <v>81073</v>
          </cell>
        </row>
        <row r="411">
          <cell r="A411">
            <v>409</v>
          </cell>
          <cell r="B411" t="str">
            <v>T2</v>
          </cell>
          <cell r="C411">
            <v>81112</v>
          </cell>
        </row>
        <row r="412">
          <cell r="A412">
            <v>410</v>
          </cell>
          <cell r="B412" t="str">
            <v>T2</v>
          </cell>
          <cell r="C412">
            <v>81286</v>
          </cell>
        </row>
        <row r="413">
          <cell r="A413">
            <v>411</v>
          </cell>
          <cell r="B413" t="str">
            <v>T2</v>
          </cell>
          <cell r="C413">
            <v>81317</v>
          </cell>
        </row>
        <row r="414">
          <cell r="A414">
            <v>412</v>
          </cell>
          <cell r="B414" t="str">
            <v>T2</v>
          </cell>
          <cell r="C414">
            <v>81704</v>
          </cell>
        </row>
        <row r="415">
          <cell r="A415">
            <v>413</v>
          </cell>
          <cell r="B415" t="str">
            <v>T2</v>
          </cell>
          <cell r="C415">
            <v>81836</v>
          </cell>
        </row>
        <row r="416">
          <cell r="A416">
            <v>414</v>
          </cell>
          <cell r="B416" t="str">
            <v>T2</v>
          </cell>
          <cell r="C416">
            <v>81996</v>
          </cell>
        </row>
        <row r="417">
          <cell r="A417">
            <v>415</v>
          </cell>
          <cell r="B417" t="str">
            <v>T2</v>
          </cell>
          <cell r="C417">
            <v>82351</v>
          </cell>
        </row>
        <row r="418">
          <cell r="A418">
            <v>416</v>
          </cell>
          <cell r="B418" t="str">
            <v>T2</v>
          </cell>
          <cell r="C418">
            <v>82575</v>
          </cell>
        </row>
        <row r="419">
          <cell r="A419">
            <v>417</v>
          </cell>
          <cell r="B419" t="str">
            <v>T2</v>
          </cell>
          <cell r="C419">
            <v>82575</v>
          </cell>
        </row>
        <row r="420">
          <cell r="A420">
            <v>418</v>
          </cell>
          <cell r="B420" t="str">
            <v>T2</v>
          </cell>
          <cell r="C420">
            <v>81044</v>
          </cell>
        </row>
        <row r="421">
          <cell r="A421">
            <v>419</v>
          </cell>
          <cell r="B421" t="str">
            <v>T2</v>
          </cell>
          <cell r="C421">
            <v>82894</v>
          </cell>
        </row>
        <row r="422">
          <cell r="A422">
            <v>420</v>
          </cell>
          <cell r="B422" t="str">
            <v>T2</v>
          </cell>
          <cell r="C422">
            <v>82894</v>
          </cell>
        </row>
        <row r="423">
          <cell r="A423">
            <v>421</v>
          </cell>
          <cell r="B423" t="str">
            <v>T2</v>
          </cell>
          <cell r="C423">
            <v>82890</v>
          </cell>
        </row>
        <row r="424">
          <cell r="A424">
            <v>422</v>
          </cell>
          <cell r="B424" t="str">
            <v>T2</v>
          </cell>
          <cell r="C424">
            <v>83005</v>
          </cell>
        </row>
        <row r="425">
          <cell r="A425">
            <v>423</v>
          </cell>
          <cell r="B425" t="str">
            <v>T2</v>
          </cell>
          <cell r="C425">
            <v>82872</v>
          </cell>
        </row>
        <row r="426">
          <cell r="A426">
            <v>424</v>
          </cell>
          <cell r="B426" t="str">
            <v>T2</v>
          </cell>
          <cell r="C426">
            <v>82999</v>
          </cell>
        </row>
        <row r="427">
          <cell r="A427">
            <v>425</v>
          </cell>
          <cell r="B427" t="str">
            <v>T2</v>
          </cell>
          <cell r="C427">
            <v>82082</v>
          </cell>
        </row>
        <row r="428">
          <cell r="A428">
            <v>426</v>
          </cell>
          <cell r="B428" t="str">
            <v>T2</v>
          </cell>
          <cell r="C428">
            <v>82153</v>
          </cell>
        </row>
        <row r="429">
          <cell r="A429">
            <v>427</v>
          </cell>
          <cell r="B429" t="str">
            <v>T2</v>
          </cell>
          <cell r="C429">
            <v>82153</v>
          </cell>
        </row>
        <row r="430">
          <cell r="A430">
            <v>428</v>
          </cell>
          <cell r="B430" t="str">
            <v>T20</v>
          </cell>
          <cell r="C430">
            <v>83054</v>
          </cell>
        </row>
        <row r="431">
          <cell r="A431">
            <v>429</v>
          </cell>
          <cell r="B431" t="str">
            <v>T20</v>
          </cell>
          <cell r="C431">
            <v>83057</v>
          </cell>
        </row>
        <row r="432">
          <cell r="A432">
            <v>430</v>
          </cell>
          <cell r="B432" t="str">
            <v>T20</v>
          </cell>
          <cell r="C432">
            <v>82932</v>
          </cell>
        </row>
        <row r="433">
          <cell r="A433">
            <v>431</v>
          </cell>
          <cell r="B433" t="str">
            <v>T20</v>
          </cell>
          <cell r="C433">
            <v>82965</v>
          </cell>
        </row>
        <row r="434">
          <cell r="A434">
            <v>432</v>
          </cell>
          <cell r="B434" t="str">
            <v>T20</v>
          </cell>
          <cell r="C434">
            <v>83052</v>
          </cell>
        </row>
        <row r="435">
          <cell r="A435">
            <v>433</v>
          </cell>
          <cell r="B435" t="str">
            <v>T20</v>
          </cell>
          <cell r="C435">
            <v>83052</v>
          </cell>
        </row>
        <row r="436">
          <cell r="A436">
            <v>434</v>
          </cell>
          <cell r="B436" t="str">
            <v>T20</v>
          </cell>
          <cell r="C436">
            <v>83062</v>
          </cell>
        </row>
        <row r="437">
          <cell r="A437">
            <v>435</v>
          </cell>
          <cell r="B437" t="str">
            <v>T20</v>
          </cell>
          <cell r="C437">
            <v>83057</v>
          </cell>
        </row>
        <row r="438">
          <cell r="A438">
            <v>436</v>
          </cell>
          <cell r="B438" t="str">
            <v>T20</v>
          </cell>
          <cell r="C438">
            <v>82996</v>
          </cell>
        </row>
        <row r="439">
          <cell r="A439">
            <v>437</v>
          </cell>
          <cell r="B439" t="str">
            <v>T20</v>
          </cell>
          <cell r="C439">
            <v>82979</v>
          </cell>
        </row>
        <row r="440">
          <cell r="A440">
            <v>438</v>
          </cell>
          <cell r="B440" t="str">
            <v>T20</v>
          </cell>
          <cell r="C440">
            <v>82950</v>
          </cell>
        </row>
        <row r="441">
          <cell r="A441">
            <v>439</v>
          </cell>
          <cell r="B441" t="str">
            <v>T20</v>
          </cell>
          <cell r="C441">
            <v>83329</v>
          </cell>
        </row>
        <row r="442">
          <cell r="A442">
            <v>440</v>
          </cell>
          <cell r="B442" t="str">
            <v>T20</v>
          </cell>
          <cell r="C442">
            <v>83331</v>
          </cell>
        </row>
        <row r="443">
          <cell r="A443">
            <v>441</v>
          </cell>
          <cell r="B443" t="str">
            <v>T21</v>
          </cell>
          <cell r="C443">
            <v>80008</v>
          </cell>
        </row>
        <row r="444">
          <cell r="A444">
            <v>442</v>
          </cell>
          <cell r="B444" t="str">
            <v>T21</v>
          </cell>
          <cell r="C444">
            <v>80008</v>
          </cell>
        </row>
        <row r="445">
          <cell r="A445">
            <v>443</v>
          </cell>
          <cell r="B445" t="str">
            <v>T21</v>
          </cell>
          <cell r="C445">
            <v>82533</v>
          </cell>
        </row>
        <row r="446">
          <cell r="A446">
            <v>444</v>
          </cell>
          <cell r="B446" t="str">
            <v>T21</v>
          </cell>
          <cell r="C446">
            <v>80493</v>
          </cell>
        </row>
        <row r="447">
          <cell r="A447">
            <v>445</v>
          </cell>
          <cell r="B447" t="str">
            <v>T21</v>
          </cell>
          <cell r="C447">
            <v>80493</v>
          </cell>
        </row>
        <row r="448">
          <cell r="A448">
            <v>446</v>
          </cell>
          <cell r="B448" t="str">
            <v>T21</v>
          </cell>
          <cell r="C448">
            <v>81577</v>
          </cell>
        </row>
        <row r="449">
          <cell r="A449">
            <v>447</v>
          </cell>
          <cell r="B449" t="str">
            <v>T21</v>
          </cell>
          <cell r="C449">
            <v>81577</v>
          </cell>
        </row>
        <row r="450">
          <cell r="A450">
            <v>448</v>
          </cell>
          <cell r="B450" t="str">
            <v>T21</v>
          </cell>
          <cell r="C450">
            <v>82741</v>
          </cell>
        </row>
        <row r="451">
          <cell r="A451">
            <v>449</v>
          </cell>
          <cell r="B451" t="str">
            <v>T21</v>
          </cell>
          <cell r="C451">
            <v>80951</v>
          </cell>
        </row>
        <row r="452">
          <cell r="A452">
            <v>450</v>
          </cell>
          <cell r="B452" t="str">
            <v>T21</v>
          </cell>
          <cell r="C452">
            <v>82447</v>
          </cell>
        </row>
        <row r="453">
          <cell r="A453">
            <v>451</v>
          </cell>
          <cell r="B453" t="str">
            <v>T21</v>
          </cell>
          <cell r="C453">
            <v>83078</v>
          </cell>
        </row>
        <row r="454">
          <cell r="A454">
            <v>452</v>
          </cell>
          <cell r="B454" t="str">
            <v>T21</v>
          </cell>
          <cell r="C454">
            <v>83078</v>
          </cell>
        </row>
        <row r="455">
          <cell r="A455">
            <v>453</v>
          </cell>
          <cell r="B455" t="str">
            <v>T21</v>
          </cell>
          <cell r="C455">
            <v>80969</v>
          </cell>
        </row>
        <row r="456">
          <cell r="A456">
            <v>454</v>
          </cell>
          <cell r="B456" t="str">
            <v>T21</v>
          </cell>
          <cell r="C456">
            <v>80969</v>
          </cell>
        </row>
        <row r="457">
          <cell r="A457">
            <v>455</v>
          </cell>
          <cell r="B457" t="str">
            <v>T21</v>
          </cell>
          <cell r="C457">
            <v>83203</v>
          </cell>
        </row>
        <row r="458">
          <cell r="A458">
            <v>456</v>
          </cell>
          <cell r="B458" t="str">
            <v>T21</v>
          </cell>
          <cell r="C458">
            <v>83261</v>
          </cell>
        </row>
        <row r="459">
          <cell r="A459">
            <v>457</v>
          </cell>
          <cell r="B459" t="str">
            <v>T21</v>
          </cell>
          <cell r="C459">
            <v>83261</v>
          </cell>
        </row>
        <row r="460">
          <cell r="A460">
            <v>458</v>
          </cell>
          <cell r="B460" t="str">
            <v>T21</v>
          </cell>
          <cell r="C460">
            <v>83262</v>
          </cell>
        </row>
        <row r="461">
          <cell r="A461">
            <v>459</v>
          </cell>
          <cell r="B461" t="str">
            <v>T21</v>
          </cell>
          <cell r="C461">
            <v>80776</v>
          </cell>
        </row>
        <row r="462">
          <cell r="A462">
            <v>460</v>
          </cell>
          <cell r="B462" t="str">
            <v>T21</v>
          </cell>
          <cell r="C462">
            <v>81178</v>
          </cell>
        </row>
        <row r="463">
          <cell r="A463">
            <v>461</v>
          </cell>
          <cell r="B463" t="str">
            <v>T21</v>
          </cell>
          <cell r="C463">
            <v>81178</v>
          </cell>
        </row>
        <row r="464">
          <cell r="A464">
            <v>462</v>
          </cell>
          <cell r="B464" t="str">
            <v>T21</v>
          </cell>
          <cell r="C464">
            <v>83410</v>
          </cell>
        </row>
        <row r="465">
          <cell r="A465">
            <v>463</v>
          </cell>
          <cell r="B465" t="str">
            <v>T21</v>
          </cell>
          <cell r="C465">
            <v>83300</v>
          </cell>
        </row>
        <row r="466">
          <cell r="A466">
            <v>464</v>
          </cell>
          <cell r="B466" t="str">
            <v>T21</v>
          </cell>
          <cell r="C466">
            <v>83419</v>
          </cell>
        </row>
        <row r="467">
          <cell r="A467">
            <v>465</v>
          </cell>
          <cell r="B467" t="str">
            <v>T3</v>
          </cell>
          <cell r="C467">
            <v>80106</v>
          </cell>
        </row>
        <row r="468">
          <cell r="A468">
            <v>466</v>
          </cell>
          <cell r="B468" t="str">
            <v>T3</v>
          </cell>
          <cell r="C468">
            <v>80106</v>
          </cell>
        </row>
        <row r="469">
          <cell r="A469">
            <v>467</v>
          </cell>
          <cell r="B469" t="str">
            <v>T3</v>
          </cell>
          <cell r="C469">
            <v>80111</v>
          </cell>
        </row>
        <row r="470">
          <cell r="A470">
            <v>468</v>
          </cell>
          <cell r="B470" t="str">
            <v>T3</v>
          </cell>
          <cell r="C470">
            <v>80111</v>
          </cell>
        </row>
        <row r="471">
          <cell r="A471">
            <v>469</v>
          </cell>
          <cell r="B471" t="str">
            <v>T3</v>
          </cell>
          <cell r="C471">
            <v>80227</v>
          </cell>
        </row>
        <row r="472">
          <cell r="A472">
            <v>470</v>
          </cell>
          <cell r="B472" t="str">
            <v>T3</v>
          </cell>
          <cell r="C472">
            <v>80227</v>
          </cell>
        </row>
        <row r="473">
          <cell r="A473">
            <v>471</v>
          </cell>
          <cell r="B473" t="str">
            <v>T3</v>
          </cell>
          <cell r="C473">
            <v>80354</v>
          </cell>
        </row>
        <row r="474">
          <cell r="A474">
            <v>472</v>
          </cell>
          <cell r="B474" t="str">
            <v>T3</v>
          </cell>
          <cell r="C474">
            <v>80526</v>
          </cell>
        </row>
        <row r="475">
          <cell r="A475">
            <v>473</v>
          </cell>
          <cell r="B475" t="str">
            <v>T3</v>
          </cell>
          <cell r="C475">
            <v>80576</v>
          </cell>
        </row>
        <row r="476">
          <cell r="A476">
            <v>474</v>
          </cell>
          <cell r="B476" t="str">
            <v>T3</v>
          </cell>
          <cell r="C476">
            <v>80576</v>
          </cell>
        </row>
        <row r="477">
          <cell r="A477">
            <v>475</v>
          </cell>
          <cell r="B477" t="str">
            <v>T3</v>
          </cell>
          <cell r="C477">
            <v>80697</v>
          </cell>
        </row>
        <row r="478">
          <cell r="A478">
            <v>476</v>
          </cell>
          <cell r="B478" t="str">
            <v>T3</v>
          </cell>
          <cell r="C478">
            <v>80805</v>
          </cell>
        </row>
        <row r="479">
          <cell r="A479">
            <v>477</v>
          </cell>
          <cell r="B479" t="str">
            <v>T3</v>
          </cell>
          <cell r="C479">
            <v>80978</v>
          </cell>
        </row>
        <row r="480">
          <cell r="A480">
            <v>478</v>
          </cell>
          <cell r="B480" t="str">
            <v>T3</v>
          </cell>
          <cell r="C480">
            <v>80979</v>
          </cell>
        </row>
        <row r="481">
          <cell r="A481">
            <v>479</v>
          </cell>
          <cell r="B481" t="str">
            <v>T3</v>
          </cell>
          <cell r="C481">
            <v>81059</v>
          </cell>
        </row>
        <row r="482">
          <cell r="A482">
            <v>480</v>
          </cell>
          <cell r="B482" t="str">
            <v>T3</v>
          </cell>
          <cell r="C482">
            <v>81110</v>
          </cell>
        </row>
        <row r="483">
          <cell r="A483">
            <v>481</v>
          </cell>
          <cell r="B483" t="str">
            <v>T3</v>
          </cell>
          <cell r="C483">
            <v>81252</v>
          </cell>
        </row>
        <row r="484">
          <cell r="A484">
            <v>482</v>
          </cell>
          <cell r="B484" t="str">
            <v>T3</v>
          </cell>
          <cell r="C484">
            <v>81404</v>
          </cell>
        </row>
        <row r="485">
          <cell r="A485">
            <v>483</v>
          </cell>
          <cell r="B485" t="str">
            <v>T3</v>
          </cell>
          <cell r="C485">
            <v>81560</v>
          </cell>
        </row>
        <row r="486">
          <cell r="A486">
            <v>484</v>
          </cell>
          <cell r="B486" t="str">
            <v>T3</v>
          </cell>
          <cell r="C486">
            <v>81691</v>
          </cell>
        </row>
        <row r="487">
          <cell r="A487">
            <v>485</v>
          </cell>
          <cell r="B487" t="str">
            <v>T3</v>
          </cell>
          <cell r="C487">
            <v>81737</v>
          </cell>
        </row>
        <row r="488">
          <cell r="A488">
            <v>486</v>
          </cell>
          <cell r="B488" t="str">
            <v>T3</v>
          </cell>
          <cell r="C488">
            <v>82184</v>
          </cell>
        </row>
        <row r="489">
          <cell r="A489">
            <v>487</v>
          </cell>
          <cell r="B489" t="str">
            <v>T3</v>
          </cell>
          <cell r="C489">
            <v>82205</v>
          </cell>
        </row>
        <row r="490">
          <cell r="A490">
            <v>488</v>
          </cell>
          <cell r="B490" t="str">
            <v>T3</v>
          </cell>
          <cell r="C490">
            <v>82218</v>
          </cell>
        </row>
        <row r="491">
          <cell r="A491">
            <v>489</v>
          </cell>
          <cell r="B491" t="str">
            <v>T3</v>
          </cell>
          <cell r="C491">
            <v>82475</v>
          </cell>
        </row>
        <row r="492">
          <cell r="A492">
            <v>490</v>
          </cell>
          <cell r="B492" t="str">
            <v>T3</v>
          </cell>
          <cell r="C492">
            <v>82480</v>
          </cell>
        </row>
        <row r="493">
          <cell r="A493">
            <v>491</v>
          </cell>
          <cell r="B493" t="str">
            <v>T3</v>
          </cell>
          <cell r="C493">
            <v>82581</v>
          </cell>
        </row>
        <row r="494">
          <cell r="A494">
            <v>492</v>
          </cell>
          <cell r="B494" t="str">
            <v>T3</v>
          </cell>
          <cell r="C494">
            <v>81352</v>
          </cell>
        </row>
        <row r="495">
          <cell r="A495">
            <v>493</v>
          </cell>
          <cell r="B495" t="str">
            <v>T3</v>
          </cell>
          <cell r="C495">
            <v>82163</v>
          </cell>
        </row>
        <row r="496">
          <cell r="A496">
            <v>494</v>
          </cell>
          <cell r="B496" t="str">
            <v>T3</v>
          </cell>
          <cell r="C496">
            <v>82163</v>
          </cell>
        </row>
        <row r="497">
          <cell r="A497">
            <v>495</v>
          </cell>
          <cell r="B497" t="str">
            <v>T3</v>
          </cell>
          <cell r="C497">
            <v>80641</v>
          </cell>
        </row>
        <row r="498">
          <cell r="A498">
            <v>496</v>
          </cell>
          <cell r="B498" t="str">
            <v>T3</v>
          </cell>
          <cell r="C498">
            <v>82370</v>
          </cell>
        </row>
        <row r="499">
          <cell r="A499">
            <v>497</v>
          </cell>
          <cell r="B499" t="str">
            <v>T3</v>
          </cell>
          <cell r="C499">
            <v>82634</v>
          </cell>
        </row>
        <row r="500">
          <cell r="A500">
            <v>498</v>
          </cell>
          <cell r="B500" t="str">
            <v>T4</v>
          </cell>
          <cell r="C500">
            <v>80076</v>
          </cell>
        </row>
        <row r="501">
          <cell r="A501">
            <v>499</v>
          </cell>
          <cell r="B501" t="str">
            <v>T4</v>
          </cell>
          <cell r="C501">
            <v>80076</v>
          </cell>
        </row>
        <row r="502">
          <cell r="A502">
            <v>500</v>
          </cell>
          <cell r="B502" t="str">
            <v>T4</v>
          </cell>
          <cell r="C502">
            <v>80213</v>
          </cell>
        </row>
        <row r="503">
          <cell r="A503">
            <v>501</v>
          </cell>
          <cell r="B503" t="str">
            <v>T4</v>
          </cell>
          <cell r="C503">
            <v>80223</v>
          </cell>
        </row>
        <row r="504">
          <cell r="A504">
            <v>502</v>
          </cell>
          <cell r="B504" t="str">
            <v>T4</v>
          </cell>
          <cell r="C504">
            <v>80247</v>
          </cell>
        </row>
        <row r="505">
          <cell r="A505">
            <v>503</v>
          </cell>
          <cell r="B505" t="str">
            <v>T4</v>
          </cell>
          <cell r="C505">
            <v>80328</v>
          </cell>
        </row>
        <row r="506">
          <cell r="A506">
            <v>504</v>
          </cell>
          <cell r="B506" t="str">
            <v>T4</v>
          </cell>
          <cell r="C506">
            <v>80328</v>
          </cell>
        </row>
        <row r="507">
          <cell r="A507">
            <v>501</v>
          </cell>
          <cell r="B507" t="str">
            <v>T4</v>
          </cell>
          <cell r="C507">
            <v>80519</v>
          </cell>
        </row>
        <row r="508">
          <cell r="A508">
            <v>502</v>
          </cell>
          <cell r="B508" t="str">
            <v>T4</v>
          </cell>
          <cell r="C508">
            <v>80519</v>
          </cell>
        </row>
        <row r="509">
          <cell r="A509">
            <v>503</v>
          </cell>
          <cell r="B509" t="str">
            <v>T4</v>
          </cell>
          <cell r="C509">
            <v>80949</v>
          </cell>
        </row>
        <row r="510">
          <cell r="A510">
            <v>504</v>
          </cell>
          <cell r="B510" t="str">
            <v>T4</v>
          </cell>
          <cell r="C510">
            <v>81060</v>
          </cell>
        </row>
        <row r="511">
          <cell r="A511">
            <v>505</v>
          </cell>
          <cell r="B511" t="str">
            <v>T4</v>
          </cell>
          <cell r="C511">
            <v>81106</v>
          </cell>
        </row>
        <row r="512">
          <cell r="A512">
            <v>506</v>
          </cell>
          <cell r="B512" t="str">
            <v>T4</v>
          </cell>
          <cell r="C512">
            <v>81106</v>
          </cell>
        </row>
        <row r="513">
          <cell r="A513">
            <v>507</v>
          </cell>
          <cell r="B513" t="str">
            <v>T4</v>
          </cell>
          <cell r="C513">
            <v>81181</v>
          </cell>
        </row>
        <row r="514">
          <cell r="A514">
            <v>508</v>
          </cell>
          <cell r="B514" t="str">
            <v>T4</v>
          </cell>
          <cell r="C514">
            <v>81181</v>
          </cell>
        </row>
        <row r="515">
          <cell r="A515">
            <v>509</v>
          </cell>
          <cell r="B515" t="str">
            <v>T4</v>
          </cell>
          <cell r="C515">
            <v>81302</v>
          </cell>
        </row>
        <row r="516">
          <cell r="A516">
            <v>510</v>
          </cell>
          <cell r="B516" t="str">
            <v>T4</v>
          </cell>
          <cell r="C516">
            <v>81302</v>
          </cell>
        </row>
        <row r="517">
          <cell r="A517">
            <v>511</v>
          </cell>
          <cell r="B517" t="str">
            <v>T4</v>
          </cell>
          <cell r="C517">
            <v>81667</v>
          </cell>
        </row>
        <row r="518">
          <cell r="A518">
            <v>512</v>
          </cell>
          <cell r="B518" t="str">
            <v>T4</v>
          </cell>
          <cell r="C518">
            <v>81667</v>
          </cell>
        </row>
        <row r="519">
          <cell r="A519">
            <v>513</v>
          </cell>
          <cell r="B519" t="str">
            <v>T4</v>
          </cell>
          <cell r="C519">
            <v>81678</v>
          </cell>
        </row>
        <row r="520">
          <cell r="A520">
            <v>514</v>
          </cell>
          <cell r="B520" t="str">
            <v>T4</v>
          </cell>
          <cell r="C520">
            <v>81761</v>
          </cell>
        </row>
        <row r="521">
          <cell r="A521">
            <v>515</v>
          </cell>
          <cell r="B521" t="str">
            <v>T4</v>
          </cell>
          <cell r="C521">
            <v>82053</v>
          </cell>
        </row>
        <row r="522">
          <cell r="A522">
            <v>516</v>
          </cell>
          <cell r="B522" t="str">
            <v>T4</v>
          </cell>
          <cell r="C522">
            <v>82273</v>
          </cell>
        </row>
        <row r="523">
          <cell r="A523">
            <v>517</v>
          </cell>
          <cell r="B523" t="str">
            <v>T4</v>
          </cell>
          <cell r="C523">
            <v>82474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7"/>
      <sheetName val="CĐ"/>
      <sheetName val="Phieu lương"/>
      <sheetName val="Sheet1"/>
      <sheetName val="Sheet2"/>
      <sheetName val="Sheet3"/>
      <sheetName val="Sheet4"/>
      <sheetName val="Sheet2 (2)"/>
    </sheetNames>
    <sheetDataSet>
      <sheetData sheetId="0"/>
      <sheetData sheetId="1"/>
      <sheetData sheetId="2"/>
      <sheetData sheetId="3">
        <row r="9">
          <cell r="AO9">
            <v>26</v>
          </cell>
        </row>
        <row r="15">
          <cell r="B15" t="str">
            <v>Lương Thị Minh</v>
          </cell>
          <cell r="C15">
            <v>50618</v>
          </cell>
          <cell r="F15">
            <v>5111.3076923076924</v>
          </cell>
        </row>
      </sheetData>
      <sheetData sheetId="4">
        <row r="10">
          <cell r="I10">
            <v>26</v>
          </cell>
          <cell r="J10">
            <v>0</v>
          </cell>
          <cell r="K10">
            <v>0</v>
          </cell>
          <cell r="Q10">
            <v>53</v>
          </cell>
        </row>
        <row r="11">
          <cell r="F11">
            <v>9546</v>
          </cell>
          <cell r="I11">
            <v>6052559.0068965508</v>
          </cell>
          <cell r="Q11">
            <v>2313357.8896551724</v>
          </cell>
        </row>
        <row r="12">
          <cell r="I12">
            <v>25</v>
          </cell>
          <cell r="J12">
            <v>1</v>
          </cell>
          <cell r="K12">
            <v>0</v>
          </cell>
          <cell r="Q12">
            <v>49</v>
          </cell>
        </row>
        <row r="13">
          <cell r="F13">
            <v>8116.3461538461534</v>
          </cell>
          <cell r="I13">
            <v>5186638.5542168664</v>
          </cell>
          <cell r="Q13">
            <v>1906089.6686746983</v>
          </cell>
        </row>
        <row r="14">
          <cell r="I14">
            <v>25</v>
          </cell>
          <cell r="J14">
            <v>1</v>
          </cell>
          <cell r="K14">
            <v>0</v>
          </cell>
          <cell r="Q14">
            <v>49</v>
          </cell>
        </row>
        <row r="15">
          <cell r="F15">
            <v>6173.0769230769238</v>
          </cell>
          <cell r="I15">
            <v>3944819.2771084337</v>
          </cell>
          <cell r="Q15">
            <v>1449721.0843373495</v>
          </cell>
        </row>
        <row r="16">
          <cell r="I16">
            <v>18</v>
          </cell>
          <cell r="J16">
            <v>0</v>
          </cell>
          <cell r="K16">
            <v>0</v>
          </cell>
          <cell r="Q16">
            <v>35</v>
          </cell>
        </row>
        <row r="17">
          <cell r="I17">
            <v>3271419.673743017</v>
          </cell>
          <cell r="Q17">
            <v>1192705.089385475</v>
          </cell>
        </row>
        <row r="18">
          <cell r="I18">
            <v>26</v>
          </cell>
          <cell r="J18">
            <v>0</v>
          </cell>
          <cell r="K18">
            <v>0</v>
          </cell>
          <cell r="Q18">
            <v>51</v>
          </cell>
        </row>
        <row r="19">
          <cell r="F19">
            <v>7190.4000000000005</v>
          </cell>
          <cell r="I19">
            <v>4594215.8529729731</v>
          </cell>
          <cell r="Q19">
            <v>1689699.5805405404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01B5-5DB9-4E7F-BDFA-D43DA30EF712}">
  <dimension ref="A1:BB270"/>
  <sheetViews>
    <sheetView showZeros="0" tabSelected="1" zoomScale="70" workbookViewId="0">
      <pane xSplit="3" ySplit="8" topLeftCell="L9" activePane="bottomRight" state="frozen"/>
      <selection pane="topRight"/>
      <selection pane="bottomLeft"/>
      <selection pane="bottomRight" activeCell="B9" sqref="B9"/>
    </sheetView>
  </sheetViews>
  <sheetFormatPr defaultRowHeight="15.75"/>
  <cols>
    <col min="1" max="1" width="4.140625" style="1" customWidth="1"/>
    <col min="2" max="2" width="24" style="1" customWidth="1"/>
    <col min="3" max="3" width="9" style="2" customWidth="1"/>
    <col min="4" max="4" width="11.42578125" style="3" customWidth="1"/>
    <col min="5" max="5" width="14.140625" style="4" customWidth="1"/>
    <col min="6" max="6" width="14" style="1" customWidth="1"/>
    <col min="7" max="7" width="13.85546875" style="1" customWidth="1"/>
    <col min="8" max="8" width="12.28515625" style="1" bestFit="1" customWidth="1"/>
    <col min="9" max="9" width="12.85546875" style="1" bestFit="1" customWidth="1"/>
    <col min="10" max="10" width="10.140625" style="1" bestFit="1" customWidth="1"/>
    <col min="11" max="15" width="10.28515625" style="1" bestFit="1" customWidth="1"/>
    <col min="16" max="16" width="10.140625" style="1" bestFit="1" customWidth="1"/>
    <col min="17" max="17" width="13.5703125" style="5" bestFit="1" customWidth="1"/>
    <col min="18" max="18" width="13.5703125" style="1" bestFit="1" customWidth="1"/>
    <col min="19" max="25" width="9.140625" style="1"/>
    <col min="26" max="26" width="8.7109375" style="1"/>
    <col min="27" max="214" width="9.140625" style="1"/>
    <col min="215" max="215" width="4.140625" style="1" customWidth="1"/>
    <col min="216" max="216" width="24" style="1" customWidth="1"/>
    <col min="217" max="217" width="9" style="1" customWidth="1"/>
    <col min="218" max="218" width="11.42578125" style="1" customWidth="1"/>
    <col min="219" max="219" width="14.140625" style="1" customWidth="1"/>
    <col min="220" max="220" width="14" style="1" customWidth="1"/>
    <col min="221" max="221" width="13.85546875" style="1" customWidth="1"/>
    <col min="222" max="223" width="14.140625" style="1" customWidth="1"/>
    <col min="224" max="224" width="13.140625" style="1" bestFit="1" customWidth="1"/>
    <col min="225" max="248" width="0" style="1" hidden="1" customWidth="1"/>
    <col min="249" max="250" width="8" style="1" customWidth="1"/>
    <col min="251" max="251" width="10.28515625" style="1" customWidth="1"/>
    <col min="252" max="252" width="12.28515625" style="1" bestFit="1" customWidth="1"/>
    <col min="253" max="253" width="12.85546875" style="1" bestFit="1" customWidth="1"/>
    <col min="254" max="254" width="10.28515625" style="1" bestFit="1" customWidth="1"/>
    <col min="255" max="255" width="10.140625" style="1" bestFit="1" customWidth="1"/>
    <col min="256" max="260" width="10.28515625" style="1" bestFit="1" customWidth="1"/>
    <col min="261" max="262" width="10.140625" style="1" bestFit="1" customWidth="1"/>
    <col min="263" max="268" width="10.28515625" style="1" bestFit="1" customWidth="1"/>
    <col min="269" max="271" width="13.5703125" style="1" bestFit="1" customWidth="1"/>
    <col min="272" max="470" width="9.140625" style="1"/>
    <col min="471" max="471" width="4.140625" style="1" customWidth="1"/>
    <col min="472" max="472" width="24" style="1" customWidth="1"/>
    <col min="473" max="473" width="9" style="1" customWidth="1"/>
    <col min="474" max="474" width="11.42578125" style="1" customWidth="1"/>
    <col min="475" max="475" width="14.140625" style="1" customWidth="1"/>
    <col min="476" max="476" width="14" style="1" customWidth="1"/>
    <col min="477" max="477" width="13.85546875" style="1" customWidth="1"/>
    <col min="478" max="479" width="14.140625" style="1" customWidth="1"/>
    <col min="480" max="480" width="13.140625" style="1" bestFit="1" customWidth="1"/>
    <col min="481" max="504" width="0" style="1" hidden="1" customWidth="1"/>
    <col min="505" max="506" width="8" style="1" customWidth="1"/>
    <col min="507" max="507" width="10.28515625" style="1" customWidth="1"/>
    <col min="508" max="508" width="12.28515625" style="1" bestFit="1" customWidth="1"/>
    <col min="509" max="509" width="12.85546875" style="1" bestFit="1" customWidth="1"/>
    <col min="510" max="510" width="10.28515625" style="1" bestFit="1" customWidth="1"/>
    <col min="511" max="511" width="10.140625" style="1" bestFit="1" customWidth="1"/>
    <col min="512" max="516" width="10.28515625" style="1" bestFit="1" customWidth="1"/>
    <col min="517" max="518" width="10.140625" style="1" bestFit="1" customWidth="1"/>
    <col min="519" max="524" width="10.28515625" style="1" bestFit="1" customWidth="1"/>
    <col min="525" max="527" width="13.5703125" style="1" bestFit="1" customWidth="1"/>
    <col min="528" max="726" width="9.140625" style="1"/>
    <col min="727" max="727" width="4.140625" style="1" customWidth="1"/>
    <col min="728" max="728" width="24" style="1" customWidth="1"/>
    <col min="729" max="729" width="9" style="1" customWidth="1"/>
    <col min="730" max="730" width="11.42578125" style="1" customWidth="1"/>
    <col min="731" max="731" width="14.140625" style="1" customWidth="1"/>
    <col min="732" max="732" width="14" style="1" customWidth="1"/>
    <col min="733" max="733" width="13.85546875" style="1" customWidth="1"/>
    <col min="734" max="735" width="14.140625" style="1" customWidth="1"/>
    <col min="736" max="736" width="13.140625" style="1" bestFit="1" customWidth="1"/>
    <col min="737" max="760" width="0" style="1" hidden="1" customWidth="1"/>
    <col min="761" max="762" width="8" style="1" customWidth="1"/>
    <col min="763" max="763" width="10.28515625" style="1" customWidth="1"/>
    <col min="764" max="764" width="12.28515625" style="1" bestFit="1" customWidth="1"/>
    <col min="765" max="765" width="12.85546875" style="1" bestFit="1" customWidth="1"/>
    <col min="766" max="766" width="10.28515625" style="1" bestFit="1" customWidth="1"/>
    <col min="767" max="767" width="10.140625" style="1" bestFit="1" customWidth="1"/>
    <col min="768" max="772" width="10.28515625" style="1" bestFit="1" customWidth="1"/>
    <col min="773" max="774" width="10.140625" style="1" bestFit="1" customWidth="1"/>
    <col min="775" max="780" width="10.28515625" style="1" bestFit="1" customWidth="1"/>
    <col min="781" max="783" width="13.5703125" style="1" bestFit="1" customWidth="1"/>
    <col min="784" max="982" width="9.140625" style="1"/>
    <col min="983" max="983" width="4.140625" style="1" customWidth="1"/>
    <col min="984" max="984" width="24" style="1" customWidth="1"/>
    <col min="985" max="985" width="9" style="1" customWidth="1"/>
    <col min="986" max="986" width="11.42578125" style="1" customWidth="1"/>
    <col min="987" max="987" width="14.140625" style="1" customWidth="1"/>
    <col min="988" max="988" width="14" style="1" customWidth="1"/>
    <col min="989" max="989" width="13.85546875" style="1" customWidth="1"/>
    <col min="990" max="991" width="14.140625" style="1" customWidth="1"/>
    <col min="992" max="992" width="13.140625" style="1" bestFit="1" customWidth="1"/>
    <col min="993" max="1016" width="0" style="1" hidden="1" customWidth="1"/>
    <col min="1017" max="1018" width="8" style="1" customWidth="1"/>
    <col min="1019" max="1019" width="10.28515625" style="1" customWidth="1"/>
    <col min="1020" max="1020" width="12.28515625" style="1" bestFit="1" customWidth="1"/>
    <col min="1021" max="1021" width="12.85546875" style="1" bestFit="1" customWidth="1"/>
    <col min="1022" max="1022" width="10.28515625" style="1" bestFit="1" customWidth="1"/>
    <col min="1023" max="1023" width="10.140625" style="1" bestFit="1" customWidth="1"/>
    <col min="1024" max="1028" width="10.28515625" style="1" bestFit="1" customWidth="1"/>
    <col min="1029" max="1030" width="10.140625" style="1" bestFit="1" customWidth="1"/>
    <col min="1031" max="1036" width="10.28515625" style="1" bestFit="1" customWidth="1"/>
    <col min="1037" max="1039" width="13.5703125" style="1" bestFit="1" customWidth="1"/>
    <col min="1040" max="1238" width="9.140625" style="1"/>
    <col min="1239" max="1239" width="4.140625" style="1" customWidth="1"/>
    <col min="1240" max="1240" width="24" style="1" customWidth="1"/>
    <col min="1241" max="1241" width="9" style="1" customWidth="1"/>
    <col min="1242" max="1242" width="11.42578125" style="1" customWidth="1"/>
    <col min="1243" max="1243" width="14.140625" style="1" customWidth="1"/>
    <col min="1244" max="1244" width="14" style="1" customWidth="1"/>
    <col min="1245" max="1245" width="13.85546875" style="1" customWidth="1"/>
    <col min="1246" max="1247" width="14.140625" style="1" customWidth="1"/>
    <col min="1248" max="1248" width="13.140625" style="1" bestFit="1" customWidth="1"/>
    <col min="1249" max="1272" width="0" style="1" hidden="1" customWidth="1"/>
    <col min="1273" max="1274" width="8" style="1" customWidth="1"/>
    <col min="1275" max="1275" width="10.28515625" style="1" customWidth="1"/>
    <col min="1276" max="1276" width="12.28515625" style="1" bestFit="1" customWidth="1"/>
    <col min="1277" max="1277" width="12.85546875" style="1" bestFit="1" customWidth="1"/>
    <col min="1278" max="1278" width="10.28515625" style="1" bestFit="1" customWidth="1"/>
    <col min="1279" max="1279" width="10.140625" style="1" bestFit="1" customWidth="1"/>
    <col min="1280" max="1284" width="10.28515625" style="1" bestFit="1" customWidth="1"/>
    <col min="1285" max="1286" width="10.140625" style="1" bestFit="1" customWidth="1"/>
    <col min="1287" max="1292" width="10.28515625" style="1" bestFit="1" customWidth="1"/>
    <col min="1293" max="1295" width="13.5703125" style="1" bestFit="1" customWidth="1"/>
    <col min="1296" max="1494" width="9.140625" style="1"/>
    <col min="1495" max="1495" width="4.140625" style="1" customWidth="1"/>
    <col min="1496" max="1496" width="24" style="1" customWidth="1"/>
    <col min="1497" max="1497" width="9" style="1" customWidth="1"/>
    <col min="1498" max="1498" width="11.42578125" style="1" customWidth="1"/>
    <col min="1499" max="1499" width="14.140625" style="1" customWidth="1"/>
    <col min="1500" max="1500" width="14" style="1" customWidth="1"/>
    <col min="1501" max="1501" width="13.85546875" style="1" customWidth="1"/>
    <col min="1502" max="1503" width="14.140625" style="1" customWidth="1"/>
    <col min="1504" max="1504" width="13.140625" style="1" bestFit="1" customWidth="1"/>
    <col min="1505" max="1528" width="0" style="1" hidden="1" customWidth="1"/>
    <col min="1529" max="1530" width="8" style="1" customWidth="1"/>
    <col min="1531" max="1531" width="10.28515625" style="1" customWidth="1"/>
    <col min="1532" max="1532" width="12.28515625" style="1" bestFit="1" customWidth="1"/>
    <col min="1533" max="1533" width="12.85546875" style="1" bestFit="1" customWidth="1"/>
    <col min="1534" max="1534" width="10.28515625" style="1" bestFit="1" customWidth="1"/>
    <col min="1535" max="1535" width="10.140625" style="1" bestFit="1" customWidth="1"/>
    <col min="1536" max="1540" width="10.28515625" style="1" bestFit="1" customWidth="1"/>
    <col min="1541" max="1542" width="10.140625" style="1" bestFit="1" customWidth="1"/>
    <col min="1543" max="1548" width="10.28515625" style="1" bestFit="1" customWidth="1"/>
    <col min="1549" max="1551" width="13.5703125" style="1" bestFit="1" customWidth="1"/>
    <col min="1552" max="1750" width="9.140625" style="1"/>
    <col min="1751" max="1751" width="4.140625" style="1" customWidth="1"/>
    <col min="1752" max="1752" width="24" style="1" customWidth="1"/>
    <col min="1753" max="1753" width="9" style="1" customWidth="1"/>
    <col min="1754" max="1754" width="11.42578125" style="1" customWidth="1"/>
    <col min="1755" max="1755" width="14.140625" style="1" customWidth="1"/>
    <col min="1756" max="1756" width="14" style="1" customWidth="1"/>
    <col min="1757" max="1757" width="13.85546875" style="1" customWidth="1"/>
    <col min="1758" max="1759" width="14.140625" style="1" customWidth="1"/>
    <col min="1760" max="1760" width="13.140625" style="1" bestFit="1" customWidth="1"/>
    <col min="1761" max="1784" width="0" style="1" hidden="1" customWidth="1"/>
    <col min="1785" max="1786" width="8" style="1" customWidth="1"/>
    <col min="1787" max="1787" width="10.28515625" style="1" customWidth="1"/>
    <col min="1788" max="1788" width="12.28515625" style="1" bestFit="1" customWidth="1"/>
    <col min="1789" max="1789" width="12.85546875" style="1" bestFit="1" customWidth="1"/>
    <col min="1790" max="1790" width="10.28515625" style="1" bestFit="1" customWidth="1"/>
    <col min="1791" max="1791" width="10.140625" style="1" bestFit="1" customWidth="1"/>
    <col min="1792" max="1796" width="10.28515625" style="1" bestFit="1" customWidth="1"/>
    <col min="1797" max="1798" width="10.140625" style="1" bestFit="1" customWidth="1"/>
    <col min="1799" max="1804" width="10.28515625" style="1" bestFit="1" customWidth="1"/>
    <col min="1805" max="1807" width="13.5703125" style="1" bestFit="1" customWidth="1"/>
    <col min="1808" max="2006" width="9.140625" style="1"/>
    <col min="2007" max="2007" width="4.140625" style="1" customWidth="1"/>
    <col min="2008" max="2008" width="24" style="1" customWidth="1"/>
    <col min="2009" max="2009" width="9" style="1" customWidth="1"/>
    <col min="2010" max="2010" width="11.42578125" style="1" customWidth="1"/>
    <col min="2011" max="2011" width="14.140625" style="1" customWidth="1"/>
    <col min="2012" max="2012" width="14" style="1" customWidth="1"/>
    <col min="2013" max="2013" width="13.85546875" style="1" customWidth="1"/>
    <col min="2014" max="2015" width="14.140625" style="1" customWidth="1"/>
    <col min="2016" max="2016" width="13.140625" style="1" bestFit="1" customWidth="1"/>
    <col min="2017" max="2040" width="0" style="1" hidden="1" customWidth="1"/>
    <col min="2041" max="2042" width="8" style="1" customWidth="1"/>
    <col min="2043" max="2043" width="10.28515625" style="1" customWidth="1"/>
    <col min="2044" max="2044" width="12.28515625" style="1" bestFit="1" customWidth="1"/>
    <col min="2045" max="2045" width="12.85546875" style="1" bestFit="1" customWidth="1"/>
    <col min="2046" max="2046" width="10.28515625" style="1" bestFit="1" customWidth="1"/>
    <col min="2047" max="2047" width="10.140625" style="1" bestFit="1" customWidth="1"/>
    <col min="2048" max="2052" width="10.28515625" style="1" bestFit="1" customWidth="1"/>
    <col min="2053" max="2054" width="10.140625" style="1" bestFit="1" customWidth="1"/>
    <col min="2055" max="2060" width="10.28515625" style="1" bestFit="1" customWidth="1"/>
    <col min="2061" max="2063" width="13.5703125" style="1" bestFit="1" customWidth="1"/>
    <col min="2064" max="2262" width="9.140625" style="1"/>
    <col min="2263" max="2263" width="4.140625" style="1" customWidth="1"/>
    <col min="2264" max="2264" width="24" style="1" customWidth="1"/>
    <col min="2265" max="2265" width="9" style="1" customWidth="1"/>
    <col min="2266" max="2266" width="11.42578125" style="1" customWidth="1"/>
    <col min="2267" max="2267" width="14.140625" style="1" customWidth="1"/>
    <col min="2268" max="2268" width="14" style="1" customWidth="1"/>
    <col min="2269" max="2269" width="13.85546875" style="1" customWidth="1"/>
    <col min="2270" max="2271" width="14.140625" style="1" customWidth="1"/>
    <col min="2272" max="2272" width="13.140625" style="1" bestFit="1" customWidth="1"/>
    <col min="2273" max="2296" width="0" style="1" hidden="1" customWidth="1"/>
    <col min="2297" max="2298" width="8" style="1" customWidth="1"/>
    <col min="2299" max="2299" width="10.28515625" style="1" customWidth="1"/>
    <col min="2300" max="2300" width="12.28515625" style="1" bestFit="1" customWidth="1"/>
    <col min="2301" max="2301" width="12.85546875" style="1" bestFit="1" customWidth="1"/>
    <col min="2302" max="2302" width="10.28515625" style="1" bestFit="1" customWidth="1"/>
    <col min="2303" max="2303" width="10.140625" style="1" bestFit="1" customWidth="1"/>
    <col min="2304" max="2308" width="10.28515625" style="1" bestFit="1" customWidth="1"/>
    <col min="2309" max="2310" width="10.140625" style="1" bestFit="1" customWidth="1"/>
    <col min="2311" max="2316" width="10.28515625" style="1" bestFit="1" customWidth="1"/>
    <col min="2317" max="2319" width="13.5703125" style="1" bestFit="1" customWidth="1"/>
    <col min="2320" max="2518" width="9.140625" style="1"/>
    <col min="2519" max="2519" width="4.140625" style="1" customWidth="1"/>
    <col min="2520" max="2520" width="24" style="1" customWidth="1"/>
    <col min="2521" max="2521" width="9" style="1" customWidth="1"/>
    <col min="2522" max="2522" width="11.42578125" style="1" customWidth="1"/>
    <col min="2523" max="2523" width="14.140625" style="1" customWidth="1"/>
    <col min="2524" max="2524" width="14" style="1" customWidth="1"/>
    <col min="2525" max="2525" width="13.85546875" style="1" customWidth="1"/>
    <col min="2526" max="2527" width="14.140625" style="1" customWidth="1"/>
    <col min="2528" max="2528" width="13.140625" style="1" bestFit="1" customWidth="1"/>
    <col min="2529" max="2552" width="0" style="1" hidden="1" customWidth="1"/>
    <col min="2553" max="2554" width="8" style="1" customWidth="1"/>
    <col min="2555" max="2555" width="10.28515625" style="1" customWidth="1"/>
    <col min="2556" max="2556" width="12.28515625" style="1" bestFit="1" customWidth="1"/>
    <col min="2557" max="2557" width="12.85546875" style="1" bestFit="1" customWidth="1"/>
    <col min="2558" max="2558" width="10.28515625" style="1" bestFit="1" customWidth="1"/>
    <col min="2559" max="2559" width="10.140625" style="1" bestFit="1" customWidth="1"/>
    <col min="2560" max="2564" width="10.28515625" style="1" bestFit="1" customWidth="1"/>
    <col min="2565" max="2566" width="10.140625" style="1" bestFit="1" customWidth="1"/>
    <col min="2567" max="2572" width="10.28515625" style="1" bestFit="1" customWidth="1"/>
    <col min="2573" max="2575" width="13.5703125" style="1" bestFit="1" customWidth="1"/>
    <col min="2576" max="2774" width="9.140625" style="1"/>
    <col min="2775" max="2775" width="4.140625" style="1" customWidth="1"/>
    <col min="2776" max="2776" width="24" style="1" customWidth="1"/>
    <col min="2777" max="2777" width="9" style="1" customWidth="1"/>
    <col min="2778" max="2778" width="11.42578125" style="1" customWidth="1"/>
    <col min="2779" max="2779" width="14.140625" style="1" customWidth="1"/>
    <col min="2780" max="2780" width="14" style="1" customWidth="1"/>
    <col min="2781" max="2781" width="13.85546875" style="1" customWidth="1"/>
    <col min="2782" max="2783" width="14.140625" style="1" customWidth="1"/>
    <col min="2784" max="2784" width="13.140625" style="1" bestFit="1" customWidth="1"/>
    <col min="2785" max="2808" width="0" style="1" hidden="1" customWidth="1"/>
    <col min="2809" max="2810" width="8" style="1" customWidth="1"/>
    <col min="2811" max="2811" width="10.28515625" style="1" customWidth="1"/>
    <col min="2812" max="2812" width="12.28515625" style="1" bestFit="1" customWidth="1"/>
    <col min="2813" max="2813" width="12.85546875" style="1" bestFit="1" customWidth="1"/>
    <col min="2814" max="2814" width="10.28515625" style="1" bestFit="1" customWidth="1"/>
    <col min="2815" max="2815" width="10.140625" style="1" bestFit="1" customWidth="1"/>
    <col min="2816" max="2820" width="10.28515625" style="1" bestFit="1" customWidth="1"/>
    <col min="2821" max="2822" width="10.140625" style="1" bestFit="1" customWidth="1"/>
    <col min="2823" max="2828" width="10.28515625" style="1" bestFit="1" customWidth="1"/>
    <col min="2829" max="2831" width="13.5703125" style="1" bestFit="1" customWidth="1"/>
    <col min="2832" max="3030" width="9.140625" style="1"/>
    <col min="3031" max="3031" width="4.140625" style="1" customWidth="1"/>
    <col min="3032" max="3032" width="24" style="1" customWidth="1"/>
    <col min="3033" max="3033" width="9" style="1" customWidth="1"/>
    <col min="3034" max="3034" width="11.42578125" style="1" customWidth="1"/>
    <col min="3035" max="3035" width="14.140625" style="1" customWidth="1"/>
    <col min="3036" max="3036" width="14" style="1" customWidth="1"/>
    <col min="3037" max="3037" width="13.85546875" style="1" customWidth="1"/>
    <col min="3038" max="3039" width="14.140625" style="1" customWidth="1"/>
    <col min="3040" max="3040" width="13.140625" style="1" bestFit="1" customWidth="1"/>
    <col min="3041" max="3064" width="0" style="1" hidden="1" customWidth="1"/>
    <col min="3065" max="3066" width="8" style="1" customWidth="1"/>
    <col min="3067" max="3067" width="10.28515625" style="1" customWidth="1"/>
    <col min="3068" max="3068" width="12.28515625" style="1" bestFit="1" customWidth="1"/>
    <col min="3069" max="3069" width="12.85546875" style="1" bestFit="1" customWidth="1"/>
    <col min="3070" max="3070" width="10.28515625" style="1" bestFit="1" customWidth="1"/>
    <col min="3071" max="3071" width="10.140625" style="1" bestFit="1" customWidth="1"/>
    <col min="3072" max="3076" width="10.28515625" style="1" bestFit="1" customWidth="1"/>
    <col min="3077" max="3078" width="10.140625" style="1" bestFit="1" customWidth="1"/>
    <col min="3079" max="3084" width="10.28515625" style="1" bestFit="1" customWidth="1"/>
    <col min="3085" max="3087" width="13.5703125" style="1" bestFit="1" customWidth="1"/>
    <col min="3088" max="3286" width="9.140625" style="1"/>
    <col min="3287" max="3287" width="4.140625" style="1" customWidth="1"/>
    <col min="3288" max="3288" width="24" style="1" customWidth="1"/>
    <col min="3289" max="3289" width="9" style="1" customWidth="1"/>
    <col min="3290" max="3290" width="11.42578125" style="1" customWidth="1"/>
    <col min="3291" max="3291" width="14.140625" style="1" customWidth="1"/>
    <col min="3292" max="3292" width="14" style="1" customWidth="1"/>
    <col min="3293" max="3293" width="13.85546875" style="1" customWidth="1"/>
    <col min="3294" max="3295" width="14.140625" style="1" customWidth="1"/>
    <col min="3296" max="3296" width="13.140625" style="1" bestFit="1" customWidth="1"/>
    <col min="3297" max="3320" width="0" style="1" hidden="1" customWidth="1"/>
    <col min="3321" max="3322" width="8" style="1" customWidth="1"/>
    <col min="3323" max="3323" width="10.28515625" style="1" customWidth="1"/>
    <col min="3324" max="3324" width="12.28515625" style="1" bestFit="1" customWidth="1"/>
    <col min="3325" max="3325" width="12.85546875" style="1" bestFit="1" customWidth="1"/>
    <col min="3326" max="3326" width="10.28515625" style="1" bestFit="1" customWidth="1"/>
    <col min="3327" max="3327" width="10.140625" style="1" bestFit="1" customWidth="1"/>
    <col min="3328" max="3332" width="10.28515625" style="1" bestFit="1" customWidth="1"/>
    <col min="3333" max="3334" width="10.140625" style="1" bestFit="1" customWidth="1"/>
    <col min="3335" max="3340" width="10.28515625" style="1" bestFit="1" customWidth="1"/>
    <col min="3341" max="3343" width="13.5703125" style="1" bestFit="1" customWidth="1"/>
    <col min="3344" max="3542" width="9.140625" style="1"/>
    <col min="3543" max="3543" width="4.140625" style="1" customWidth="1"/>
    <col min="3544" max="3544" width="24" style="1" customWidth="1"/>
    <col min="3545" max="3545" width="9" style="1" customWidth="1"/>
    <col min="3546" max="3546" width="11.42578125" style="1" customWidth="1"/>
    <col min="3547" max="3547" width="14.140625" style="1" customWidth="1"/>
    <col min="3548" max="3548" width="14" style="1" customWidth="1"/>
    <col min="3549" max="3549" width="13.85546875" style="1" customWidth="1"/>
    <col min="3550" max="3551" width="14.140625" style="1" customWidth="1"/>
    <col min="3552" max="3552" width="13.140625" style="1" bestFit="1" customWidth="1"/>
    <col min="3553" max="3576" width="0" style="1" hidden="1" customWidth="1"/>
    <col min="3577" max="3578" width="8" style="1" customWidth="1"/>
    <col min="3579" max="3579" width="10.28515625" style="1" customWidth="1"/>
    <col min="3580" max="3580" width="12.28515625" style="1" bestFit="1" customWidth="1"/>
    <col min="3581" max="3581" width="12.85546875" style="1" bestFit="1" customWidth="1"/>
    <col min="3582" max="3582" width="10.28515625" style="1" bestFit="1" customWidth="1"/>
    <col min="3583" max="3583" width="10.140625" style="1" bestFit="1" customWidth="1"/>
    <col min="3584" max="3588" width="10.28515625" style="1" bestFit="1" customWidth="1"/>
    <col min="3589" max="3590" width="10.140625" style="1" bestFit="1" customWidth="1"/>
    <col min="3591" max="3596" width="10.28515625" style="1" bestFit="1" customWidth="1"/>
    <col min="3597" max="3599" width="13.5703125" style="1" bestFit="1" customWidth="1"/>
    <col min="3600" max="3798" width="9.140625" style="1"/>
    <col min="3799" max="3799" width="4.140625" style="1" customWidth="1"/>
    <col min="3800" max="3800" width="24" style="1" customWidth="1"/>
    <col min="3801" max="3801" width="9" style="1" customWidth="1"/>
    <col min="3802" max="3802" width="11.42578125" style="1" customWidth="1"/>
    <col min="3803" max="3803" width="14.140625" style="1" customWidth="1"/>
    <col min="3804" max="3804" width="14" style="1" customWidth="1"/>
    <col min="3805" max="3805" width="13.85546875" style="1" customWidth="1"/>
    <col min="3806" max="3807" width="14.140625" style="1" customWidth="1"/>
    <col min="3808" max="3808" width="13.140625" style="1" bestFit="1" customWidth="1"/>
    <col min="3809" max="3832" width="0" style="1" hidden="1" customWidth="1"/>
    <col min="3833" max="3834" width="8" style="1" customWidth="1"/>
    <col min="3835" max="3835" width="10.28515625" style="1" customWidth="1"/>
    <col min="3836" max="3836" width="12.28515625" style="1" bestFit="1" customWidth="1"/>
    <col min="3837" max="3837" width="12.85546875" style="1" bestFit="1" customWidth="1"/>
    <col min="3838" max="3838" width="10.28515625" style="1" bestFit="1" customWidth="1"/>
    <col min="3839" max="3839" width="10.140625" style="1" bestFit="1" customWidth="1"/>
    <col min="3840" max="3844" width="10.28515625" style="1" bestFit="1" customWidth="1"/>
    <col min="3845" max="3846" width="10.140625" style="1" bestFit="1" customWidth="1"/>
    <col min="3847" max="3852" width="10.28515625" style="1" bestFit="1" customWidth="1"/>
    <col min="3853" max="3855" width="13.5703125" style="1" bestFit="1" customWidth="1"/>
    <col min="3856" max="4054" width="9.140625" style="1"/>
    <col min="4055" max="4055" width="4.140625" style="1" customWidth="1"/>
    <col min="4056" max="4056" width="24" style="1" customWidth="1"/>
    <col min="4057" max="4057" width="9" style="1" customWidth="1"/>
    <col min="4058" max="4058" width="11.42578125" style="1" customWidth="1"/>
    <col min="4059" max="4059" width="14.140625" style="1" customWidth="1"/>
    <col min="4060" max="4060" width="14" style="1" customWidth="1"/>
    <col min="4061" max="4061" width="13.85546875" style="1" customWidth="1"/>
    <col min="4062" max="4063" width="14.140625" style="1" customWidth="1"/>
    <col min="4064" max="4064" width="13.140625" style="1" bestFit="1" customWidth="1"/>
    <col min="4065" max="4088" width="0" style="1" hidden="1" customWidth="1"/>
    <col min="4089" max="4090" width="8" style="1" customWidth="1"/>
    <col min="4091" max="4091" width="10.28515625" style="1" customWidth="1"/>
    <col min="4092" max="4092" width="12.28515625" style="1" bestFit="1" customWidth="1"/>
    <col min="4093" max="4093" width="12.85546875" style="1" bestFit="1" customWidth="1"/>
    <col min="4094" max="4094" width="10.28515625" style="1" bestFit="1" customWidth="1"/>
    <col min="4095" max="4095" width="10.140625" style="1" bestFit="1" customWidth="1"/>
    <col min="4096" max="4100" width="10.28515625" style="1" bestFit="1" customWidth="1"/>
    <col min="4101" max="4102" width="10.140625" style="1" bestFit="1" customWidth="1"/>
    <col min="4103" max="4108" width="10.28515625" style="1" bestFit="1" customWidth="1"/>
    <col min="4109" max="4111" width="13.5703125" style="1" bestFit="1" customWidth="1"/>
    <col min="4112" max="4310" width="9.140625" style="1"/>
    <col min="4311" max="4311" width="4.140625" style="1" customWidth="1"/>
    <col min="4312" max="4312" width="24" style="1" customWidth="1"/>
    <col min="4313" max="4313" width="9" style="1" customWidth="1"/>
    <col min="4314" max="4314" width="11.42578125" style="1" customWidth="1"/>
    <col min="4315" max="4315" width="14.140625" style="1" customWidth="1"/>
    <col min="4316" max="4316" width="14" style="1" customWidth="1"/>
    <col min="4317" max="4317" width="13.85546875" style="1" customWidth="1"/>
    <col min="4318" max="4319" width="14.140625" style="1" customWidth="1"/>
    <col min="4320" max="4320" width="13.140625" style="1" bestFit="1" customWidth="1"/>
    <col min="4321" max="4344" width="0" style="1" hidden="1" customWidth="1"/>
    <col min="4345" max="4346" width="8" style="1" customWidth="1"/>
    <col min="4347" max="4347" width="10.28515625" style="1" customWidth="1"/>
    <col min="4348" max="4348" width="12.28515625" style="1" bestFit="1" customWidth="1"/>
    <col min="4349" max="4349" width="12.85546875" style="1" bestFit="1" customWidth="1"/>
    <col min="4350" max="4350" width="10.28515625" style="1" bestFit="1" customWidth="1"/>
    <col min="4351" max="4351" width="10.140625" style="1" bestFit="1" customWidth="1"/>
    <col min="4352" max="4356" width="10.28515625" style="1" bestFit="1" customWidth="1"/>
    <col min="4357" max="4358" width="10.140625" style="1" bestFit="1" customWidth="1"/>
    <col min="4359" max="4364" width="10.28515625" style="1" bestFit="1" customWidth="1"/>
    <col min="4365" max="4367" width="13.5703125" style="1" bestFit="1" customWidth="1"/>
    <col min="4368" max="4566" width="9.140625" style="1"/>
    <col min="4567" max="4567" width="4.140625" style="1" customWidth="1"/>
    <col min="4568" max="4568" width="24" style="1" customWidth="1"/>
    <col min="4569" max="4569" width="9" style="1" customWidth="1"/>
    <col min="4570" max="4570" width="11.42578125" style="1" customWidth="1"/>
    <col min="4571" max="4571" width="14.140625" style="1" customWidth="1"/>
    <col min="4572" max="4572" width="14" style="1" customWidth="1"/>
    <col min="4573" max="4573" width="13.85546875" style="1" customWidth="1"/>
    <col min="4574" max="4575" width="14.140625" style="1" customWidth="1"/>
    <col min="4576" max="4576" width="13.140625" style="1" bestFit="1" customWidth="1"/>
    <col min="4577" max="4600" width="0" style="1" hidden="1" customWidth="1"/>
    <col min="4601" max="4602" width="8" style="1" customWidth="1"/>
    <col min="4603" max="4603" width="10.28515625" style="1" customWidth="1"/>
    <col min="4604" max="4604" width="12.28515625" style="1" bestFit="1" customWidth="1"/>
    <col min="4605" max="4605" width="12.85546875" style="1" bestFit="1" customWidth="1"/>
    <col min="4606" max="4606" width="10.28515625" style="1" bestFit="1" customWidth="1"/>
    <col min="4607" max="4607" width="10.140625" style="1" bestFit="1" customWidth="1"/>
    <col min="4608" max="4612" width="10.28515625" style="1" bestFit="1" customWidth="1"/>
    <col min="4613" max="4614" width="10.140625" style="1" bestFit="1" customWidth="1"/>
    <col min="4615" max="4620" width="10.28515625" style="1" bestFit="1" customWidth="1"/>
    <col min="4621" max="4623" width="13.5703125" style="1" bestFit="1" customWidth="1"/>
    <col min="4624" max="4822" width="9.140625" style="1"/>
    <col min="4823" max="4823" width="4.140625" style="1" customWidth="1"/>
    <col min="4824" max="4824" width="24" style="1" customWidth="1"/>
    <col min="4825" max="4825" width="9" style="1" customWidth="1"/>
    <col min="4826" max="4826" width="11.42578125" style="1" customWidth="1"/>
    <col min="4827" max="4827" width="14.140625" style="1" customWidth="1"/>
    <col min="4828" max="4828" width="14" style="1" customWidth="1"/>
    <col min="4829" max="4829" width="13.85546875" style="1" customWidth="1"/>
    <col min="4830" max="4831" width="14.140625" style="1" customWidth="1"/>
    <col min="4832" max="4832" width="13.140625" style="1" bestFit="1" customWidth="1"/>
    <col min="4833" max="4856" width="0" style="1" hidden="1" customWidth="1"/>
    <col min="4857" max="4858" width="8" style="1" customWidth="1"/>
    <col min="4859" max="4859" width="10.28515625" style="1" customWidth="1"/>
    <col min="4860" max="4860" width="12.28515625" style="1" bestFit="1" customWidth="1"/>
    <col min="4861" max="4861" width="12.85546875" style="1" bestFit="1" customWidth="1"/>
    <col min="4862" max="4862" width="10.28515625" style="1" bestFit="1" customWidth="1"/>
    <col min="4863" max="4863" width="10.140625" style="1" bestFit="1" customWidth="1"/>
    <col min="4864" max="4868" width="10.28515625" style="1" bestFit="1" customWidth="1"/>
    <col min="4869" max="4870" width="10.140625" style="1" bestFit="1" customWidth="1"/>
    <col min="4871" max="4876" width="10.28515625" style="1" bestFit="1" customWidth="1"/>
    <col min="4877" max="4879" width="13.5703125" style="1" bestFit="1" customWidth="1"/>
    <col min="4880" max="5078" width="9.140625" style="1"/>
    <col min="5079" max="5079" width="4.140625" style="1" customWidth="1"/>
    <col min="5080" max="5080" width="24" style="1" customWidth="1"/>
    <col min="5081" max="5081" width="9" style="1" customWidth="1"/>
    <col min="5082" max="5082" width="11.42578125" style="1" customWidth="1"/>
    <col min="5083" max="5083" width="14.140625" style="1" customWidth="1"/>
    <col min="5084" max="5084" width="14" style="1" customWidth="1"/>
    <col min="5085" max="5085" width="13.85546875" style="1" customWidth="1"/>
    <col min="5086" max="5087" width="14.140625" style="1" customWidth="1"/>
    <col min="5088" max="5088" width="13.140625" style="1" bestFit="1" customWidth="1"/>
    <col min="5089" max="5112" width="0" style="1" hidden="1" customWidth="1"/>
    <col min="5113" max="5114" width="8" style="1" customWidth="1"/>
    <col min="5115" max="5115" width="10.28515625" style="1" customWidth="1"/>
    <col min="5116" max="5116" width="12.28515625" style="1" bestFit="1" customWidth="1"/>
    <col min="5117" max="5117" width="12.85546875" style="1" bestFit="1" customWidth="1"/>
    <col min="5118" max="5118" width="10.28515625" style="1" bestFit="1" customWidth="1"/>
    <col min="5119" max="5119" width="10.140625" style="1" bestFit="1" customWidth="1"/>
    <col min="5120" max="5124" width="10.28515625" style="1" bestFit="1" customWidth="1"/>
    <col min="5125" max="5126" width="10.140625" style="1" bestFit="1" customWidth="1"/>
    <col min="5127" max="5132" width="10.28515625" style="1" bestFit="1" customWidth="1"/>
    <col min="5133" max="5135" width="13.5703125" style="1" bestFit="1" customWidth="1"/>
    <col min="5136" max="5334" width="9.140625" style="1"/>
    <col min="5335" max="5335" width="4.140625" style="1" customWidth="1"/>
    <col min="5336" max="5336" width="24" style="1" customWidth="1"/>
    <col min="5337" max="5337" width="9" style="1" customWidth="1"/>
    <col min="5338" max="5338" width="11.42578125" style="1" customWidth="1"/>
    <col min="5339" max="5339" width="14.140625" style="1" customWidth="1"/>
    <col min="5340" max="5340" width="14" style="1" customWidth="1"/>
    <col min="5341" max="5341" width="13.85546875" style="1" customWidth="1"/>
    <col min="5342" max="5343" width="14.140625" style="1" customWidth="1"/>
    <col min="5344" max="5344" width="13.140625" style="1" bestFit="1" customWidth="1"/>
    <col min="5345" max="5368" width="0" style="1" hidden="1" customWidth="1"/>
    <col min="5369" max="5370" width="8" style="1" customWidth="1"/>
    <col min="5371" max="5371" width="10.28515625" style="1" customWidth="1"/>
    <col min="5372" max="5372" width="12.28515625" style="1" bestFit="1" customWidth="1"/>
    <col min="5373" max="5373" width="12.85546875" style="1" bestFit="1" customWidth="1"/>
    <col min="5374" max="5374" width="10.28515625" style="1" bestFit="1" customWidth="1"/>
    <col min="5375" max="5375" width="10.140625" style="1" bestFit="1" customWidth="1"/>
    <col min="5376" max="5380" width="10.28515625" style="1" bestFit="1" customWidth="1"/>
    <col min="5381" max="5382" width="10.140625" style="1" bestFit="1" customWidth="1"/>
    <col min="5383" max="5388" width="10.28515625" style="1" bestFit="1" customWidth="1"/>
    <col min="5389" max="5391" width="13.5703125" style="1" bestFit="1" customWidth="1"/>
    <col min="5392" max="5590" width="9.140625" style="1"/>
    <col min="5591" max="5591" width="4.140625" style="1" customWidth="1"/>
    <col min="5592" max="5592" width="24" style="1" customWidth="1"/>
    <col min="5593" max="5593" width="9" style="1" customWidth="1"/>
    <col min="5594" max="5594" width="11.42578125" style="1" customWidth="1"/>
    <col min="5595" max="5595" width="14.140625" style="1" customWidth="1"/>
    <col min="5596" max="5596" width="14" style="1" customWidth="1"/>
    <col min="5597" max="5597" width="13.85546875" style="1" customWidth="1"/>
    <col min="5598" max="5599" width="14.140625" style="1" customWidth="1"/>
    <col min="5600" max="5600" width="13.140625" style="1" bestFit="1" customWidth="1"/>
    <col min="5601" max="5624" width="0" style="1" hidden="1" customWidth="1"/>
    <col min="5625" max="5626" width="8" style="1" customWidth="1"/>
    <col min="5627" max="5627" width="10.28515625" style="1" customWidth="1"/>
    <col min="5628" max="5628" width="12.28515625" style="1" bestFit="1" customWidth="1"/>
    <col min="5629" max="5629" width="12.85546875" style="1" bestFit="1" customWidth="1"/>
    <col min="5630" max="5630" width="10.28515625" style="1" bestFit="1" customWidth="1"/>
    <col min="5631" max="5631" width="10.140625" style="1" bestFit="1" customWidth="1"/>
    <col min="5632" max="5636" width="10.28515625" style="1" bestFit="1" customWidth="1"/>
    <col min="5637" max="5638" width="10.140625" style="1" bestFit="1" customWidth="1"/>
    <col min="5639" max="5644" width="10.28515625" style="1" bestFit="1" customWidth="1"/>
    <col min="5645" max="5647" width="13.5703125" style="1" bestFit="1" customWidth="1"/>
    <col min="5648" max="5846" width="9.140625" style="1"/>
    <col min="5847" max="5847" width="4.140625" style="1" customWidth="1"/>
    <col min="5848" max="5848" width="24" style="1" customWidth="1"/>
    <col min="5849" max="5849" width="9" style="1" customWidth="1"/>
    <col min="5850" max="5850" width="11.42578125" style="1" customWidth="1"/>
    <col min="5851" max="5851" width="14.140625" style="1" customWidth="1"/>
    <col min="5852" max="5852" width="14" style="1" customWidth="1"/>
    <col min="5853" max="5853" width="13.85546875" style="1" customWidth="1"/>
    <col min="5854" max="5855" width="14.140625" style="1" customWidth="1"/>
    <col min="5856" max="5856" width="13.140625" style="1" bestFit="1" customWidth="1"/>
    <col min="5857" max="5880" width="0" style="1" hidden="1" customWidth="1"/>
    <col min="5881" max="5882" width="8" style="1" customWidth="1"/>
    <col min="5883" max="5883" width="10.28515625" style="1" customWidth="1"/>
    <col min="5884" max="5884" width="12.28515625" style="1" bestFit="1" customWidth="1"/>
    <col min="5885" max="5885" width="12.85546875" style="1" bestFit="1" customWidth="1"/>
    <col min="5886" max="5886" width="10.28515625" style="1" bestFit="1" customWidth="1"/>
    <col min="5887" max="5887" width="10.140625" style="1" bestFit="1" customWidth="1"/>
    <col min="5888" max="5892" width="10.28515625" style="1" bestFit="1" customWidth="1"/>
    <col min="5893" max="5894" width="10.140625" style="1" bestFit="1" customWidth="1"/>
    <col min="5895" max="5900" width="10.28515625" style="1" bestFit="1" customWidth="1"/>
    <col min="5901" max="5903" width="13.5703125" style="1" bestFit="1" customWidth="1"/>
    <col min="5904" max="6102" width="9.140625" style="1"/>
    <col min="6103" max="6103" width="4.140625" style="1" customWidth="1"/>
    <col min="6104" max="6104" width="24" style="1" customWidth="1"/>
    <col min="6105" max="6105" width="9" style="1" customWidth="1"/>
    <col min="6106" max="6106" width="11.42578125" style="1" customWidth="1"/>
    <col min="6107" max="6107" width="14.140625" style="1" customWidth="1"/>
    <col min="6108" max="6108" width="14" style="1" customWidth="1"/>
    <col min="6109" max="6109" width="13.85546875" style="1" customWidth="1"/>
    <col min="6110" max="6111" width="14.140625" style="1" customWidth="1"/>
    <col min="6112" max="6112" width="13.140625" style="1" bestFit="1" customWidth="1"/>
    <col min="6113" max="6136" width="0" style="1" hidden="1" customWidth="1"/>
    <col min="6137" max="6138" width="8" style="1" customWidth="1"/>
    <col min="6139" max="6139" width="10.28515625" style="1" customWidth="1"/>
    <col min="6140" max="6140" width="12.28515625" style="1" bestFit="1" customWidth="1"/>
    <col min="6141" max="6141" width="12.85546875" style="1" bestFit="1" customWidth="1"/>
    <col min="6142" max="6142" width="10.28515625" style="1" bestFit="1" customWidth="1"/>
    <col min="6143" max="6143" width="10.140625" style="1" bestFit="1" customWidth="1"/>
    <col min="6144" max="6148" width="10.28515625" style="1" bestFit="1" customWidth="1"/>
    <col min="6149" max="6150" width="10.140625" style="1" bestFit="1" customWidth="1"/>
    <col min="6151" max="6156" width="10.28515625" style="1" bestFit="1" customWidth="1"/>
    <col min="6157" max="6159" width="13.5703125" style="1" bestFit="1" customWidth="1"/>
    <col min="6160" max="6358" width="9.140625" style="1"/>
    <col min="6359" max="6359" width="4.140625" style="1" customWidth="1"/>
    <col min="6360" max="6360" width="24" style="1" customWidth="1"/>
    <col min="6361" max="6361" width="9" style="1" customWidth="1"/>
    <col min="6362" max="6362" width="11.42578125" style="1" customWidth="1"/>
    <col min="6363" max="6363" width="14.140625" style="1" customWidth="1"/>
    <col min="6364" max="6364" width="14" style="1" customWidth="1"/>
    <col min="6365" max="6365" width="13.85546875" style="1" customWidth="1"/>
    <col min="6366" max="6367" width="14.140625" style="1" customWidth="1"/>
    <col min="6368" max="6368" width="13.140625" style="1" bestFit="1" customWidth="1"/>
    <col min="6369" max="6392" width="0" style="1" hidden="1" customWidth="1"/>
    <col min="6393" max="6394" width="8" style="1" customWidth="1"/>
    <col min="6395" max="6395" width="10.28515625" style="1" customWidth="1"/>
    <col min="6396" max="6396" width="12.28515625" style="1" bestFit="1" customWidth="1"/>
    <col min="6397" max="6397" width="12.85546875" style="1" bestFit="1" customWidth="1"/>
    <col min="6398" max="6398" width="10.28515625" style="1" bestFit="1" customWidth="1"/>
    <col min="6399" max="6399" width="10.140625" style="1" bestFit="1" customWidth="1"/>
    <col min="6400" max="6404" width="10.28515625" style="1" bestFit="1" customWidth="1"/>
    <col min="6405" max="6406" width="10.140625" style="1" bestFit="1" customWidth="1"/>
    <col min="6407" max="6412" width="10.28515625" style="1" bestFit="1" customWidth="1"/>
    <col min="6413" max="6415" width="13.5703125" style="1" bestFit="1" customWidth="1"/>
    <col min="6416" max="6614" width="9.140625" style="1"/>
    <col min="6615" max="6615" width="4.140625" style="1" customWidth="1"/>
    <col min="6616" max="6616" width="24" style="1" customWidth="1"/>
    <col min="6617" max="6617" width="9" style="1" customWidth="1"/>
    <col min="6618" max="6618" width="11.42578125" style="1" customWidth="1"/>
    <col min="6619" max="6619" width="14.140625" style="1" customWidth="1"/>
    <col min="6620" max="6620" width="14" style="1" customWidth="1"/>
    <col min="6621" max="6621" width="13.85546875" style="1" customWidth="1"/>
    <col min="6622" max="6623" width="14.140625" style="1" customWidth="1"/>
    <col min="6624" max="6624" width="13.140625" style="1" bestFit="1" customWidth="1"/>
    <col min="6625" max="6648" width="0" style="1" hidden="1" customWidth="1"/>
    <col min="6649" max="6650" width="8" style="1" customWidth="1"/>
    <col min="6651" max="6651" width="10.28515625" style="1" customWidth="1"/>
    <col min="6652" max="6652" width="12.28515625" style="1" bestFit="1" customWidth="1"/>
    <col min="6653" max="6653" width="12.85546875" style="1" bestFit="1" customWidth="1"/>
    <col min="6654" max="6654" width="10.28515625" style="1" bestFit="1" customWidth="1"/>
    <col min="6655" max="6655" width="10.140625" style="1" bestFit="1" customWidth="1"/>
    <col min="6656" max="6660" width="10.28515625" style="1" bestFit="1" customWidth="1"/>
    <col min="6661" max="6662" width="10.140625" style="1" bestFit="1" customWidth="1"/>
    <col min="6663" max="6668" width="10.28515625" style="1" bestFit="1" customWidth="1"/>
    <col min="6669" max="6671" width="13.5703125" style="1" bestFit="1" customWidth="1"/>
    <col min="6672" max="6870" width="9.140625" style="1"/>
    <col min="6871" max="6871" width="4.140625" style="1" customWidth="1"/>
    <col min="6872" max="6872" width="24" style="1" customWidth="1"/>
    <col min="6873" max="6873" width="9" style="1" customWidth="1"/>
    <col min="6874" max="6874" width="11.42578125" style="1" customWidth="1"/>
    <col min="6875" max="6875" width="14.140625" style="1" customWidth="1"/>
    <col min="6876" max="6876" width="14" style="1" customWidth="1"/>
    <col min="6877" max="6877" width="13.85546875" style="1" customWidth="1"/>
    <col min="6878" max="6879" width="14.140625" style="1" customWidth="1"/>
    <col min="6880" max="6880" width="13.140625" style="1" bestFit="1" customWidth="1"/>
    <col min="6881" max="6904" width="0" style="1" hidden="1" customWidth="1"/>
    <col min="6905" max="6906" width="8" style="1" customWidth="1"/>
    <col min="6907" max="6907" width="10.28515625" style="1" customWidth="1"/>
    <col min="6908" max="6908" width="12.28515625" style="1" bestFit="1" customWidth="1"/>
    <col min="6909" max="6909" width="12.85546875" style="1" bestFit="1" customWidth="1"/>
    <col min="6910" max="6910" width="10.28515625" style="1" bestFit="1" customWidth="1"/>
    <col min="6911" max="6911" width="10.140625" style="1" bestFit="1" customWidth="1"/>
    <col min="6912" max="6916" width="10.28515625" style="1" bestFit="1" customWidth="1"/>
    <col min="6917" max="6918" width="10.140625" style="1" bestFit="1" customWidth="1"/>
    <col min="6919" max="6924" width="10.28515625" style="1" bestFit="1" customWidth="1"/>
    <col min="6925" max="6927" width="13.5703125" style="1" bestFit="1" customWidth="1"/>
    <col min="6928" max="7126" width="9.140625" style="1"/>
    <col min="7127" max="7127" width="4.140625" style="1" customWidth="1"/>
    <col min="7128" max="7128" width="24" style="1" customWidth="1"/>
    <col min="7129" max="7129" width="9" style="1" customWidth="1"/>
    <col min="7130" max="7130" width="11.42578125" style="1" customWidth="1"/>
    <col min="7131" max="7131" width="14.140625" style="1" customWidth="1"/>
    <col min="7132" max="7132" width="14" style="1" customWidth="1"/>
    <col min="7133" max="7133" width="13.85546875" style="1" customWidth="1"/>
    <col min="7134" max="7135" width="14.140625" style="1" customWidth="1"/>
    <col min="7136" max="7136" width="13.140625" style="1" bestFit="1" customWidth="1"/>
    <col min="7137" max="7160" width="0" style="1" hidden="1" customWidth="1"/>
    <col min="7161" max="7162" width="8" style="1" customWidth="1"/>
    <col min="7163" max="7163" width="10.28515625" style="1" customWidth="1"/>
    <col min="7164" max="7164" width="12.28515625" style="1" bestFit="1" customWidth="1"/>
    <col min="7165" max="7165" width="12.85546875" style="1" bestFit="1" customWidth="1"/>
    <col min="7166" max="7166" width="10.28515625" style="1" bestFit="1" customWidth="1"/>
    <col min="7167" max="7167" width="10.140625" style="1" bestFit="1" customWidth="1"/>
    <col min="7168" max="7172" width="10.28515625" style="1" bestFit="1" customWidth="1"/>
    <col min="7173" max="7174" width="10.140625" style="1" bestFit="1" customWidth="1"/>
    <col min="7175" max="7180" width="10.28515625" style="1" bestFit="1" customWidth="1"/>
    <col min="7181" max="7183" width="13.5703125" style="1" bestFit="1" customWidth="1"/>
    <col min="7184" max="7382" width="9.140625" style="1"/>
    <col min="7383" max="7383" width="4.140625" style="1" customWidth="1"/>
    <col min="7384" max="7384" width="24" style="1" customWidth="1"/>
    <col min="7385" max="7385" width="9" style="1" customWidth="1"/>
    <col min="7386" max="7386" width="11.42578125" style="1" customWidth="1"/>
    <col min="7387" max="7387" width="14.140625" style="1" customWidth="1"/>
    <col min="7388" max="7388" width="14" style="1" customWidth="1"/>
    <col min="7389" max="7389" width="13.85546875" style="1" customWidth="1"/>
    <col min="7390" max="7391" width="14.140625" style="1" customWidth="1"/>
    <col min="7392" max="7392" width="13.140625" style="1" bestFit="1" customWidth="1"/>
    <col min="7393" max="7416" width="0" style="1" hidden="1" customWidth="1"/>
    <col min="7417" max="7418" width="8" style="1" customWidth="1"/>
    <col min="7419" max="7419" width="10.28515625" style="1" customWidth="1"/>
    <col min="7420" max="7420" width="12.28515625" style="1" bestFit="1" customWidth="1"/>
    <col min="7421" max="7421" width="12.85546875" style="1" bestFit="1" customWidth="1"/>
    <col min="7422" max="7422" width="10.28515625" style="1" bestFit="1" customWidth="1"/>
    <col min="7423" max="7423" width="10.140625" style="1" bestFit="1" customWidth="1"/>
    <col min="7424" max="7428" width="10.28515625" style="1" bestFit="1" customWidth="1"/>
    <col min="7429" max="7430" width="10.140625" style="1" bestFit="1" customWidth="1"/>
    <col min="7431" max="7436" width="10.28515625" style="1" bestFit="1" customWidth="1"/>
    <col min="7437" max="7439" width="13.5703125" style="1" bestFit="1" customWidth="1"/>
    <col min="7440" max="7638" width="9.140625" style="1"/>
    <col min="7639" max="7639" width="4.140625" style="1" customWidth="1"/>
    <col min="7640" max="7640" width="24" style="1" customWidth="1"/>
    <col min="7641" max="7641" width="9" style="1" customWidth="1"/>
    <col min="7642" max="7642" width="11.42578125" style="1" customWidth="1"/>
    <col min="7643" max="7643" width="14.140625" style="1" customWidth="1"/>
    <col min="7644" max="7644" width="14" style="1" customWidth="1"/>
    <col min="7645" max="7645" width="13.85546875" style="1" customWidth="1"/>
    <col min="7646" max="7647" width="14.140625" style="1" customWidth="1"/>
    <col min="7648" max="7648" width="13.140625" style="1" bestFit="1" customWidth="1"/>
    <col min="7649" max="7672" width="0" style="1" hidden="1" customWidth="1"/>
    <col min="7673" max="7674" width="8" style="1" customWidth="1"/>
    <col min="7675" max="7675" width="10.28515625" style="1" customWidth="1"/>
    <col min="7676" max="7676" width="12.28515625" style="1" bestFit="1" customWidth="1"/>
    <col min="7677" max="7677" width="12.85546875" style="1" bestFit="1" customWidth="1"/>
    <col min="7678" max="7678" width="10.28515625" style="1" bestFit="1" customWidth="1"/>
    <col min="7679" max="7679" width="10.140625" style="1" bestFit="1" customWidth="1"/>
    <col min="7680" max="7684" width="10.28515625" style="1" bestFit="1" customWidth="1"/>
    <col min="7685" max="7686" width="10.140625" style="1" bestFit="1" customWidth="1"/>
    <col min="7687" max="7692" width="10.28515625" style="1" bestFit="1" customWidth="1"/>
    <col min="7693" max="7695" width="13.5703125" style="1" bestFit="1" customWidth="1"/>
    <col min="7696" max="7894" width="9.140625" style="1"/>
    <col min="7895" max="7895" width="4.140625" style="1" customWidth="1"/>
    <col min="7896" max="7896" width="24" style="1" customWidth="1"/>
    <col min="7897" max="7897" width="9" style="1" customWidth="1"/>
    <col min="7898" max="7898" width="11.42578125" style="1" customWidth="1"/>
    <col min="7899" max="7899" width="14.140625" style="1" customWidth="1"/>
    <col min="7900" max="7900" width="14" style="1" customWidth="1"/>
    <col min="7901" max="7901" width="13.85546875" style="1" customWidth="1"/>
    <col min="7902" max="7903" width="14.140625" style="1" customWidth="1"/>
    <col min="7904" max="7904" width="13.140625" style="1" bestFit="1" customWidth="1"/>
    <col min="7905" max="7928" width="0" style="1" hidden="1" customWidth="1"/>
    <col min="7929" max="7930" width="8" style="1" customWidth="1"/>
    <col min="7931" max="7931" width="10.28515625" style="1" customWidth="1"/>
    <col min="7932" max="7932" width="12.28515625" style="1" bestFit="1" customWidth="1"/>
    <col min="7933" max="7933" width="12.85546875" style="1" bestFit="1" customWidth="1"/>
    <col min="7934" max="7934" width="10.28515625" style="1" bestFit="1" customWidth="1"/>
    <col min="7935" max="7935" width="10.140625" style="1" bestFit="1" customWidth="1"/>
    <col min="7936" max="7940" width="10.28515625" style="1" bestFit="1" customWidth="1"/>
    <col min="7941" max="7942" width="10.140625" style="1" bestFit="1" customWidth="1"/>
    <col min="7943" max="7948" width="10.28515625" style="1" bestFit="1" customWidth="1"/>
    <col min="7949" max="7951" width="13.5703125" style="1" bestFit="1" customWidth="1"/>
    <col min="7952" max="8150" width="9.140625" style="1"/>
    <col min="8151" max="8151" width="4.140625" style="1" customWidth="1"/>
    <col min="8152" max="8152" width="24" style="1" customWidth="1"/>
    <col min="8153" max="8153" width="9" style="1" customWidth="1"/>
    <col min="8154" max="8154" width="11.42578125" style="1" customWidth="1"/>
    <col min="8155" max="8155" width="14.140625" style="1" customWidth="1"/>
    <col min="8156" max="8156" width="14" style="1" customWidth="1"/>
    <col min="8157" max="8157" width="13.85546875" style="1" customWidth="1"/>
    <col min="8158" max="8159" width="14.140625" style="1" customWidth="1"/>
    <col min="8160" max="8160" width="13.140625" style="1" bestFit="1" customWidth="1"/>
    <col min="8161" max="8184" width="0" style="1" hidden="1" customWidth="1"/>
    <col min="8185" max="8186" width="8" style="1" customWidth="1"/>
    <col min="8187" max="8187" width="10.28515625" style="1" customWidth="1"/>
    <col min="8188" max="8188" width="12.28515625" style="1" bestFit="1" customWidth="1"/>
    <col min="8189" max="8189" width="12.85546875" style="1" bestFit="1" customWidth="1"/>
    <col min="8190" max="8190" width="10.28515625" style="1" bestFit="1" customWidth="1"/>
    <col min="8191" max="8191" width="10.140625" style="1" bestFit="1" customWidth="1"/>
    <col min="8192" max="8196" width="10.28515625" style="1" bestFit="1" customWidth="1"/>
    <col min="8197" max="8198" width="10.140625" style="1" bestFit="1" customWidth="1"/>
    <col min="8199" max="8204" width="10.28515625" style="1" bestFit="1" customWidth="1"/>
    <col min="8205" max="8207" width="13.5703125" style="1" bestFit="1" customWidth="1"/>
    <col min="8208" max="8406" width="9.140625" style="1"/>
    <col min="8407" max="8407" width="4.140625" style="1" customWidth="1"/>
    <col min="8408" max="8408" width="24" style="1" customWidth="1"/>
    <col min="8409" max="8409" width="9" style="1" customWidth="1"/>
    <col min="8410" max="8410" width="11.42578125" style="1" customWidth="1"/>
    <col min="8411" max="8411" width="14.140625" style="1" customWidth="1"/>
    <col min="8412" max="8412" width="14" style="1" customWidth="1"/>
    <col min="8413" max="8413" width="13.85546875" style="1" customWidth="1"/>
    <col min="8414" max="8415" width="14.140625" style="1" customWidth="1"/>
    <col min="8416" max="8416" width="13.140625" style="1" bestFit="1" customWidth="1"/>
    <col min="8417" max="8440" width="0" style="1" hidden="1" customWidth="1"/>
    <col min="8441" max="8442" width="8" style="1" customWidth="1"/>
    <col min="8443" max="8443" width="10.28515625" style="1" customWidth="1"/>
    <col min="8444" max="8444" width="12.28515625" style="1" bestFit="1" customWidth="1"/>
    <col min="8445" max="8445" width="12.85546875" style="1" bestFit="1" customWidth="1"/>
    <col min="8446" max="8446" width="10.28515625" style="1" bestFit="1" customWidth="1"/>
    <col min="8447" max="8447" width="10.140625" style="1" bestFit="1" customWidth="1"/>
    <col min="8448" max="8452" width="10.28515625" style="1" bestFit="1" customWidth="1"/>
    <col min="8453" max="8454" width="10.140625" style="1" bestFit="1" customWidth="1"/>
    <col min="8455" max="8460" width="10.28515625" style="1" bestFit="1" customWidth="1"/>
    <col min="8461" max="8463" width="13.5703125" style="1" bestFit="1" customWidth="1"/>
    <col min="8464" max="8662" width="9.140625" style="1"/>
    <col min="8663" max="8663" width="4.140625" style="1" customWidth="1"/>
    <col min="8664" max="8664" width="24" style="1" customWidth="1"/>
    <col min="8665" max="8665" width="9" style="1" customWidth="1"/>
    <col min="8666" max="8666" width="11.42578125" style="1" customWidth="1"/>
    <col min="8667" max="8667" width="14.140625" style="1" customWidth="1"/>
    <col min="8668" max="8668" width="14" style="1" customWidth="1"/>
    <col min="8669" max="8669" width="13.85546875" style="1" customWidth="1"/>
    <col min="8670" max="8671" width="14.140625" style="1" customWidth="1"/>
    <col min="8672" max="8672" width="13.140625" style="1" bestFit="1" customWidth="1"/>
    <col min="8673" max="8696" width="0" style="1" hidden="1" customWidth="1"/>
    <col min="8697" max="8698" width="8" style="1" customWidth="1"/>
    <col min="8699" max="8699" width="10.28515625" style="1" customWidth="1"/>
    <col min="8700" max="8700" width="12.28515625" style="1" bestFit="1" customWidth="1"/>
    <col min="8701" max="8701" width="12.85546875" style="1" bestFit="1" customWidth="1"/>
    <col min="8702" max="8702" width="10.28515625" style="1" bestFit="1" customWidth="1"/>
    <col min="8703" max="8703" width="10.140625" style="1" bestFit="1" customWidth="1"/>
    <col min="8704" max="8708" width="10.28515625" style="1" bestFit="1" customWidth="1"/>
    <col min="8709" max="8710" width="10.140625" style="1" bestFit="1" customWidth="1"/>
    <col min="8711" max="8716" width="10.28515625" style="1" bestFit="1" customWidth="1"/>
    <col min="8717" max="8719" width="13.5703125" style="1" bestFit="1" customWidth="1"/>
    <col min="8720" max="8918" width="9.140625" style="1"/>
    <col min="8919" max="8919" width="4.140625" style="1" customWidth="1"/>
    <col min="8920" max="8920" width="24" style="1" customWidth="1"/>
    <col min="8921" max="8921" width="9" style="1" customWidth="1"/>
    <col min="8922" max="8922" width="11.42578125" style="1" customWidth="1"/>
    <col min="8923" max="8923" width="14.140625" style="1" customWidth="1"/>
    <col min="8924" max="8924" width="14" style="1" customWidth="1"/>
    <col min="8925" max="8925" width="13.85546875" style="1" customWidth="1"/>
    <col min="8926" max="8927" width="14.140625" style="1" customWidth="1"/>
    <col min="8928" max="8928" width="13.140625" style="1" bestFit="1" customWidth="1"/>
    <col min="8929" max="8952" width="0" style="1" hidden="1" customWidth="1"/>
    <col min="8953" max="8954" width="8" style="1" customWidth="1"/>
    <col min="8955" max="8955" width="10.28515625" style="1" customWidth="1"/>
    <col min="8956" max="8956" width="12.28515625" style="1" bestFit="1" customWidth="1"/>
    <col min="8957" max="8957" width="12.85546875" style="1" bestFit="1" customWidth="1"/>
    <col min="8958" max="8958" width="10.28515625" style="1" bestFit="1" customWidth="1"/>
    <col min="8959" max="8959" width="10.140625" style="1" bestFit="1" customWidth="1"/>
    <col min="8960" max="8964" width="10.28515625" style="1" bestFit="1" customWidth="1"/>
    <col min="8965" max="8966" width="10.140625" style="1" bestFit="1" customWidth="1"/>
    <col min="8967" max="8972" width="10.28515625" style="1" bestFit="1" customWidth="1"/>
    <col min="8973" max="8975" width="13.5703125" style="1" bestFit="1" customWidth="1"/>
    <col min="8976" max="9174" width="9.140625" style="1"/>
    <col min="9175" max="9175" width="4.140625" style="1" customWidth="1"/>
    <col min="9176" max="9176" width="24" style="1" customWidth="1"/>
    <col min="9177" max="9177" width="9" style="1" customWidth="1"/>
    <col min="9178" max="9178" width="11.42578125" style="1" customWidth="1"/>
    <col min="9179" max="9179" width="14.140625" style="1" customWidth="1"/>
    <col min="9180" max="9180" width="14" style="1" customWidth="1"/>
    <col min="9181" max="9181" width="13.85546875" style="1" customWidth="1"/>
    <col min="9182" max="9183" width="14.140625" style="1" customWidth="1"/>
    <col min="9184" max="9184" width="13.140625" style="1" bestFit="1" customWidth="1"/>
    <col min="9185" max="9208" width="0" style="1" hidden="1" customWidth="1"/>
    <col min="9209" max="9210" width="8" style="1" customWidth="1"/>
    <col min="9211" max="9211" width="10.28515625" style="1" customWidth="1"/>
    <col min="9212" max="9212" width="12.28515625" style="1" bestFit="1" customWidth="1"/>
    <col min="9213" max="9213" width="12.85546875" style="1" bestFit="1" customWidth="1"/>
    <col min="9214" max="9214" width="10.28515625" style="1" bestFit="1" customWidth="1"/>
    <col min="9215" max="9215" width="10.140625" style="1" bestFit="1" customWidth="1"/>
    <col min="9216" max="9220" width="10.28515625" style="1" bestFit="1" customWidth="1"/>
    <col min="9221" max="9222" width="10.140625" style="1" bestFit="1" customWidth="1"/>
    <col min="9223" max="9228" width="10.28515625" style="1" bestFit="1" customWidth="1"/>
    <col min="9229" max="9231" width="13.5703125" style="1" bestFit="1" customWidth="1"/>
    <col min="9232" max="9430" width="9.140625" style="1"/>
    <col min="9431" max="9431" width="4.140625" style="1" customWidth="1"/>
    <col min="9432" max="9432" width="24" style="1" customWidth="1"/>
    <col min="9433" max="9433" width="9" style="1" customWidth="1"/>
    <col min="9434" max="9434" width="11.42578125" style="1" customWidth="1"/>
    <col min="9435" max="9435" width="14.140625" style="1" customWidth="1"/>
    <col min="9436" max="9436" width="14" style="1" customWidth="1"/>
    <col min="9437" max="9437" width="13.85546875" style="1" customWidth="1"/>
    <col min="9438" max="9439" width="14.140625" style="1" customWidth="1"/>
    <col min="9440" max="9440" width="13.140625" style="1" bestFit="1" customWidth="1"/>
    <col min="9441" max="9464" width="0" style="1" hidden="1" customWidth="1"/>
    <col min="9465" max="9466" width="8" style="1" customWidth="1"/>
    <col min="9467" max="9467" width="10.28515625" style="1" customWidth="1"/>
    <col min="9468" max="9468" width="12.28515625" style="1" bestFit="1" customWidth="1"/>
    <col min="9469" max="9469" width="12.85546875" style="1" bestFit="1" customWidth="1"/>
    <col min="9470" max="9470" width="10.28515625" style="1" bestFit="1" customWidth="1"/>
    <col min="9471" max="9471" width="10.140625" style="1" bestFit="1" customWidth="1"/>
    <col min="9472" max="9476" width="10.28515625" style="1" bestFit="1" customWidth="1"/>
    <col min="9477" max="9478" width="10.140625" style="1" bestFit="1" customWidth="1"/>
    <col min="9479" max="9484" width="10.28515625" style="1" bestFit="1" customWidth="1"/>
    <col min="9485" max="9487" width="13.5703125" style="1" bestFit="1" customWidth="1"/>
    <col min="9488" max="9686" width="9.140625" style="1"/>
    <col min="9687" max="9687" width="4.140625" style="1" customWidth="1"/>
    <col min="9688" max="9688" width="24" style="1" customWidth="1"/>
    <col min="9689" max="9689" width="9" style="1" customWidth="1"/>
    <col min="9690" max="9690" width="11.42578125" style="1" customWidth="1"/>
    <col min="9691" max="9691" width="14.140625" style="1" customWidth="1"/>
    <col min="9692" max="9692" width="14" style="1" customWidth="1"/>
    <col min="9693" max="9693" width="13.85546875" style="1" customWidth="1"/>
    <col min="9694" max="9695" width="14.140625" style="1" customWidth="1"/>
    <col min="9696" max="9696" width="13.140625" style="1" bestFit="1" customWidth="1"/>
    <col min="9697" max="9720" width="0" style="1" hidden="1" customWidth="1"/>
    <col min="9721" max="9722" width="8" style="1" customWidth="1"/>
    <col min="9723" max="9723" width="10.28515625" style="1" customWidth="1"/>
    <col min="9724" max="9724" width="12.28515625" style="1" bestFit="1" customWidth="1"/>
    <col min="9725" max="9725" width="12.85546875" style="1" bestFit="1" customWidth="1"/>
    <col min="9726" max="9726" width="10.28515625" style="1" bestFit="1" customWidth="1"/>
    <col min="9727" max="9727" width="10.140625" style="1" bestFit="1" customWidth="1"/>
    <col min="9728" max="9732" width="10.28515625" style="1" bestFit="1" customWidth="1"/>
    <col min="9733" max="9734" width="10.140625" style="1" bestFit="1" customWidth="1"/>
    <col min="9735" max="9740" width="10.28515625" style="1" bestFit="1" customWidth="1"/>
    <col min="9741" max="9743" width="13.5703125" style="1" bestFit="1" customWidth="1"/>
    <col min="9744" max="9942" width="9.140625" style="1"/>
    <col min="9943" max="9943" width="4.140625" style="1" customWidth="1"/>
    <col min="9944" max="9944" width="24" style="1" customWidth="1"/>
    <col min="9945" max="9945" width="9" style="1" customWidth="1"/>
    <col min="9946" max="9946" width="11.42578125" style="1" customWidth="1"/>
    <col min="9947" max="9947" width="14.140625" style="1" customWidth="1"/>
    <col min="9948" max="9948" width="14" style="1" customWidth="1"/>
    <col min="9949" max="9949" width="13.85546875" style="1" customWidth="1"/>
    <col min="9950" max="9951" width="14.140625" style="1" customWidth="1"/>
    <col min="9952" max="9952" width="13.140625" style="1" bestFit="1" customWidth="1"/>
    <col min="9953" max="9976" width="0" style="1" hidden="1" customWidth="1"/>
    <col min="9977" max="9978" width="8" style="1" customWidth="1"/>
    <col min="9979" max="9979" width="10.28515625" style="1" customWidth="1"/>
    <col min="9980" max="9980" width="12.28515625" style="1" bestFit="1" customWidth="1"/>
    <col min="9981" max="9981" width="12.85546875" style="1" bestFit="1" customWidth="1"/>
    <col min="9982" max="9982" width="10.28515625" style="1" bestFit="1" customWidth="1"/>
    <col min="9983" max="9983" width="10.140625" style="1" bestFit="1" customWidth="1"/>
    <col min="9984" max="9988" width="10.28515625" style="1" bestFit="1" customWidth="1"/>
    <col min="9989" max="9990" width="10.140625" style="1" bestFit="1" customWidth="1"/>
    <col min="9991" max="9996" width="10.28515625" style="1" bestFit="1" customWidth="1"/>
    <col min="9997" max="9999" width="13.5703125" style="1" bestFit="1" customWidth="1"/>
    <col min="10000" max="10198" width="9.140625" style="1"/>
    <col min="10199" max="10199" width="4.140625" style="1" customWidth="1"/>
    <col min="10200" max="10200" width="24" style="1" customWidth="1"/>
    <col min="10201" max="10201" width="9" style="1" customWidth="1"/>
    <col min="10202" max="10202" width="11.42578125" style="1" customWidth="1"/>
    <col min="10203" max="10203" width="14.140625" style="1" customWidth="1"/>
    <col min="10204" max="10204" width="14" style="1" customWidth="1"/>
    <col min="10205" max="10205" width="13.85546875" style="1" customWidth="1"/>
    <col min="10206" max="10207" width="14.140625" style="1" customWidth="1"/>
    <col min="10208" max="10208" width="13.140625" style="1" bestFit="1" customWidth="1"/>
    <col min="10209" max="10232" width="0" style="1" hidden="1" customWidth="1"/>
    <col min="10233" max="10234" width="8" style="1" customWidth="1"/>
    <col min="10235" max="10235" width="10.28515625" style="1" customWidth="1"/>
    <col min="10236" max="10236" width="12.28515625" style="1" bestFit="1" customWidth="1"/>
    <col min="10237" max="10237" width="12.85546875" style="1" bestFit="1" customWidth="1"/>
    <col min="10238" max="10238" width="10.28515625" style="1" bestFit="1" customWidth="1"/>
    <col min="10239" max="10239" width="10.140625" style="1" bestFit="1" customWidth="1"/>
    <col min="10240" max="10244" width="10.28515625" style="1" bestFit="1" customWidth="1"/>
    <col min="10245" max="10246" width="10.140625" style="1" bestFit="1" customWidth="1"/>
    <col min="10247" max="10252" width="10.28515625" style="1" bestFit="1" customWidth="1"/>
    <col min="10253" max="10255" width="13.5703125" style="1" bestFit="1" customWidth="1"/>
    <col min="10256" max="10454" width="9.140625" style="1"/>
    <col min="10455" max="10455" width="4.140625" style="1" customWidth="1"/>
    <col min="10456" max="10456" width="24" style="1" customWidth="1"/>
    <col min="10457" max="10457" width="9" style="1" customWidth="1"/>
    <col min="10458" max="10458" width="11.42578125" style="1" customWidth="1"/>
    <col min="10459" max="10459" width="14.140625" style="1" customWidth="1"/>
    <col min="10460" max="10460" width="14" style="1" customWidth="1"/>
    <col min="10461" max="10461" width="13.85546875" style="1" customWidth="1"/>
    <col min="10462" max="10463" width="14.140625" style="1" customWidth="1"/>
    <col min="10464" max="10464" width="13.140625" style="1" bestFit="1" customWidth="1"/>
    <col min="10465" max="10488" width="0" style="1" hidden="1" customWidth="1"/>
    <col min="10489" max="10490" width="8" style="1" customWidth="1"/>
    <col min="10491" max="10491" width="10.28515625" style="1" customWidth="1"/>
    <col min="10492" max="10492" width="12.28515625" style="1" bestFit="1" customWidth="1"/>
    <col min="10493" max="10493" width="12.85546875" style="1" bestFit="1" customWidth="1"/>
    <col min="10494" max="10494" width="10.28515625" style="1" bestFit="1" customWidth="1"/>
    <col min="10495" max="10495" width="10.140625" style="1" bestFit="1" customWidth="1"/>
    <col min="10496" max="10500" width="10.28515625" style="1" bestFit="1" customWidth="1"/>
    <col min="10501" max="10502" width="10.140625" style="1" bestFit="1" customWidth="1"/>
    <col min="10503" max="10508" width="10.28515625" style="1" bestFit="1" customWidth="1"/>
    <col min="10509" max="10511" width="13.5703125" style="1" bestFit="1" customWidth="1"/>
    <col min="10512" max="10710" width="9.140625" style="1"/>
    <col min="10711" max="10711" width="4.140625" style="1" customWidth="1"/>
    <col min="10712" max="10712" width="24" style="1" customWidth="1"/>
    <col min="10713" max="10713" width="9" style="1" customWidth="1"/>
    <col min="10714" max="10714" width="11.42578125" style="1" customWidth="1"/>
    <col min="10715" max="10715" width="14.140625" style="1" customWidth="1"/>
    <col min="10716" max="10716" width="14" style="1" customWidth="1"/>
    <col min="10717" max="10717" width="13.85546875" style="1" customWidth="1"/>
    <col min="10718" max="10719" width="14.140625" style="1" customWidth="1"/>
    <col min="10720" max="10720" width="13.140625" style="1" bestFit="1" customWidth="1"/>
    <col min="10721" max="10744" width="0" style="1" hidden="1" customWidth="1"/>
    <col min="10745" max="10746" width="8" style="1" customWidth="1"/>
    <col min="10747" max="10747" width="10.28515625" style="1" customWidth="1"/>
    <col min="10748" max="10748" width="12.28515625" style="1" bestFit="1" customWidth="1"/>
    <col min="10749" max="10749" width="12.85546875" style="1" bestFit="1" customWidth="1"/>
    <col min="10750" max="10750" width="10.28515625" style="1" bestFit="1" customWidth="1"/>
    <col min="10751" max="10751" width="10.140625" style="1" bestFit="1" customWidth="1"/>
    <col min="10752" max="10756" width="10.28515625" style="1" bestFit="1" customWidth="1"/>
    <col min="10757" max="10758" width="10.140625" style="1" bestFit="1" customWidth="1"/>
    <col min="10759" max="10764" width="10.28515625" style="1" bestFit="1" customWidth="1"/>
    <col min="10765" max="10767" width="13.5703125" style="1" bestFit="1" customWidth="1"/>
    <col min="10768" max="10966" width="9.140625" style="1"/>
    <col min="10967" max="10967" width="4.140625" style="1" customWidth="1"/>
    <col min="10968" max="10968" width="24" style="1" customWidth="1"/>
    <col min="10969" max="10969" width="9" style="1" customWidth="1"/>
    <col min="10970" max="10970" width="11.42578125" style="1" customWidth="1"/>
    <col min="10971" max="10971" width="14.140625" style="1" customWidth="1"/>
    <col min="10972" max="10972" width="14" style="1" customWidth="1"/>
    <col min="10973" max="10973" width="13.85546875" style="1" customWidth="1"/>
    <col min="10974" max="10975" width="14.140625" style="1" customWidth="1"/>
    <col min="10976" max="10976" width="13.140625" style="1" bestFit="1" customWidth="1"/>
    <col min="10977" max="11000" width="0" style="1" hidden="1" customWidth="1"/>
    <col min="11001" max="11002" width="8" style="1" customWidth="1"/>
    <col min="11003" max="11003" width="10.28515625" style="1" customWidth="1"/>
    <col min="11004" max="11004" width="12.28515625" style="1" bestFit="1" customWidth="1"/>
    <col min="11005" max="11005" width="12.85546875" style="1" bestFit="1" customWidth="1"/>
    <col min="11006" max="11006" width="10.28515625" style="1" bestFit="1" customWidth="1"/>
    <col min="11007" max="11007" width="10.140625" style="1" bestFit="1" customWidth="1"/>
    <col min="11008" max="11012" width="10.28515625" style="1" bestFit="1" customWidth="1"/>
    <col min="11013" max="11014" width="10.140625" style="1" bestFit="1" customWidth="1"/>
    <col min="11015" max="11020" width="10.28515625" style="1" bestFit="1" customWidth="1"/>
    <col min="11021" max="11023" width="13.5703125" style="1" bestFit="1" customWidth="1"/>
    <col min="11024" max="11222" width="9.140625" style="1"/>
    <col min="11223" max="11223" width="4.140625" style="1" customWidth="1"/>
    <col min="11224" max="11224" width="24" style="1" customWidth="1"/>
    <col min="11225" max="11225" width="9" style="1" customWidth="1"/>
    <col min="11226" max="11226" width="11.42578125" style="1" customWidth="1"/>
    <col min="11227" max="11227" width="14.140625" style="1" customWidth="1"/>
    <col min="11228" max="11228" width="14" style="1" customWidth="1"/>
    <col min="11229" max="11229" width="13.85546875" style="1" customWidth="1"/>
    <col min="11230" max="11231" width="14.140625" style="1" customWidth="1"/>
    <col min="11232" max="11232" width="13.140625" style="1" bestFit="1" customWidth="1"/>
    <col min="11233" max="11256" width="0" style="1" hidden="1" customWidth="1"/>
    <col min="11257" max="11258" width="8" style="1" customWidth="1"/>
    <col min="11259" max="11259" width="10.28515625" style="1" customWidth="1"/>
    <col min="11260" max="11260" width="12.28515625" style="1" bestFit="1" customWidth="1"/>
    <col min="11261" max="11261" width="12.85546875" style="1" bestFit="1" customWidth="1"/>
    <col min="11262" max="11262" width="10.28515625" style="1" bestFit="1" customWidth="1"/>
    <col min="11263" max="11263" width="10.140625" style="1" bestFit="1" customWidth="1"/>
    <col min="11264" max="11268" width="10.28515625" style="1" bestFit="1" customWidth="1"/>
    <col min="11269" max="11270" width="10.140625" style="1" bestFit="1" customWidth="1"/>
    <col min="11271" max="11276" width="10.28515625" style="1" bestFit="1" customWidth="1"/>
    <col min="11277" max="11279" width="13.5703125" style="1" bestFit="1" customWidth="1"/>
    <col min="11280" max="11478" width="9.140625" style="1"/>
    <col min="11479" max="11479" width="4.140625" style="1" customWidth="1"/>
    <col min="11480" max="11480" width="24" style="1" customWidth="1"/>
    <col min="11481" max="11481" width="9" style="1" customWidth="1"/>
    <col min="11482" max="11482" width="11.42578125" style="1" customWidth="1"/>
    <col min="11483" max="11483" width="14.140625" style="1" customWidth="1"/>
    <col min="11484" max="11484" width="14" style="1" customWidth="1"/>
    <col min="11485" max="11485" width="13.85546875" style="1" customWidth="1"/>
    <col min="11486" max="11487" width="14.140625" style="1" customWidth="1"/>
    <col min="11488" max="11488" width="13.140625" style="1" bestFit="1" customWidth="1"/>
    <col min="11489" max="11512" width="0" style="1" hidden="1" customWidth="1"/>
    <col min="11513" max="11514" width="8" style="1" customWidth="1"/>
    <col min="11515" max="11515" width="10.28515625" style="1" customWidth="1"/>
    <col min="11516" max="11516" width="12.28515625" style="1" bestFit="1" customWidth="1"/>
    <col min="11517" max="11517" width="12.85546875" style="1" bestFit="1" customWidth="1"/>
    <col min="11518" max="11518" width="10.28515625" style="1" bestFit="1" customWidth="1"/>
    <col min="11519" max="11519" width="10.140625" style="1" bestFit="1" customWidth="1"/>
    <col min="11520" max="11524" width="10.28515625" style="1" bestFit="1" customWidth="1"/>
    <col min="11525" max="11526" width="10.140625" style="1" bestFit="1" customWidth="1"/>
    <col min="11527" max="11532" width="10.28515625" style="1" bestFit="1" customWidth="1"/>
    <col min="11533" max="11535" width="13.5703125" style="1" bestFit="1" customWidth="1"/>
    <col min="11536" max="11734" width="9.140625" style="1"/>
    <col min="11735" max="11735" width="4.140625" style="1" customWidth="1"/>
    <col min="11736" max="11736" width="24" style="1" customWidth="1"/>
    <col min="11737" max="11737" width="9" style="1" customWidth="1"/>
    <col min="11738" max="11738" width="11.42578125" style="1" customWidth="1"/>
    <col min="11739" max="11739" width="14.140625" style="1" customWidth="1"/>
    <col min="11740" max="11740" width="14" style="1" customWidth="1"/>
    <col min="11741" max="11741" width="13.85546875" style="1" customWidth="1"/>
    <col min="11742" max="11743" width="14.140625" style="1" customWidth="1"/>
    <col min="11744" max="11744" width="13.140625" style="1" bestFit="1" customWidth="1"/>
    <col min="11745" max="11768" width="0" style="1" hidden="1" customWidth="1"/>
    <col min="11769" max="11770" width="8" style="1" customWidth="1"/>
    <col min="11771" max="11771" width="10.28515625" style="1" customWidth="1"/>
    <col min="11772" max="11772" width="12.28515625" style="1" bestFit="1" customWidth="1"/>
    <col min="11773" max="11773" width="12.85546875" style="1" bestFit="1" customWidth="1"/>
    <col min="11774" max="11774" width="10.28515625" style="1" bestFit="1" customWidth="1"/>
    <col min="11775" max="11775" width="10.140625" style="1" bestFit="1" customWidth="1"/>
    <col min="11776" max="11780" width="10.28515625" style="1" bestFit="1" customWidth="1"/>
    <col min="11781" max="11782" width="10.140625" style="1" bestFit="1" customWidth="1"/>
    <col min="11783" max="11788" width="10.28515625" style="1" bestFit="1" customWidth="1"/>
    <col min="11789" max="11791" width="13.5703125" style="1" bestFit="1" customWidth="1"/>
    <col min="11792" max="11990" width="9.140625" style="1"/>
    <col min="11991" max="11991" width="4.140625" style="1" customWidth="1"/>
    <col min="11992" max="11992" width="24" style="1" customWidth="1"/>
    <col min="11993" max="11993" width="9" style="1" customWidth="1"/>
    <col min="11994" max="11994" width="11.42578125" style="1" customWidth="1"/>
    <col min="11995" max="11995" width="14.140625" style="1" customWidth="1"/>
    <col min="11996" max="11996" width="14" style="1" customWidth="1"/>
    <col min="11997" max="11997" width="13.85546875" style="1" customWidth="1"/>
    <col min="11998" max="11999" width="14.140625" style="1" customWidth="1"/>
    <col min="12000" max="12000" width="13.140625" style="1" bestFit="1" customWidth="1"/>
    <col min="12001" max="12024" width="0" style="1" hidden="1" customWidth="1"/>
    <col min="12025" max="12026" width="8" style="1" customWidth="1"/>
    <col min="12027" max="12027" width="10.28515625" style="1" customWidth="1"/>
    <col min="12028" max="12028" width="12.28515625" style="1" bestFit="1" customWidth="1"/>
    <col min="12029" max="12029" width="12.85546875" style="1" bestFit="1" customWidth="1"/>
    <col min="12030" max="12030" width="10.28515625" style="1" bestFit="1" customWidth="1"/>
    <col min="12031" max="12031" width="10.140625" style="1" bestFit="1" customWidth="1"/>
    <col min="12032" max="12036" width="10.28515625" style="1" bestFit="1" customWidth="1"/>
    <col min="12037" max="12038" width="10.140625" style="1" bestFit="1" customWidth="1"/>
    <col min="12039" max="12044" width="10.28515625" style="1" bestFit="1" customWidth="1"/>
    <col min="12045" max="12047" width="13.5703125" style="1" bestFit="1" customWidth="1"/>
    <col min="12048" max="12246" width="9.140625" style="1"/>
    <col min="12247" max="12247" width="4.140625" style="1" customWidth="1"/>
    <col min="12248" max="12248" width="24" style="1" customWidth="1"/>
    <col min="12249" max="12249" width="9" style="1" customWidth="1"/>
    <col min="12250" max="12250" width="11.42578125" style="1" customWidth="1"/>
    <col min="12251" max="12251" width="14.140625" style="1" customWidth="1"/>
    <col min="12252" max="12252" width="14" style="1" customWidth="1"/>
    <col min="12253" max="12253" width="13.85546875" style="1" customWidth="1"/>
    <col min="12254" max="12255" width="14.140625" style="1" customWidth="1"/>
    <col min="12256" max="12256" width="13.140625" style="1" bestFit="1" customWidth="1"/>
    <col min="12257" max="12280" width="0" style="1" hidden="1" customWidth="1"/>
    <col min="12281" max="12282" width="8" style="1" customWidth="1"/>
    <col min="12283" max="12283" width="10.28515625" style="1" customWidth="1"/>
    <col min="12284" max="12284" width="12.28515625" style="1" bestFit="1" customWidth="1"/>
    <col min="12285" max="12285" width="12.85546875" style="1" bestFit="1" customWidth="1"/>
    <col min="12286" max="12286" width="10.28515625" style="1" bestFit="1" customWidth="1"/>
    <col min="12287" max="12287" width="10.140625" style="1" bestFit="1" customWidth="1"/>
    <col min="12288" max="12292" width="10.28515625" style="1" bestFit="1" customWidth="1"/>
    <col min="12293" max="12294" width="10.140625" style="1" bestFit="1" customWidth="1"/>
    <col min="12295" max="12300" width="10.28515625" style="1" bestFit="1" customWidth="1"/>
    <col min="12301" max="12303" width="13.5703125" style="1" bestFit="1" customWidth="1"/>
    <col min="12304" max="12502" width="9.140625" style="1"/>
    <col min="12503" max="12503" width="4.140625" style="1" customWidth="1"/>
    <col min="12504" max="12504" width="24" style="1" customWidth="1"/>
    <col min="12505" max="12505" width="9" style="1" customWidth="1"/>
    <col min="12506" max="12506" width="11.42578125" style="1" customWidth="1"/>
    <col min="12507" max="12507" width="14.140625" style="1" customWidth="1"/>
    <col min="12508" max="12508" width="14" style="1" customWidth="1"/>
    <col min="12509" max="12509" width="13.85546875" style="1" customWidth="1"/>
    <col min="12510" max="12511" width="14.140625" style="1" customWidth="1"/>
    <col min="12512" max="12512" width="13.140625" style="1" bestFit="1" customWidth="1"/>
    <col min="12513" max="12536" width="0" style="1" hidden="1" customWidth="1"/>
    <col min="12537" max="12538" width="8" style="1" customWidth="1"/>
    <col min="12539" max="12539" width="10.28515625" style="1" customWidth="1"/>
    <col min="12540" max="12540" width="12.28515625" style="1" bestFit="1" customWidth="1"/>
    <col min="12541" max="12541" width="12.85546875" style="1" bestFit="1" customWidth="1"/>
    <col min="12542" max="12542" width="10.28515625" style="1" bestFit="1" customWidth="1"/>
    <col min="12543" max="12543" width="10.140625" style="1" bestFit="1" customWidth="1"/>
    <col min="12544" max="12548" width="10.28515625" style="1" bestFit="1" customWidth="1"/>
    <col min="12549" max="12550" width="10.140625" style="1" bestFit="1" customWidth="1"/>
    <col min="12551" max="12556" width="10.28515625" style="1" bestFit="1" customWidth="1"/>
    <col min="12557" max="12559" width="13.5703125" style="1" bestFit="1" customWidth="1"/>
    <col min="12560" max="12758" width="9.140625" style="1"/>
    <col min="12759" max="12759" width="4.140625" style="1" customWidth="1"/>
    <col min="12760" max="12760" width="24" style="1" customWidth="1"/>
    <col min="12761" max="12761" width="9" style="1" customWidth="1"/>
    <col min="12762" max="12762" width="11.42578125" style="1" customWidth="1"/>
    <col min="12763" max="12763" width="14.140625" style="1" customWidth="1"/>
    <col min="12764" max="12764" width="14" style="1" customWidth="1"/>
    <col min="12765" max="12765" width="13.85546875" style="1" customWidth="1"/>
    <col min="12766" max="12767" width="14.140625" style="1" customWidth="1"/>
    <col min="12768" max="12768" width="13.140625" style="1" bestFit="1" customWidth="1"/>
    <col min="12769" max="12792" width="0" style="1" hidden="1" customWidth="1"/>
    <col min="12793" max="12794" width="8" style="1" customWidth="1"/>
    <col min="12795" max="12795" width="10.28515625" style="1" customWidth="1"/>
    <col min="12796" max="12796" width="12.28515625" style="1" bestFit="1" customWidth="1"/>
    <col min="12797" max="12797" width="12.85546875" style="1" bestFit="1" customWidth="1"/>
    <col min="12798" max="12798" width="10.28515625" style="1" bestFit="1" customWidth="1"/>
    <col min="12799" max="12799" width="10.140625" style="1" bestFit="1" customWidth="1"/>
    <col min="12800" max="12804" width="10.28515625" style="1" bestFit="1" customWidth="1"/>
    <col min="12805" max="12806" width="10.140625" style="1" bestFit="1" customWidth="1"/>
    <col min="12807" max="12812" width="10.28515625" style="1" bestFit="1" customWidth="1"/>
    <col min="12813" max="12815" width="13.5703125" style="1" bestFit="1" customWidth="1"/>
    <col min="12816" max="13014" width="9.140625" style="1"/>
    <col min="13015" max="13015" width="4.140625" style="1" customWidth="1"/>
    <col min="13016" max="13016" width="24" style="1" customWidth="1"/>
    <col min="13017" max="13017" width="9" style="1" customWidth="1"/>
    <col min="13018" max="13018" width="11.42578125" style="1" customWidth="1"/>
    <col min="13019" max="13019" width="14.140625" style="1" customWidth="1"/>
    <col min="13020" max="13020" width="14" style="1" customWidth="1"/>
    <col min="13021" max="13021" width="13.85546875" style="1" customWidth="1"/>
    <col min="13022" max="13023" width="14.140625" style="1" customWidth="1"/>
    <col min="13024" max="13024" width="13.140625" style="1" bestFit="1" customWidth="1"/>
    <col min="13025" max="13048" width="0" style="1" hidden="1" customWidth="1"/>
    <col min="13049" max="13050" width="8" style="1" customWidth="1"/>
    <col min="13051" max="13051" width="10.28515625" style="1" customWidth="1"/>
    <col min="13052" max="13052" width="12.28515625" style="1" bestFit="1" customWidth="1"/>
    <col min="13053" max="13053" width="12.85546875" style="1" bestFit="1" customWidth="1"/>
    <col min="13054" max="13054" width="10.28515625" style="1" bestFit="1" customWidth="1"/>
    <col min="13055" max="13055" width="10.140625" style="1" bestFit="1" customWidth="1"/>
    <col min="13056" max="13060" width="10.28515625" style="1" bestFit="1" customWidth="1"/>
    <col min="13061" max="13062" width="10.140625" style="1" bestFit="1" customWidth="1"/>
    <col min="13063" max="13068" width="10.28515625" style="1" bestFit="1" customWidth="1"/>
    <col min="13069" max="13071" width="13.5703125" style="1" bestFit="1" customWidth="1"/>
    <col min="13072" max="13270" width="9.140625" style="1"/>
    <col min="13271" max="13271" width="4.140625" style="1" customWidth="1"/>
    <col min="13272" max="13272" width="24" style="1" customWidth="1"/>
    <col min="13273" max="13273" width="9" style="1" customWidth="1"/>
    <col min="13274" max="13274" width="11.42578125" style="1" customWidth="1"/>
    <col min="13275" max="13275" width="14.140625" style="1" customWidth="1"/>
    <col min="13276" max="13276" width="14" style="1" customWidth="1"/>
    <col min="13277" max="13277" width="13.85546875" style="1" customWidth="1"/>
    <col min="13278" max="13279" width="14.140625" style="1" customWidth="1"/>
    <col min="13280" max="13280" width="13.140625" style="1" bestFit="1" customWidth="1"/>
    <col min="13281" max="13304" width="0" style="1" hidden="1" customWidth="1"/>
    <col min="13305" max="13306" width="8" style="1" customWidth="1"/>
    <col min="13307" max="13307" width="10.28515625" style="1" customWidth="1"/>
    <col min="13308" max="13308" width="12.28515625" style="1" bestFit="1" customWidth="1"/>
    <col min="13309" max="13309" width="12.85546875" style="1" bestFit="1" customWidth="1"/>
    <col min="13310" max="13310" width="10.28515625" style="1" bestFit="1" customWidth="1"/>
    <col min="13311" max="13311" width="10.140625" style="1" bestFit="1" customWidth="1"/>
    <col min="13312" max="13316" width="10.28515625" style="1" bestFit="1" customWidth="1"/>
    <col min="13317" max="13318" width="10.140625" style="1" bestFit="1" customWidth="1"/>
    <col min="13319" max="13324" width="10.28515625" style="1" bestFit="1" customWidth="1"/>
    <col min="13325" max="13327" width="13.5703125" style="1" bestFit="1" customWidth="1"/>
    <col min="13328" max="13526" width="9.140625" style="1"/>
    <col min="13527" max="13527" width="4.140625" style="1" customWidth="1"/>
    <col min="13528" max="13528" width="24" style="1" customWidth="1"/>
    <col min="13529" max="13529" width="9" style="1" customWidth="1"/>
    <col min="13530" max="13530" width="11.42578125" style="1" customWidth="1"/>
    <col min="13531" max="13531" width="14.140625" style="1" customWidth="1"/>
    <col min="13532" max="13532" width="14" style="1" customWidth="1"/>
    <col min="13533" max="13533" width="13.85546875" style="1" customWidth="1"/>
    <col min="13534" max="13535" width="14.140625" style="1" customWidth="1"/>
    <col min="13536" max="13536" width="13.140625" style="1" bestFit="1" customWidth="1"/>
    <col min="13537" max="13560" width="0" style="1" hidden="1" customWidth="1"/>
    <col min="13561" max="13562" width="8" style="1" customWidth="1"/>
    <col min="13563" max="13563" width="10.28515625" style="1" customWidth="1"/>
    <col min="13564" max="13564" width="12.28515625" style="1" bestFit="1" customWidth="1"/>
    <col min="13565" max="13565" width="12.85546875" style="1" bestFit="1" customWidth="1"/>
    <col min="13566" max="13566" width="10.28515625" style="1" bestFit="1" customWidth="1"/>
    <col min="13567" max="13567" width="10.140625" style="1" bestFit="1" customWidth="1"/>
    <col min="13568" max="13572" width="10.28515625" style="1" bestFit="1" customWidth="1"/>
    <col min="13573" max="13574" width="10.140625" style="1" bestFit="1" customWidth="1"/>
    <col min="13575" max="13580" width="10.28515625" style="1" bestFit="1" customWidth="1"/>
    <col min="13581" max="13583" width="13.5703125" style="1" bestFit="1" customWidth="1"/>
    <col min="13584" max="13782" width="9.140625" style="1"/>
    <col min="13783" max="13783" width="4.140625" style="1" customWidth="1"/>
    <col min="13784" max="13784" width="24" style="1" customWidth="1"/>
    <col min="13785" max="13785" width="9" style="1" customWidth="1"/>
    <col min="13786" max="13786" width="11.42578125" style="1" customWidth="1"/>
    <col min="13787" max="13787" width="14.140625" style="1" customWidth="1"/>
    <col min="13788" max="13788" width="14" style="1" customWidth="1"/>
    <col min="13789" max="13789" width="13.85546875" style="1" customWidth="1"/>
    <col min="13790" max="13791" width="14.140625" style="1" customWidth="1"/>
    <col min="13792" max="13792" width="13.140625" style="1" bestFit="1" customWidth="1"/>
    <col min="13793" max="13816" width="0" style="1" hidden="1" customWidth="1"/>
    <col min="13817" max="13818" width="8" style="1" customWidth="1"/>
    <col min="13819" max="13819" width="10.28515625" style="1" customWidth="1"/>
    <col min="13820" max="13820" width="12.28515625" style="1" bestFit="1" customWidth="1"/>
    <col min="13821" max="13821" width="12.85546875" style="1" bestFit="1" customWidth="1"/>
    <col min="13822" max="13822" width="10.28515625" style="1" bestFit="1" customWidth="1"/>
    <col min="13823" max="13823" width="10.140625" style="1" bestFit="1" customWidth="1"/>
    <col min="13824" max="13828" width="10.28515625" style="1" bestFit="1" customWidth="1"/>
    <col min="13829" max="13830" width="10.140625" style="1" bestFit="1" customWidth="1"/>
    <col min="13831" max="13836" width="10.28515625" style="1" bestFit="1" customWidth="1"/>
    <col min="13837" max="13839" width="13.5703125" style="1" bestFit="1" customWidth="1"/>
    <col min="13840" max="14038" width="9.140625" style="1"/>
    <col min="14039" max="14039" width="4.140625" style="1" customWidth="1"/>
    <col min="14040" max="14040" width="24" style="1" customWidth="1"/>
    <col min="14041" max="14041" width="9" style="1" customWidth="1"/>
    <col min="14042" max="14042" width="11.42578125" style="1" customWidth="1"/>
    <col min="14043" max="14043" width="14.140625" style="1" customWidth="1"/>
    <col min="14044" max="14044" width="14" style="1" customWidth="1"/>
    <col min="14045" max="14045" width="13.85546875" style="1" customWidth="1"/>
    <col min="14046" max="14047" width="14.140625" style="1" customWidth="1"/>
    <col min="14048" max="14048" width="13.140625" style="1" bestFit="1" customWidth="1"/>
    <col min="14049" max="14072" width="0" style="1" hidden="1" customWidth="1"/>
    <col min="14073" max="14074" width="8" style="1" customWidth="1"/>
    <col min="14075" max="14075" width="10.28515625" style="1" customWidth="1"/>
    <col min="14076" max="14076" width="12.28515625" style="1" bestFit="1" customWidth="1"/>
    <col min="14077" max="14077" width="12.85546875" style="1" bestFit="1" customWidth="1"/>
    <col min="14078" max="14078" width="10.28515625" style="1" bestFit="1" customWidth="1"/>
    <col min="14079" max="14079" width="10.140625" style="1" bestFit="1" customWidth="1"/>
    <col min="14080" max="14084" width="10.28515625" style="1" bestFit="1" customWidth="1"/>
    <col min="14085" max="14086" width="10.140625" style="1" bestFit="1" customWidth="1"/>
    <col min="14087" max="14092" width="10.28515625" style="1" bestFit="1" customWidth="1"/>
    <col min="14093" max="14095" width="13.5703125" style="1" bestFit="1" customWidth="1"/>
    <col min="14096" max="14294" width="9.140625" style="1"/>
    <col min="14295" max="14295" width="4.140625" style="1" customWidth="1"/>
    <col min="14296" max="14296" width="24" style="1" customWidth="1"/>
    <col min="14297" max="14297" width="9" style="1" customWidth="1"/>
    <col min="14298" max="14298" width="11.42578125" style="1" customWidth="1"/>
    <col min="14299" max="14299" width="14.140625" style="1" customWidth="1"/>
    <col min="14300" max="14300" width="14" style="1" customWidth="1"/>
    <col min="14301" max="14301" width="13.85546875" style="1" customWidth="1"/>
    <col min="14302" max="14303" width="14.140625" style="1" customWidth="1"/>
    <col min="14304" max="14304" width="13.140625" style="1" bestFit="1" customWidth="1"/>
    <col min="14305" max="14328" width="0" style="1" hidden="1" customWidth="1"/>
    <col min="14329" max="14330" width="8" style="1" customWidth="1"/>
    <col min="14331" max="14331" width="10.28515625" style="1" customWidth="1"/>
    <col min="14332" max="14332" width="12.28515625" style="1" bestFit="1" customWidth="1"/>
    <col min="14333" max="14333" width="12.85546875" style="1" bestFit="1" customWidth="1"/>
    <col min="14334" max="14334" width="10.28515625" style="1" bestFit="1" customWidth="1"/>
    <col min="14335" max="14335" width="10.140625" style="1" bestFit="1" customWidth="1"/>
    <col min="14336" max="14340" width="10.28515625" style="1" bestFit="1" customWidth="1"/>
    <col min="14341" max="14342" width="10.140625" style="1" bestFit="1" customWidth="1"/>
    <col min="14343" max="14348" width="10.28515625" style="1" bestFit="1" customWidth="1"/>
    <col min="14349" max="14351" width="13.5703125" style="1" bestFit="1" customWidth="1"/>
    <col min="14352" max="14550" width="9.140625" style="1"/>
    <col min="14551" max="14551" width="4.140625" style="1" customWidth="1"/>
    <col min="14552" max="14552" width="24" style="1" customWidth="1"/>
    <col min="14553" max="14553" width="9" style="1" customWidth="1"/>
    <col min="14554" max="14554" width="11.42578125" style="1" customWidth="1"/>
    <col min="14555" max="14555" width="14.140625" style="1" customWidth="1"/>
    <col min="14556" max="14556" width="14" style="1" customWidth="1"/>
    <col min="14557" max="14557" width="13.85546875" style="1" customWidth="1"/>
    <col min="14558" max="14559" width="14.140625" style="1" customWidth="1"/>
    <col min="14560" max="14560" width="13.140625" style="1" bestFit="1" customWidth="1"/>
    <col min="14561" max="14584" width="0" style="1" hidden="1" customWidth="1"/>
    <col min="14585" max="14586" width="8" style="1" customWidth="1"/>
    <col min="14587" max="14587" width="10.28515625" style="1" customWidth="1"/>
    <col min="14588" max="14588" width="12.28515625" style="1" bestFit="1" customWidth="1"/>
    <col min="14589" max="14589" width="12.85546875" style="1" bestFit="1" customWidth="1"/>
    <col min="14590" max="14590" width="10.28515625" style="1" bestFit="1" customWidth="1"/>
    <col min="14591" max="14591" width="10.140625" style="1" bestFit="1" customWidth="1"/>
    <col min="14592" max="14596" width="10.28515625" style="1" bestFit="1" customWidth="1"/>
    <col min="14597" max="14598" width="10.140625" style="1" bestFit="1" customWidth="1"/>
    <col min="14599" max="14604" width="10.28515625" style="1" bestFit="1" customWidth="1"/>
    <col min="14605" max="14607" width="13.5703125" style="1" bestFit="1" customWidth="1"/>
    <col min="14608" max="14806" width="9.140625" style="1"/>
    <col min="14807" max="14807" width="4.140625" style="1" customWidth="1"/>
    <col min="14808" max="14808" width="24" style="1" customWidth="1"/>
    <col min="14809" max="14809" width="9" style="1" customWidth="1"/>
    <col min="14810" max="14810" width="11.42578125" style="1" customWidth="1"/>
    <col min="14811" max="14811" width="14.140625" style="1" customWidth="1"/>
    <col min="14812" max="14812" width="14" style="1" customWidth="1"/>
    <col min="14813" max="14813" width="13.85546875" style="1" customWidth="1"/>
    <col min="14814" max="14815" width="14.140625" style="1" customWidth="1"/>
    <col min="14816" max="14816" width="13.140625" style="1" bestFit="1" customWidth="1"/>
    <col min="14817" max="14840" width="0" style="1" hidden="1" customWidth="1"/>
    <col min="14841" max="14842" width="8" style="1" customWidth="1"/>
    <col min="14843" max="14843" width="10.28515625" style="1" customWidth="1"/>
    <col min="14844" max="14844" width="12.28515625" style="1" bestFit="1" customWidth="1"/>
    <col min="14845" max="14845" width="12.85546875" style="1" bestFit="1" customWidth="1"/>
    <col min="14846" max="14846" width="10.28515625" style="1" bestFit="1" customWidth="1"/>
    <col min="14847" max="14847" width="10.140625" style="1" bestFit="1" customWidth="1"/>
    <col min="14848" max="14852" width="10.28515625" style="1" bestFit="1" customWidth="1"/>
    <col min="14853" max="14854" width="10.140625" style="1" bestFit="1" customWidth="1"/>
    <col min="14855" max="14860" width="10.28515625" style="1" bestFit="1" customWidth="1"/>
    <col min="14861" max="14863" width="13.5703125" style="1" bestFit="1" customWidth="1"/>
    <col min="14864" max="15062" width="9.140625" style="1"/>
    <col min="15063" max="15063" width="4.140625" style="1" customWidth="1"/>
    <col min="15064" max="15064" width="24" style="1" customWidth="1"/>
    <col min="15065" max="15065" width="9" style="1" customWidth="1"/>
    <col min="15066" max="15066" width="11.42578125" style="1" customWidth="1"/>
    <col min="15067" max="15067" width="14.140625" style="1" customWidth="1"/>
    <col min="15068" max="15068" width="14" style="1" customWidth="1"/>
    <col min="15069" max="15069" width="13.85546875" style="1" customWidth="1"/>
    <col min="15070" max="15071" width="14.140625" style="1" customWidth="1"/>
    <col min="15072" max="15072" width="13.140625" style="1" bestFit="1" customWidth="1"/>
    <col min="15073" max="15096" width="0" style="1" hidden="1" customWidth="1"/>
    <col min="15097" max="15098" width="8" style="1" customWidth="1"/>
    <col min="15099" max="15099" width="10.28515625" style="1" customWidth="1"/>
    <col min="15100" max="15100" width="12.28515625" style="1" bestFit="1" customWidth="1"/>
    <col min="15101" max="15101" width="12.85546875" style="1" bestFit="1" customWidth="1"/>
    <col min="15102" max="15102" width="10.28515625" style="1" bestFit="1" customWidth="1"/>
    <col min="15103" max="15103" width="10.140625" style="1" bestFit="1" customWidth="1"/>
    <col min="15104" max="15108" width="10.28515625" style="1" bestFit="1" customWidth="1"/>
    <col min="15109" max="15110" width="10.140625" style="1" bestFit="1" customWidth="1"/>
    <col min="15111" max="15116" width="10.28515625" style="1" bestFit="1" customWidth="1"/>
    <col min="15117" max="15119" width="13.5703125" style="1" bestFit="1" customWidth="1"/>
    <col min="15120" max="15318" width="9.140625" style="1"/>
    <col min="15319" max="15319" width="4.140625" style="1" customWidth="1"/>
    <col min="15320" max="15320" width="24" style="1" customWidth="1"/>
    <col min="15321" max="15321" width="9" style="1" customWidth="1"/>
    <col min="15322" max="15322" width="11.42578125" style="1" customWidth="1"/>
    <col min="15323" max="15323" width="14.140625" style="1" customWidth="1"/>
    <col min="15324" max="15324" width="14" style="1" customWidth="1"/>
    <col min="15325" max="15325" width="13.85546875" style="1" customWidth="1"/>
    <col min="15326" max="15327" width="14.140625" style="1" customWidth="1"/>
    <col min="15328" max="15328" width="13.140625" style="1" bestFit="1" customWidth="1"/>
    <col min="15329" max="15352" width="0" style="1" hidden="1" customWidth="1"/>
    <col min="15353" max="15354" width="8" style="1" customWidth="1"/>
    <col min="15355" max="15355" width="10.28515625" style="1" customWidth="1"/>
    <col min="15356" max="15356" width="12.28515625" style="1" bestFit="1" customWidth="1"/>
    <col min="15357" max="15357" width="12.85546875" style="1" bestFit="1" customWidth="1"/>
    <col min="15358" max="15358" width="10.28515625" style="1" bestFit="1" customWidth="1"/>
    <col min="15359" max="15359" width="10.140625" style="1" bestFit="1" customWidth="1"/>
    <col min="15360" max="15364" width="10.28515625" style="1" bestFit="1" customWidth="1"/>
    <col min="15365" max="15366" width="10.140625" style="1" bestFit="1" customWidth="1"/>
    <col min="15367" max="15372" width="10.28515625" style="1" bestFit="1" customWidth="1"/>
    <col min="15373" max="15375" width="13.5703125" style="1" bestFit="1" customWidth="1"/>
    <col min="15376" max="15574" width="9.140625" style="1"/>
    <col min="15575" max="15575" width="4.140625" style="1" customWidth="1"/>
    <col min="15576" max="15576" width="24" style="1" customWidth="1"/>
    <col min="15577" max="15577" width="9" style="1" customWidth="1"/>
    <col min="15578" max="15578" width="11.42578125" style="1" customWidth="1"/>
    <col min="15579" max="15579" width="14.140625" style="1" customWidth="1"/>
    <col min="15580" max="15580" width="14" style="1" customWidth="1"/>
    <col min="15581" max="15581" width="13.85546875" style="1" customWidth="1"/>
    <col min="15582" max="15583" width="14.140625" style="1" customWidth="1"/>
    <col min="15584" max="15584" width="13.140625" style="1" bestFit="1" customWidth="1"/>
    <col min="15585" max="15608" width="0" style="1" hidden="1" customWidth="1"/>
    <col min="15609" max="15610" width="8" style="1" customWidth="1"/>
    <col min="15611" max="15611" width="10.28515625" style="1" customWidth="1"/>
    <col min="15612" max="15612" width="12.28515625" style="1" bestFit="1" customWidth="1"/>
    <col min="15613" max="15613" width="12.85546875" style="1" bestFit="1" customWidth="1"/>
    <col min="15614" max="15614" width="10.28515625" style="1" bestFit="1" customWidth="1"/>
    <col min="15615" max="15615" width="10.140625" style="1" bestFit="1" customWidth="1"/>
    <col min="15616" max="15620" width="10.28515625" style="1" bestFit="1" customWidth="1"/>
    <col min="15621" max="15622" width="10.140625" style="1" bestFit="1" customWidth="1"/>
    <col min="15623" max="15628" width="10.28515625" style="1" bestFit="1" customWidth="1"/>
    <col min="15629" max="15631" width="13.5703125" style="1" bestFit="1" customWidth="1"/>
    <col min="15632" max="15830" width="9.140625" style="1"/>
    <col min="15831" max="15831" width="4.140625" style="1" customWidth="1"/>
    <col min="15832" max="15832" width="24" style="1" customWidth="1"/>
    <col min="15833" max="15833" width="9" style="1" customWidth="1"/>
    <col min="15834" max="15834" width="11.42578125" style="1" customWidth="1"/>
    <col min="15835" max="15835" width="14.140625" style="1" customWidth="1"/>
    <col min="15836" max="15836" width="14" style="1" customWidth="1"/>
    <col min="15837" max="15837" width="13.85546875" style="1" customWidth="1"/>
    <col min="15838" max="15839" width="14.140625" style="1" customWidth="1"/>
    <col min="15840" max="15840" width="13.140625" style="1" bestFit="1" customWidth="1"/>
    <col min="15841" max="15864" width="0" style="1" hidden="1" customWidth="1"/>
    <col min="15865" max="15866" width="8" style="1" customWidth="1"/>
    <col min="15867" max="15867" width="10.28515625" style="1" customWidth="1"/>
    <col min="15868" max="15868" width="12.28515625" style="1" bestFit="1" customWidth="1"/>
    <col min="15869" max="15869" width="12.85546875" style="1" bestFit="1" customWidth="1"/>
    <col min="15870" max="15870" width="10.28515625" style="1" bestFit="1" customWidth="1"/>
    <col min="15871" max="15871" width="10.140625" style="1" bestFit="1" customWidth="1"/>
    <col min="15872" max="15876" width="10.28515625" style="1" bestFit="1" customWidth="1"/>
    <col min="15877" max="15878" width="10.140625" style="1" bestFit="1" customWidth="1"/>
    <col min="15879" max="15884" width="10.28515625" style="1" bestFit="1" customWidth="1"/>
    <col min="15885" max="15887" width="13.5703125" style="1" bestFit="1" customWidth="1"/>
    <col min="15888" max="16086" width="9.140625" style="1"/>
    <col min="16087" max="16087" width="4.140625" style="1" customWidth="1"/>
    <col min="16088" max="16088" width="24" style="1" customWidth="1"/>
    <col min="16089" max="16089" width="9" style="1" customWidth="1"/>
    <col min="16090" max="16090" width="11.42578125" style="1" customWidth="1"/>
    <col min="16091" max="16091" width="14.140625" style="1" customWidth="1"/>
    <col min="16092" max="16092" width="14" style="1" customWidth="1"/>
    <col min="16093" max="16093" width="13.85546875" style="1" customWidth="1"/>
    <col min="16094" max="16095" width="14.140625" style="1" customWidth="1"/>
    <col min="16096" max="16096" width="13.140625" style="1" bestFit="1" customWidth="1"/>
    <col min="16097" max="16120" width="0" style="1" hidden="1" customWidth="1"/>
    <col min="16121" max="16122" width="8" style="1" customWidth="1"/>
    <col min="16123" max="16123" width="10.28515625" style="1" customWidth="1"/>
    <col min="16124" max="16124" width="12.28515625" style="1" bestFit="1" customWidth="1"/>
    <col min="16125" max="16125" width="12.85546875" style="1" bestFit="1" customWidth="1"/>
    <col min="16126" max="16126" width="10.28515625" style="1" bestFit="1" customWidth="1"/>
    <col min="16127" max="16127" width="10.140625" style="1" bestFit="1" customWidth="1"/>
    <col min="16128" max="16132" width="10.28515625" style="1" bestFit="1" customWidth="1"/>
    <col min="16133" max="16134" width="10.140625" style="1" bestFit="1" customWidth="1"/>
    <col min="16135" max="16140" width="10.28515625" style="1" bestFit="1" customWidth="1"/>
    <col min="16141" max="16143" width="13.5703125" style="1" bestFit="1" customWidth="1"/>
    <col min="16144" max="16384" width="9.140625" style="1"/>
  </cols>
  <sheetData>
    <row r="1" spans="1:26" ht="20.25" customHeight="1">
      <c r="A1" s="1" t="s">
        <v>0</v>
      </c>
    </row>
    <row r="2" spans="1:26">
      <c r="A2" s="278" t="s">
        <v>207</v>
      </c>
      <c r="B2" s="278"/>
      <c r="C2" s="278"/>
      <c r="D2" s="278"/>
      <c r="E2" s="278"/>
      <c r="F2" s="278"/>
      <c r="G2" s="278"/>
    </row>
    <row r="3" spans="1:26">
      <c r="A3" s="278" t="s">
        <v>1</v>
      </c>
      <c r="B3" s="278"/>
      <c r="C3" s="278"/>
      <c r="D3" s="278"/>
      <c r="E3" s="278"/>
      <c r="F3" s="278"/>
      <c r="G3" s="278"/>
    </row>
    <row r="4" spans="1:26">
      <c r="H4" s="102"/>
      <c r="I4" s="6"/>
      <c r="J4" s="7"/>
      <c r="K4" s="7"/>
      <c r="L4" s="7"/>
      <c r="M4" s="7"/>
      <c r="N4" s="7"/>
      <c r="O4" s="7"/>
      <c r="P4" s="8"/>
      <c r="S4" s="1" t="s">
        <v>176</v>
      </c>
      <c r="T4" s="1" t="s">
        <v>186</v>
      </c>
      <c r="U4" s="1" t="s">
        <v>187</v>
      </c>
    </row>
    <row r="5" spans="1:26" ht="15.75" customHeight="1">
      <c r="A5" s="279" t="s">
        <v>2</v>
      </c>
      <c r="B5" s="279" t="s">
        <v>3</v>
      </c>
      <c r="C5" s="282" t="s">
        <v>4</v>
      </c>
      <c r="D5" s="285" t="s">
        <v>5</v>
      </c>
      <c r="E5" s="279" t="s">
        <v>6</v>
      </c>
      <c r="F5" s="279" t="s">
        <v>7</v>
      </c>
      <c r="G5" s="279" t="s">
        <v>8</v>
      </c>
      <c r="H5" s="288" t="s">
        <v>10</v>
      </c>
      <c r="I5" s="291" t="s">
        <v>11</v>
      </c>
      <c r="J5" s="276" t="s">
        <v>12</v>
      </c>
      <c r="K5" s="276" t="s">
        <v>13</v>
      </c>
      <c r="L5" s="276" t="s">
        <v>14</v>
      </c>
      <c r="M5" s="276" t="s">
        <v>15</v>
      </c>
      <c r="N5" s="276" t="s">
        <v>16</v>
      </c>
      <c r="O5" s="276" t="s">
        <v>17</v>
      </c>
      <c r="P5" s="288" t="s">
        <v>18</v>
      </c>
      <c r="Q5" s="334" t="s">
        <v>172</v>
      </c>
      <c r="R5" s="288" t="s">
        <v>33</v>
      </c>
      <c r="S5" s="288" t="s">
        <v>175</v>
      </c>
      <c r="T5" s="288" t="s">
        <v>178</v>
      </c>
      <c r="U5" s="288" t="s">
        <v>177</v>
      </c>
      <c r="V5" s="288" t="s">
        <v>179</v>
      </c>
      <c r="W5" s="288" t="s">
        <v>205</v>
      </c>
      <c r="X5" s="331" t="s">
        <v>184</v>
      </c>
      <c r="Y5" s="331" t="s">
        <v>185</v>
      </c>
      <c r="Z5" s="331" t="s">
        <v>192</v>
      </c>
    </row>
    <row r="6" spans="1:26">
      <c r="A6" s="280"/>
      <c r="B6" s="280"/>
      <c r="C6" s="283"/>
      <c r="D6" s="286"/>
      <c r="E6" s="280"/>
      <c r="F6" s="280"/>
      <c r="G6" s="280"/>
      <c r="H6" s="289"/>
      <c r="I6" s="292"/>
      <c r="J6" s="277"/>
      <c r="K6" s="277"/>
      <c r="L6" s="277"/>
      <c r="M6" s="277"/>
      <c r="N6" s="277"/>
      <c r="O6" s="277"/>
      <c r="P6" s="289"/>
      <c r="Q6" s="335"/>
      <c r="R6" s="289"/>
      <c r="S6" s="289"/>
      <c r="T6" s="289"/>
      <c r="U6" s="289"/>
      <c r="V6" s="289"/>
      <c r="W6" s="289"/>
      <c r="X6" s="332"/>
      <c r="Y6" s="332"/>
      <c r="Z6" s="332"/>
    </row>
    <row r="7" spans="1:26">
      <c r="A7" s="281"/>
      <c r="B7" s="281"/>
      <c r="C7" s="284"/>
      <c r="D7" s="287"/>
      <c r="E7" s="281"/>
      <c r="F7" s="281"/>
      <c r="G7" s="281"/>
      <c r="H7" s="290"/>
      <c r="I7" s="293"/>
      <c r="J7" s="294"/>
      <c r="K7" s="277"/>
      <c r="L7" s="277"/>
      <c r="M7" s="277"/>
      <c r="N7" s="277"/>
      <c r="O7" s="277"/>
      <c r="P7" s="289"/>
      <c r="Q7" s="335"/>
      <c r="R7" s="289"/>
      <c r="S7" s="289"/>
      <c r="T7" s="289"/>
      <c r="U7" s="289"/>
      <c r="V7" s="289"/>
      <c r="W7" s="289"/>
      <c r="X7" s="332"/>
      <c r="Y7" s="333"/>
      <c r="Z7" s="333"/>
    </row>
    <row r="8" spans="1:26">
      <c r="A8" s="193"/>
      <c r="B8" s="193"/>
      <c r="C8" s="194"/>
      <c r="D8" s="195"/>
      <c r="E8" s="193"/>
      <c r="F8" s="196"/>
      <c r="G8" s="193"/>
      <c r="H8" s="166"/>
      <c r="I8" s="166"/>
      <c r="J8" s="166"/>
      <c r="K8" s="199"/>
      <c r="L8" s="199"/>
      <c r="M8" s="199"/>
      <c r="N8" s="199"/>
      <c r="O8" s="199"/>
      <c r="P8" s="199"/>
      <c r="Q8" s="199"/>
      <c r="R8" s="199"/>
      <c r="S8" s="201"/>
      <c r="T8" s="199"/>
      <c r="U8" s="199"/>
      <c r="V8" s="199"/>
      <c r="W8" s="202"/>
      <c r="X8" s="202"/>
      <c r="Y8" s="171"/>
      <c r="Z8" s="171"/>
    </row>
    <row r="9" spans="1:26" ht="15" customHeight="1">
      <c r="A9" s="101"/>
      <c r="B9" s="112"/>
      <c r="C9" s="113"/>
      <c r="D9" s="215"/>
      <c r="E9" s="115"/>
      <c r="F9" s="117">
        <f>(+E9*D9)/24*J9+400*V9</f>
        <v>0</v>
      </c>
      <c r="G9" s="117" t="e">
        <f>F9/J9</f>
        <v>#DIV/0!</v>
      </c>
      <c r="H9" s="198"/>
      <c r="I9" s="199"/>
      <c r="J9" s="200"/>
      <c r="K9" s="200"/>
      <c r="L9" s="200"/>
      <c r="M9" s="200"/>
      <c r="N9" s="200"/>
      <c r="O9" s="200"/>
      <c r="P9" s="199"/>
      <c r="Q9" s="199"/>
      <c r="R9" s="199">
        <f>10000*J9</f>
        <v>0</v>
      </c>
      <c r="S9" s="201"/>
      <c r="T9" s="199"/>
      <c r="U9" s="199"/>
      <c r="V9" s="199"/>
      <c r="W9" s="202"/>
      <c r="X9" s="202"/>
      <c r="Y9" s="202">
        <f t="shared" ref="Y9" si="0">-IF(S9=$S$4,0,IF(S9=$T$4,15*680*J9,IF(S9=$U$4,30*680*J9,IF(S9=0,50*680*J9))))</f>
        <v>0</v>
      </c>
      <c r="Z9" s="202"/>
    </row>
    <row r="10" spans="1:26" ht="15" customHeight="1">
      <c r="A10" s="9"/>
      <c r="B10" s="203"/>
      <c r="C10" s="113"/>
      <c r="D10" s="204"/>
      <c r="E10" s="9"/>
      <c r="F10" s="196"/>
      <c r="G10" s="193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201"/>
      <c r="T10" s="199"/>
      <c r="U10" s="199"/>
      <c r="V10" s="199"/>
      <c r="W10" s="202"/>
      <c r="X10" s="202"/>
      <c r="Y10" s="202"/>
      <c r="Z10" s="202"/>
    </row>
    <row r="11" spans="1:26">
      <c r="A11" s="101"/>
      <c r="B11" s="203"/>
      <c r="C11" s="113"/>
      <c r="D11" s="205"/>
      <c r="E11" s="115"/>
      <c r="F11" s="117">
        <f t="shared" ref="F11" si="1">(+E11*D11)/24*J11+400*V11</f>
        <v>0</v>
      </c>
      <c r="G11" s="117" t="e">
        <f t="shared" ref="G11" si="2">F11/J11</f>
        <v>#DIV/0!</v>
      </c>
      <c r="H11" s="198"/>
      <c r="I11" s="199"/>
      <c r="J11" s="200"/>
      <c r="K11" s="200"/>
      <c r="L11" s="200"/>
      <c r="M11" s="200"/>
      <c r="N11" s="200"/>
      <c r="O11" s="200"/>
      <c r="P11" s="199"/>
      <c r="Q11" s="199"/>
      <c r="R11" s="199">
        <f t="shared" ref="R11:R54" si="3">10000*J11</f>
        <v>0</v>
      </c>
      <c r="S11" s="201"/>
      <c r="T11" s="199"/>
      <c r="U11" s="199"/>
      <c r="V11" s="199"/>
      <c r="W11" s="202"/>
      <c r="X11" s="202"/>
      <c r="Y11" s="202">
        <f t="shared" ref="Y11" si="4">-IF(S11=$S$4,0,IF(S11=$T$4,15*680*J11,IF(S11=$U$4,30*680*J11,IF(S11=0,50*680*J11))))</f>
        <v>0</v>
      </c>
      <c r="Z11" s="202"/>
    </row>
    <row r="12" spans="1:26" ht="15" customHeight="1">
      <c r="A12" s="9"/>
      <c r="B12" s="203"/>
      <c r="C12" s="113"/>
      <c r="D12" s="204"/>
      <c r="E12" s="9"/>
      <c r="F12" s="196"/>
      <c r="G12" s="193"/>
      <c r="H12" s="206"/>
      <c r="I12" s="202"/>
      <c r="J12" s="116"/>
      <c r="K12" s="116"/>
      <c r="L12" s="207"/>
      <c r="M12" s="116"/>
      <c r="N12" s="116"/>
      <c r="O12" s="116"/>
      <c r="P12" s="202"/>
      <c r="Q12" s="201"/>
      <c r="R12" s="199"/>
      <c r="S12" s="201"/>
      <c r="T12" s="201"/>
      <c r="U12" s="201"/>
      <c r="V12" s="201"/>
      <c r="W12" s="202"/>
      <c r="X12" s="202"/>
      <c r="Y12" s="202"/>
      <c r="Z12" s="202"/>
    </row>
    <row r="13" spans="1:26">
      <c r="A13" s="101"/>
      <c r="B13" s="112"/>
      <c r="C13" s="113"/>
      <c r="D13" s="205"/>
      <c r="E13" s="115"/>
      <c r="F13" s="117">
        <f t="shared" ref="F13" si="5">(+E13*D13)/24*J13+400*V13</f>
        <v>0</v>
      </c>
      <c r="G13" s="117" t="e">
        <f t="shared" ref="G13" si="6">F13/J13</f>
        <v>#DIV/0!</v>
      </c>
      <c r="H13" s="198"/>
      <c r="I13" s="199"/>
      <c r="J13" s="200"/>
      <c r="K13" s="200"/>
      <c r="L13" s="200"/>
      <c r="M13" s="200"/>
      <c r="N13" s="200"/>
      <c r="O13" s="200"/>
      <c r="P13" s="199"/>
      <c r="Q13" s="199"/>
      <c r="R13" s="199">
        <f t="shared" ref="R13:R54" si="7">10000*J13</f>
        <v>0</v>
      </c>
      <c r="S13" s="201"/>
      <c r="T13" s="199"/>
      <c r="U13" s="199"/>
      <c r="V13" s="199"/>
      <c r="W13" s="202"/>
      <c r="X13" s="202"/>
      <c r="Y13" s="202">
        <f t="shared" ref="Y13" si="8">-IF(S13=$S$4,0,IF(S13=$T$4,15*680*J13,IF(S13=$U$4,30*680*J13,IF(S13=0,50*680*J13))))</f>
        <v>0</v>
      </c>
      <c r="Z13" s="202"/>
    </row>
    <row r="14" spans="1:26" ht="15" customHeight="1">
      <c r="A14" s="9"/>
      <c r="B14" s="202"/>
      <c r="C14" s="202"/>
      <c r="D14" s="204"/>
      <c r="E14" s="9"/>
      <c r="F14" s="196"/>
      <c r="G14" s="193"/>
      <c r="H14" s="206"/>
      <c r="I14" s="202"/>
      <c r="J14" s="116"/>
      <c r="K14" s="116"/>
      <c r="L14" s="207"/>
      <c r="M14" s="116"/>
      <c r="N14" s="116"/>
      <c r="O14" s="116"/>
      <c r="P14" s="202"/>
      <c r="Q14" s="201"/>
      <c r="R14" s="199"/>
      <c r="S14" s="201"/>
      <c r="T14" s="201"/>
      <c r="U14" s="201"/>
      <c r="V14" s="201"/>
      <c r="W14" s="202"/>
      <c r="X14" s="202"/>
      <c r="Y14" s="202"/>
      <c r="Z14" s="202"/>
    </row>
    <row r="15" spans="1:26" ht="19.5" customHeight="1">
      <c r="A15" s="101"/>
      <c r="B15" s="203"/>
      <c r="C15" s="113"/>
      <c r="D15" s="205"/>
      <c r="E15" s="115"/>
      <c r="F15" s="117">
        <f t="shared" ref="F15" si="9">(+E15*D15)/24*J15+400*V15</f>
        <v>0</v>
      </c>
      <c r="G15" s="117" t="e">
        <f t="shared" ref="G15" si="10">F15/J15</f>
        <v>#DIV/0!</v>
      </c>
      <c r="H15" s="206"/>
      <c r="I15" s="208"/>
      <c r="J15" s="209"/>
      <c r="K15" s="116"/>
      <c r="L15" s="207"/>
      <c r="M15" s="116"/>
      <c r="N15" s="116"/>
      <c r="O15" s="116"/>
      <c r="P15" s="202"/>
      <c r="Q15" s="201"/>
      <c r="R15" s="199">
        <f t="shared" ref="R15:R54" si="11">10000*J15</f>
        <v>0</v>
      </c>
      <c r="S15" s="201"/>
      <c r="T15" s="201"/>
      <c r="U15" s="201"/>
      <c r="V15" s="201"/>
      <c r="W15" s="202"/>
      <c r="X15" s="202"/>
      <c r="Y15" s="202"/>
      <c r="Z15" s="202"/>
    </row>
    <row r="16" spans="1:26" ht="15" customHeight="1">
      <c r="A16" s="101"/>
      <c r="B16" s="112"/>
      <c r="C16" s="113"/>
      <c r="D16" s="204"/>
      <c r="E16" s="115"/>
      <c r="F16" s="196"/>
      <c r="G16" s="193"/>
      <c r="H16" s="206"/>
      <c r="I16" s="202"/>
      <c r="J16" s="209"/>
      <c r="K16" s="116"/>
      <c r="L16" s="116"/>
      <c r="M16" s="116"/>
      <c r="N16" s="116"/>
      <c r="O16" s="116"/>
      <c r="P16" s="202"/>
      <c r="Q16" s="210"/>
      <c r="R16" s="199"/>
      <c r="S16" s="202"/>
      <c r="T16" s="202"/>
      <c r="U16" s="202"/>
      <c r="V16" s="202"/>
      <c r="W16" s="202"/>
      <c r="X16" s="202"/>
      <c r="Y16" s="202"/>
      <c r="Z16" s="202"/>
    </row>
    <row r="17" spans="1:26" ht="19.5" customHeight="1">
      <c r="A17" s="101"/>
      <c r="B17" s="203"/>
      <c r="C17" s="113"/>
      <c r="D17" s="205"/>
      <c r="E17" s="115"/>
      <c r="F17" s="117">
        <f t="shared" ref="F17" si="12">(+E17*D17)/24*J17+400*V17</f>
        <v>0</v>
      </c>
      <c r="G17" s="117" t="e">
        <f t="shared" ref="G17" si="13">F17/J17</f>
        <v>#DIV/0!</v>
      </c>
      <c r="H17" s="206"/>
      <c r="I17" s="208"/>
      <c r="J17" s="209"/>
      <c r="K17" s="116"/>
      <c r="L17" s="207"/>
      <c r="M17" s="116"/>
      <c r="N17" s="116"/>
      <c r="O17" s="116"/>
      <c r="P17" s="202"/>
      <c r="Q17" s="201"/>
      <c r="R17" s="199">
        <f t="shared" ref="R17:R54" si="14">10000*J17</f>
        <v>0</v>
      </c>
      <c r="S17" s="201"/>
      <c r="T17" s="201"/>
      <c r="U17" s="201"/>
      <c r="V17" s="201"/>
      <c r="W17" s="202"/>
      <c r="X17" s="202"/>
      <c r="Y17" s="202"/>
      <c r="Z17" s="202"/>
    </row>
    <row r="18" spans="1:26" ht="15" customHeight="1">
      <c r="A18" s="9"/>
      <c r="B18" s="112"/>
      <c r="C18" s="113"/>
      <c r="D18" s="204"/>
      <c r="E18" s="115"/>
      <c r="F18" s="196"/>
      <c r="G18" s="193"/>
      <c r="H18" s="206"/>
      <c r="I18" s="202"/>
      <c r="J18" s="209"/>
      <c r="K18" s="116"/>
      <c r="L18" s="116"/>
      <c r="M18" s="116"/>
      <c r="N18" s="116"/>
      <c r="O18" s="116"/>
      <c r="P18" s="202"/>
      <c r="Q18" s="210"/>
      <c r="R18" s="199"/>
      <c r="S18" s="202"/>
      <c r="T18" s="202"/>
      <c r="U18" s="202"/>
      <c r="V18" s="202"/>
      <c r="W18" s="202"/>
      <c r="X18" s="202"/>
      <c r="Y18" s="202"/>
      <c r="Z18" s="202"/>
    </row>
    <row r="19" spans="1:26" ht="19.5" customHeight="1">
      <c r="A19" s="101"/>
      <c r="B19" s="203"/>
      <c r="C19" s="113"/>
      <c r="D19" s="215"/>
      <c r="E19" s="115"/>
      <c r="F19" s="117">
        <f t="shared" ref="F19" si="15">(+E19*D19)/24*J19+400*V19</f>
        <v>0</v>
      </c>
      <c r="G19" s="117" t="e">
        <f t="shared" ref="G19" si="16">F19/J19</f>
        <v>#DIV/0!</v>
      </c>
      <c r="H19" s="206"/>
      <c r="I19" s="208"/>
      <c r="J19" s="209"/>
      <c r="K19" s="116"/>
      <c r="L19" s="207"/>
      <c r="M19" s="116"/>
      <c r="N19" s="116"/>
      <c r="O19" s="116"/>
      <c r="P19" s="202"/>
      <c r="Q19" s="201"/>
      <c r="R19" s="199">
        <f t="shared" ref="R19:R54" si="17">10000*J19</f>
        <v>0</v>
      </c>
      <c r="S19" s="201"/>
      <c r="T19" s="201"/>
      <c r="U19" s="201"/>
      <c r="V19" s="201"/>
      <c r="W19" s="202"/>
      <c r="X19" s="202"/>
      <c r="Y19" s="202"/>
      <c r="Z19" s="202"/>
    </row>
    <row r="20" spans="1:26" ht="15" customHeight="1">
      <c r="A20" s="101"/>
      <c r="B20" s="112"/>
      <c r="C20" s="113"/>
      <c r="D20" s="204"/>
      <c r="E20" s="115"/>
      <c r="F20" s="196"/>
      <c r="G20" s="193"/>
      <c r="H20" s="206"/>
      <c r="I20" s="202"/>
      <c r="J20" s="116"/>
      <c r="K20" s="116"/>
      <c r="L20" s="116"/>
      <c r="M20" s="116"/>
      <c r="N20" s="116"/>
      <c r="O20" s="116"/>
      <c r="P20" s="202"/>
      <c r="Q20" s="210"/>
      <c r="R20" s="199"/>
      <c r="S20" s="202"/>
      <c r="T20" s="202"/>
      <c r="U20" s="202"/>
      <c r="V20" s="202"/>
      <c r="W20" s="202"/>
      <c r="X20" s="202"/>
      <c r="Y20" s="202"/>
      <c r="Z20" s="202"/>
    </row>
    <row r="21" spans="1:26" ht="15" customHeight="1">
      <c r="A21" s="101"/>
      <c r="B21" s="112"/>
      <c r="C21" s="113"/>
      <c r="D21" s="205"/>
      <c r="E21" s="115"/>
      <c r="F21" s="117">
        <f t="shared" ref="F21" si="18">(+E21*D21)/24*J21+400*V21</f>
        <v>0</v>
      </c>
      <c r="G21" s="117" t="e">
        <f t="shared" ref="G21" si="19">F21/J21</f>
        <v>#DIV/0!</v>
      </c>
      <c r="H21" s="206"/>
      <c r="I21" s="117"/>
      <c r="J21" s="116"/>
      <c r="K21" s="116"/>
      <c r="L21" s="116"/>
      <c r="M21" s="116"/>
      <c r="N21" s="116"/>
      <c r="O21" s="116"/>
      <c r="P21" s="202"/>
      <c r="Q21" s="210"/>
      <c r="R21" s="199">
        <f t="shared" ref="R21:R54" si="20">10000*J21</f>
        <v>0</v>
      </c>
      <c r="S21" s="202"/>
      <c r="T21" s="202"/>
      <c r="U21" s="202"/>
      <c r="V21" s="202"/>
      <c r="W21" s="202"/>
      <c r="X21" s="202"/>
      <c r="Y21" s="202"/>
      <c r="Z21" s="202"/>
    </row>
    <row r="22" spans="1:26" ht="15" hidden="1" customHeight="1">
      <c r="A22" s="9"/>
      <c r="B22" s="112"/>
      <c r="C22" s="113"/>
      <c r="D22" s="204"/>
      <c r="E22" s="115"/>
      <c r="F22" s="196"/>
      <c r="G22" s="193"/>
      <c r="H22" s="206"/>
      <c r="I22" s="202"/>
      <c r="J22" s="116"/>
      <c r="K22" s="116"/>
      <c r="L22" s="116"/>
      <c r="M22" s="116"/>
      <c r="N22" s="116"/>
      <c r="O22" s="116"/>
      <c r="P22" s="202"/>
      <c r="Q22" s="210"/>
      <c r="R22" s="199"/>
      <c r="S22" s="202"/>
      <c r="T22" s="202"/>
      <c r="U22" s="202"/>
      <c r="V22" s="202"/>
      <c r="W22" s="202"/>
      <c r="X22" s="202"/>
      <c r="Y22" s="202"/>
      <c r="Z22" s="202"/>
    </row>
    <row r="23" spans="1:26" ht="15" customHeight="1">
      <c r="A23" s="101"/>
      <c r="B23" s="112"/>
      <c r="C23" s="113"/>
      <c r="D23" s="205"/>
      <c r="E23" s="115"/>
      <c r="F23" s="117">
        <f t="shared" ref="F23" si="21">(+E23*D23)/24*J23+400*V23</f>
        <v>0</v>
      </c>
      <c r="G23" s="117" t="e">
        <f t="shared" ref="G23" si="22">F23/J23</f>
        <v>#DIV/0!</v>
      </c>
      <c r="H23" s="206"/>
      <c r="I23" s="117"/>
      <c r="J23" s="116"/>
      <c r="K23" s="116"/>
      <c r="L23" s="116"/>
      <c r="M23" s="116"/>
      <c r="N23" s="116"/>
      <c r="O23" s="116"/>
      <c r="P23" s="202"/>
      <c r="Q23" s="210"/>
      <c r="R23" s="199">
        <f t="shared" ref="R23:R54" si="23">10000*J23</f>
        <v>0</v>
      </c>
      <c r="S23" s="202"/>
      <c r="T23" s="202"/>
      <c r="U23" s="202"/>
      <c r="V23" s="202"/>
      <c r="W23" s="202"/>
      <c r="X23" s="202"/>
      <c r="Y23" s="202"/>
      <c r="Z23" s="202"/>
    </row>
    <row r="24" spans="1:26" ht="15" hidden="1" customHeight="1">
      <c r="A24" s="101"/>
      <c r="B24" s="202"/>
      <c r="C24" s="211"/>
      <c r="D24" s="204"/>
      <c r="E24" s="115"/>
      <c r="F24" s="196"/>
      <c r="G24" s="193"/>
      <c r="H24" s="206"/>
      <c r="I24" s="202"/>
      <c r="J24" s="116"/>
      <c r="K24" s="116"/>
      <c r="L24" s="116"/>
      <c r="M24" s="116"/>
      <c r="N24" s="116"/>
      <c r="O24" s="116"/>
      <c r="P24" s="202"/>
      <c r="Q24" s="210"/>
      <c r="R24" s="199"/>
      <c r="S24" s="202"/>
      <c r="T24" s="202"/>
      <c r="U24" s="202"/>
      <c r="V24" s="202"/>
      <c r="W24" s="202"/>
      <c r="X24" s="202"/>
      <c r="Y24" s="202"/>
      <c r="Z24" s="202"/>
    </row>
    <row r="25" spans="1:26" ht="15" customHeight="1">
      <c r="A25" s="9"/>
      <c r="B25" s="202"/>
      <c r="C25" s="211"/>
      <c r="D25" s="205"/>
      <c r="E25" s="115"/>
      <c r="F25" s="117">
        <f t="shared" ref="F25" si="24">(+E25*D25)/24*J25+400*V25</f>
        <v>0</v>
      </c>
      <c r="G25" s="117" t="e">
        <f t="shared" ref="G25" si="25">F25/J25</f>
        <v>#DIV/0!</v>
      </c>
      <c r="H25" s="206"/>
      <c r="I25" s="117"/>
      <c r="J25" s="116"/>
      <c r="K25" s="116"/>
      <c r="L25" s="116"/>
      <c r="M25" s="116"/>
      <c r="N25" s="116"/>
      <c r="O25" s="116"/>
      <c r="P25" s="202"/>
      <c r="Q25" s="210"/>
      <c r="R25" s="199">
        <f t="shared" ref="R25:R54" si="26">10000*J25</f>
        <v>0</v>
      </c>
      <c r="S25" s="202"/>
      <c r="T25" s="202"/>
      <c r="U25" s="202"/>
      <c r="V25" s="202"/>
      <c r="W25" s="202"/>
      <c r="X25" s="202"/>
      <c r="Y25" s="202"/>
      <c r="Z25" s="202"/>
    </row>
    <row r="26" spans="1:26" ht="15" hidden="1" customHeight="1">
      <c r="A26" s="101"/>
      <c r="B26" s="112"/>
      <c r="C26" s="113"/>
      <c r="D26" s="204"/>
      <c r="E26" s="115"/>
      <c r="F26" s="196"/>
      <c r="G26" s="193"/>
      <c r="H26" s="206"/>
      <c r="I26" s="202"/>
      <c r="J26" s="116"/>
      <c r="K26" s="116"/>
      <c r="L26" s="116"/>
      <c r="M26" s="116"/>
      <c r="N26" s="116"/>
      <c r="O26" s="116"/>
      <c r="P26" s="202"/>
      <c r="Q26" s="210"/>
      <c r="R26" s="199"/>
      <c r="S26" s="202"/>
      <c r="T26" s="202"/>
      <c r="U26" s="202"/>
      <c r="V26" s="202"/>
      <c r="W26" s="202"/>
      <c r="X26" s="202"/>
      <c r="Y26" s="202"/>
      <c r="Z26" s="202"/>
    </row>
    <row r="27" spans="1:26" ht="15" customHeight="1">
      <c r="A27" s="101"/>
      <c r="B27" s="112"/>
      <c r="C27" s="113"/>
      <c r="D27" s="205"/>
      <c r="E27" s="115"/>
      <c r="F27" s="117">
        <f t="shared" ref="F27" si="27">(+E27*D27)/24*J27+400*V27</f>
        <v>0</v>
      </c>
      <c r="G27" s="117" t="e">
        <f t="shared" ref="G27" si="28">F27/J27</f>
        <v>#DIV/0!</v>
      </c>
      <c r="H27" s="206"/>
      <c r="I27" s="117"/>
      <c r="J27" s="116"/>
      <c r="K27" s="116"/>
      <c r="L27" s="116"/>
      <c r="M27" s="116"/>
      <c r="N27" s="116"/>
      <c r="O27" s="116"/>
      <c r="P27" s="202"/>
      <c r="Q27" s="210"/>
      <c r="R27" s="199">
        <f t="shared" ref="R27:R54" si="29">10000*J27</f>
        <v>0</v>
      </c>
      <c r="S27" s="202"/>
      <c r="T27" s="202"/>
      <c r="U27" s="202"/>
      <c r="V27" s="202"/>
      <c r="W27" s="202"/>
      <c r="X27" s="202"/>
      <c r="Y27" s="202"/>
      <c r="Z27" s="202"/>
    </row>
    <row r="28" spans="1:26" ht="15" hidden="1" customHeight="1">
      <c r="A28" s="9"/>
      <c r="B28" s="112"/>
      <c r="C28" s="113"/>
      <c r="D28" s="204"/>
      <c r="E28" s="115"/>
      <c r="F28" s="196"/>
      <c r="G28" s="193"/>
      <c r="H28" s="206"/>
      <c r="I28" s="202"/>
      <c r="J28" s="116"/>
      <c r="K28" s="116"/>
      <c r="L28" s="116"/>
      <c r="M28" s="116"/>
      <c r="N28" s="116"/>
      <c r="O28" s="116"/>
      <c r="P28" s="202"/>
      <c r="Q28" s="210"/>
      <c r="R28" s="199"/>
      <c r="S28" s="202"/>
      <c r="T28" s="202"/>
      <c r="U28" s="202"/>
      <c r="V28" s="202"/>
      <c r="W28" s="202"/>
      <c r="X28" s="202"/>
      <c r="Y28" s="202"/>
      <c r="Z28" s="202"/>
    </row>
    <row r="29" spans="1:26" ht="15" customHeight="1">
      <c r="A29" s="101"/>
      <c r="B29" s="112"/>
      <c r="C29" s="113"/>
      <c r="D29" s="212"/>
      <c r="E29" s="115"/>
      <c r="F29" s="117">
        <f t="shared" ref="F29" si="30">(+E29*D29)/24*J29+400*V29</f>
        <v>0</v>
      </c>
      <c r="G29" s="117" t="e">
        <f t="shared" ref="G29" si="31">F29/J29</f>
        <v>#DIV/0!</v>
      </c>
      <c r="H29" s="206"/>
      <c r="I29" s="117"/>
      <c r="J29" s="116"/>
      <c r="K29" s="116"/>
      <c r="L29" s="116"/>
      <c r="M29" s="116"/>
      <c r="N29" s="116"/>
      <c r="O29" s="116"/>
      <c r="P29" s="202"/>
      <c r="Q29" s="210"/>
      <c r="R29" s="199">
        <f t="shared" ref="R29:R54" si="32">10000*J29</f>
        <v>0</v>
      </c>
      <c r="S29" s="202"/>
      <c r="T29" s="202"/>
      <c r="U29" s="202"/>
      <c r="V29" s="202"/>
      <c r="W29" s="202"/>
      <c r="X29" s="202"/>
      <c r="Y29" s="202"/>
      <c r="Z29" s="202"/>
    </row>
    <row r="30" spans="1:26" ht="15" hidden="1" customHeight="1">
      <c r="A30" s="101"/>
      <c r="B30" s="112"/>
      <c r="C30" s="113"/>
      <c r="D30" s="204"/>
      <c r="E30" s="115"/>
      <c r="F30" s="196"/>
      <c r="G30" s="193"/>
      <c r="H30" s="206"/>
      <c r="I30" s="202"/>
      <c r="J30" s="116"/>
      <c r="K30" s="116"/>
      <c r="L30" s="116"/>
      <c r="M30" s="116"/>
      <c r="N30" s="116"/>
      <c r="O30" s="116"/>
      <c r="P30" s="202"/>
      <c r="Q30" s="210"/>
      <c r="R30" s="199"/>
      <c r="S30" s="202"/>
      <c r="T30" s="202"/>
      <c r="U30" s="202"/>
      <c r="V30" s="202"/>
      <c r="W30" s="202"/>
      <c r="X30" s="202"/>
      <c r="Y30" s="202"/>
      <c r="Z30" s="202"/>
    </row>
    <row r="31" spans="1:26" ht="15" customHeight="1">
      <c r="A31" s="9"/>
      <c r="B31" s="108"/>
      <c r="C31" s="109"/>
      <c r="D31" s="205"/>
      <c r="E31" s="115"/>
      <c r="F31" s="117">
        <f t="shared" ref="F31" si="33">(+E31*D31)/24*J31+400*V31</f>
        <v>0</v>
      </c>
      <c r="G31" s="117" t="e">
        <f t="shared" ref="G31" si="34">F31/J31</f>
        <v>#DIV/0!</v>
      </c>
      <c r="H31" s="206"/>
      <c r="I31" s="117"/>
      <c r="J31" s="116"/>
      <c r="K31" s="116"/>
      <c r="L31" s="116"/>
      <c r="M31" s="116"/>
      <c r="N31" s="116"/>
      <c r="O31" s="116"/>
      <c r="P31" s="202"/>
      <c r="Q31" s="210"/>
      <c r="R31" s="199">
        <f t="shared" ref="R31:R54" si="35">10000*J31</f>
        <v>0</v>
      </c>
      <c r="S31" s="202"/>
      <c r="T31" s="202"/>
      <c r="U31" s="202"/>
      <c r="V31" s="202"/>
      <c r="W31" s="202"/>
      <c r="X31" s="202"/>
      <c r="Y31" s="202"/>
      <c r="Z31" s="202"/>
    </row>
    <row r="32" spans="1:26" ht="15" hidden="1" customHeight="1">
      <c r="A32" s="101"/>
      <c r="B32" s="112"/>
      <c r="C32" s="113"/>
      <c r="D32" s="204"/>
      <c r="E32" s="115"/>
      <c r="F32" s="196"/>
      <c r="G32" s="193"/>
      <c r="H32" s="206"/>
      <c r="I32" s="202"/>
      <c r="J32" s="116"/>
      <c r="K32" s="116"/>
      <c r="L32" s="116"/>
      <c r="M32" s="116"/>
      <c r="N32" s="116"/>
      <c r="O32" s="116"/>
      <c r="P32" s="202"/>
      <c r="Q32" s="210"/>
      <c r="R32" s="199"/>
      <c r="S32" s="202"/>
      <c r="T32" s="202"/>
      <c r="U32" s="202"/>
      <c r="V32" s="202"/>
      <c r="W32" s="202"/>
      <c r="X32" s="202"/>
      <c r="Y32" s="202"/>
      <c r="Z32" s="202"/>
    </row>
    <row r="33" spans="1:26" ht="15" customHeight="1">
      <c r="A33" s="101"/>
      <c r="B33" s="108"/>
      <c r="C33" s="109"/>
      <c r="D33" s="205"/>
      <c r="E33" s="115"/>
      <c r="F33" s="117">
        <f t="shared" ref="F33" si="36">(+E33*D33)/24*J33+400*V33</f>
        <v>0</v>
      </c>
      <c r="G33" s="117" t="e">
        <f t="shared" ref="G33" si="37">F33/J33</f>
        <v>#DIV/0!</v>
      </c>
      <c r="H33" s="206"/>
      <c r="I33" s="117"/>
      <c r="J33" s="116"/>
      <c r="K33" s="116"/>
      <c r="L33" s="116"/>
      <c r="M33" s="116"/>
      <c r="N33" s="116"/>
      <c r="O33" s="116"/>
      <c r="P33" s="202"/>
      <c r="Q33" s="210"/>
      <c r="R33" s="199">
        <f t="shared" ref="R33:R54" si="38">10000*J33</f>
        <v>0</v>
      </c>
      <c r="S33" s="202"/>
      <c r="T33" s="202"/>
      <c r="U33" s="202"/>
      <c r="V33" s="202"/>
      <c r="W33" s="202"/>
      <c r="X33" s="202"/>
      <c r="Y33" s="202"/>
      <c r="Z33" s="202"/>
    </row>
    <row r="34" spans="1:26" ht="15" hidden="1" customHeight="1">
      <c r="A34" s="9"/>
      <c r="B34" s="112"/>
      <c r="C34" s="113"/>
      <c r="D34" s="204"/>
      <c r="E34" s="115"/>
      <c r="F34" s="196"/>
      <c r="G34" s="193"/>
      <c r="H34" s="206"/>
      <c r="I34" s="202"/>
      <c r="J34" s="116"/>
      <c r="K34" s="116"/>
      <c r="L34" s="116"/>
      <c r="M34" s="116"/>
      <c r="N34" s="116"/>
      <c r="O34" s="116"/>
      <c r="P34" s="202"/>
      <c r="Q34" s="210"/>
      <c r="R34" s="199"/>
      <c r="S34" s="202"/>
      <c r="T34" s="202"/>
      <c r="U34" s="202"/>
      <c r="V34" s="202"/>
      <c r="W34" s="202"/>
      <c r="X34" s="202"/>
      <c r="Y34" s="202"/>
      <c r="Z34" s="202"/>
    </row>
    <row r="35" spans="1:26" ht="15" customHeight="1">
      <c r="A35" s="101"/>
      <c r="B35" s="108"/>
      <c r="C35" s="109"/>
      <c r="D35" s="205"/>
      <c r="E35" s="115"/>
      <c r="F35" s="117">
        <f t="shared" ref="F35" si="39">(+E35*D35)/24*J35+400*V35</f>
        <v>0</v>
      </c>
      <c r="G35" s="117" t="e">
        <f t="shared" ref="G35" si="40">F35/J35</f>
        <v>#DIV/0!</v>
      </c>
      <c r="H35" s="206"/>
      <c r="I35" s="117"/>
      <c r="J35" s="116"/>
      <c r="K35" s="116"/>
      <c r="L35" s="116"/>
      <c r="M35" s="116"/>
      <c r="N35" s="116"/>
      <c r="O35" s="116"/>
      <c r="P35" s="202"/>
      <c r="Q35" s="210"/>
      <c r="R35" s="199">
        <f t="shared" ref="R35:R54" si="41">10000*J35</f>
        <v>0</v>
      </c>
      <c r="S35" s="202"/>
      <c r="T35" s="202"/>
      <c r="U35" s="202"/>
      <c r="V35" s="202"/>
      <c r="W35" s="202"/>
      <c r="X35" s="202"/>
      <c r="Y35" s="202"/>
      <c r="Z35" s="202"/>
    </row>
    <row r="36" spans="1:26" ht="15" hidden="1" customHeight="1">
      <c r="A36" s="9"/>
      <c r="B36" s="112"/>
      <c r="C36" s="113"/>
      <c r="D36" s="204"/>
      <c r="E36" s="115"/>
      <c r="F36" s="196"/>
      <c r="G36" s="193"/>
      <c r="H36" s="206"/>
      <c r="I36" s="202"/>
      <c r="J36" s="116"/>
      <c r="K36" s="116"/>
      <c r="L36" s="116"/>
      <c r="M36" s="116"/>
      <c r="N36" s="116"/>
      <c r="O36" s="116"/>
      <c r="P36" s="202"/>
      <c r="Q36" s="210"/>
      <c r="R36" s="199"/>
      <c r="S36" s="202"/>
      <c r="T36" s="202"/>
      <c r="U36" s="202"/>
      <c r="V36" s="202"/>
      <c r="W36" s="202"/>
      <c r="X36" s="202"/>
      <c r="Y36" s="202"/>
      <c r="Z36" s="202"/>
    </row>
    <row r="37" spans="1:26" ht="15" customHeight="1">
      <c r="A37" s="101"/>
      <c r="B37" s="112"/>
      <c r="C37" s="113"/>
      <c r="D37" s="205"/>
      <c r="E37" s="115"/>
      <c r="F37" s="117">
        <f t="shared" ref="F37" si="42">(+E37*D37)/24*J37+400*V37</f>
        <v>0</v>
      </c>
      <c r="G37" s="117" t="e">
        <f t="shared" ref="G37" si="43">F37/J37</f>
        <v>#DIV/0!</v>
      </c>
      <c r="H37" s="206"/>
      <c r="I37" s="117"/>
      <c r="J37" s="116"/>
      <c r="K37" s="116"/>
      <c r="L37" s="116"/>
      <c r="M37" s="116"/>
      <c r="N37" s="116"/>
      <c r="O37" s="116"/>
      <c r="P37" s="202"/>
      <c r="Q37" s="210"/>
      <c r="R37" s="199">
        <f t="shared" ref="R37:R54" si="44">10000*J37</f>
        <v>0</v>
      </c>
      <c r="S37" s="202"/>
      <c r="T37" s="202"/>
      <c r="U37" s="202"/>
      <c r="V37" s="202"/>
      <c r="W37" s="202"/>
      <c r="X37" s="202"/>
      <c r="Y37" s="202"/>
      <c r="Z37" s="202"/>
    </row>
    <row r="38" spans="1:26" ht="15" hidden="1" customHeight="1">
      <c r="A38" s="9"/>
      <c r="B38" s="112"/>
      <c r="C38" s="113"/>
      <c r="D38" s="204"/>
      <c r="E38" s="115"/>
      <c r="F38" s="196"/>
      <c r="G38" s="193"/>
      <c r="H38" s="206"/>
      <c r="I38" s="202"/>
      <c r="J38" s="116"/>
      <c r="K38" s="116"/>
      <c r="L38" s="116"/>
      <c r="M38" s="116"/>
      <c r="N38" s="116"/>
      <c r="O38" s="116"/>
      <c r="P38" s="202"/>
      <c r="Q38" s="210"/>
      <c r="R38" s="199"/>
      <c r="S38" s="202"/>
      <c r="T38" s="202"/>
      <c r="U38" s="202"/>
      <c r="V38" s="202"/>
      <c r="W38" s="202"/>
      <c r="X38" s="202"/>
      <c r="Y38" s="202"/>
      <c r="Z38" s="202"/>
    </row>
    <row r="39" spans="1:26" ht="15" customHeight="1">
      <c r="A39" s="101"/>
      <c r="B39" s="112"/>
      <c r="C39" s="113"/>
      <c r="D39" s="205"/>
      <c r="E39" s="115"/>
      <c r="F39" s="117">
        <f t="shared" ref="F39" si="45">(+E39*D39)/24*J39+400*V39</f>
        <v>0</v>
      </c>
      <c r="G39" s="117" t="e">
        <f t="shared" ref="G39" si="46">F39/J39</f>
        <v>#DIV/0!</v>
      </c>
      <c r="H39" s="206"/>
      <c r="I39" s="117"/>
      <c r="J39" s="116"/>
      <c r="K39" s="116"/>
      <c r="L39" s="116"/>
      <c r="M39" s="116"/>
      <c r="N39" s="116"/>
      <c r="O39" s="116"/>
      <c r="P39" s="202"/>
      <c r="Q39" s="210"/>
      <c r="R39" s="199">
        <f t="shared" ref="R39:R54" si="47">10000*J39</f>
        <v>0</v>
      </c>
      <c r="S39" s="202"/>
      <c r="T39" s="202"/>
      <c r="U39" s="202"/>
      <c r="V39" s="202"/>
      <c r="W39" s="202"/>
      <c r="X39" s="202"/>
      <c r="Y39" s="202"/>
      <c r="Z39" s="202"/>
    </row>
    <row r="40" spans="1:26" ht="15" hidden="1" customHeight="1">
      <c r="A40" s="9"/>
      <c r="B40" s="112"/>
      <c r="C40" s="113"/>
      <c r="D40" s="204"/>
      <c r="E40" s="115"/>
      <c r="F40" s="196"/>
      <c r="G40" s="193"/>
      <c r="H40" s="206"/>
      <c r="I40" s="202"/>
      <c r="J40" s="116"/>
      <c r="K40" s="116"/>
      <c r="L40" s="116"/>
      <c r="M40" s="116"/>
      <c r="N40" s="116"/>
      <c r="O40" s="116"/>
      <c r="P40" s="202"/>
      <c r="Q40" s="210"/>
      <c r="R40" s="199"/>
      <c r="S40" s="202"/>
      <c r="T40" s="202"/>
      <c r="U40" s="202"/>
      <c r="V40" s="202"/>
      <c r="W40" s="202"/>
      <c r="X40" s="202"/>
      <c r="Y40" s="202"/>
      <c r="Z40" s="202"/>
    </row>
    <row r="41" spans="1:26" ht="15" customHeight="1">
      <c r="A41" s="101"/>
      <c r="B41" s="112"/>
      <c r="C41" s="113"/>
      <c r="D41" s="205"/>
      <c r="E41" s="115"/>
      <c r="F41" s="117">
        <f t="shared" ref="F41" si="48">(+E41*D41)/24*J41+400*V41</f>
        <v>0</v>
      </c>
      <c r="G41" s="117" t="e">
        <f t="shared" ref="G41" si="49">F41/J41</f>
        <v>#DIV/0!</v>
      </c>
      <c r="H41" s="206"/>
      <c r="I41" s="117"/>
      <c r="J41" s="116"/>
      <c r="K41" s="116"/>
      <c r="L41" s="116"/>
      <c r="M41" s="116"/>
      <c r="N41" s="116"/>
      <c r="O41" s="116"/>
      <c r="P41" s="202"/>
      <c r="Q41" s="210"/>
      <c r="R41" s="199">
        <f t="shared" ref="R41:R54" si="50">10000*J41</f>
        <v>0</v>
      </c>
      <c r="S41" s="202"/>
      <c r="T41" s="202"/>
      <c r="U41" s="202"/>
      <c r="V41" s="202"/>
      <c r="W41" s="202"/>
      <c r="X41" s="202"/>
      <c r="Y41" s="202"/>
      <c r="Z41" s="202"/>
    </row>
    <row r="42" spans="1:26" ht="15" hidden="1" customHeight="1">
      <c r="A42" s="9"/>
      <c r="B42" s="112"/>
      <c r="C42" s="113"/>
      <c r="D42" s="204"/>
      <c r="E42" s="115"/>
      <c r="F42" s="196"/>
      <c r="G42" s="193"/>
      <c r="H42" s="206"/>
      <c r="I42" s="202"/>
      <c r="J42" s="116"/>
      <c r="K42" s="116"/>
      <c r="L42" s="116"/>
      <c r="M42" s="116"/>
      <c r="N42" s="116"/>
      <c r="O42" s="116"/>
      <c r="P42" s="202"/>
      <c r="Q42" s="210"/>
      <c r="R42" s="199"/>
      <c r="S42" s="202"/>
      <c r="T42" s="202"/>
      <c r="U42" s="202"/>
      <c r="V42" s="202"/>
      <c r="W42" s="202"/>
      <c r="X42" s="202"/>
      <c r="Y42" s="202"/>
      <c r="Z42" s="202"/>
    </row>
    <row r="43" spans="1:26" ht="15" customHeight="1">
      <c r="A43" s="101"/>
      <c r="B43" s="112"/>
      <c r="C43" s="113"/>
      <c r="D43" s="205"/>
      <c r="E43" s="115"/>
      <c r="F43" s="117">
        <f t="shared" ref="F43" si="51">(+E43*D43)/24*J43+400*V43</f>
        <v>0</v>
      </c>
      <c r="G43" s="117" t="e">
        <f t="shared" ref="G43" si="52">F43/J43</f>
        <v>#DIV/0!</v>
      </c>
      <c r="H43" s="206"/>
      <c r="I43" s="117"/>
      <c r="J43" s="202"/>
      <c r="K43" s="202"/>
      <c r="L43" s="202"/>
      <c r="M43" s="202"/>
      <c r="N43" s="202"/>
      <c r="O43" s="202"/>
      <c r="P43" s="202"/>
      <c r="Q43" s="210"/>
      <c r="R43" s="199">
        <f t="shared" ref="R43:R54" si="53">10000*J43</f>
        <v>0</v>
      </c>
      <c r="S43" s="202"/>
      <c r="T43" s="202"/>
      <c r="U43" s="202"/>
      <c r="V43" s="202"/>
      <c r="W43" s="202"/>
      <c r="X43" s="202"/>
      <c r="Y43" s="202"/>
      <c r="Z43" s="202"/>
    </row>
    <row r="44" spans="1:26" ht="15" hidden="1" customHeight="1">
      <c r="A44" s="9"/>
      <c r="B44" s="112"/>
      <c r="C44" s="113"/>
      <c r="D44" s="204"/>
      <c r="E44" s="115"/>
      <c r="F44" s="196"/>
      <c r="G44" s="193"/>
      <c r="H44" s="206"/>
      <c r="I44" s="202"/>
      <c r="J44" s="116"/>
      <c r="K44" s="116"/>
      <c r="L44" s="116"/>
      <c r="M44" s="116"/>
      <c r="N44" s="116"/>
      <c r="O44" s="116"/>
      <c r="P44" s="202"/>
      <c r="Q44" s="210"/>
      <c r="R44" s="199"/>
      <c r="S44" s="202"/>
      <c r="T44" s="202"/>
      <c r="U44" s="202"/>
      <c r="V44" s="202"/>
      <c r="W44" s="202"/>
      <c r="X44" s="202"/>
      <c r="Y44" s="202"/>
      <c r="Z44" s="202"/>
    </row>
    <row r="45" spans="1:26" ht="15" customHeight="1">
      <c r="A45" s="101"/>
      <c r="B45" s="112"/>
      <c r="C45" s="113"/>
      <c r="D45" s="205"/>
      <c r="E45" s="115"/>
      <c r="F45" s="117">
        <f t="shared" ref="F45" si="54">(+E45*D45)/24*J45+400*V45</f>
        <v>0</v>
      </c>
      <c r="G45" s="117" t="e">
        <f t="shared" ref="G45" si="55">F45/J45</f>
        <v>#DIV/0!</v>
      </c>
      <c r="H45" s="206"/>
      <c r="I45" s="117"/>
      <c r="J45" s="202"/>
      <c r="K45" s="202"/>
      <c r="L45" s="202"/>
      <c r="M45" s="202"/>
      <c r="N45" s="202"/>
      <c r="O45" s="202"/>
      <c r="P45" s="202"/>
      <c r="Q45" s="210"/>
      <c r="R45" s="199">
        <f t="shared" ref="R45:R54" si="56">10000*J45</f>
        <v>0</v>
      </c>
      <c r="S45" s="202"/>
      <c r="T45" s="202"/>
      <c r="U45" s="202"/>
      <c r="V45" s="202"/>
      <c r="W45" s="202"/>
      <c r="X45" s="202"/>
      <c r="Y45" s="202"/>
      <c r="Z45" s="202"/>
    </row>
    <row r="46" spans="1:26" ht="15" customHeight="1">
      <c r="A46" s="9"/>
      <c r="B46" s="112"/>
      <c r="C46" s="113"/>
      <c r="D46" s="205"/>
      <c r="E46" s="115"/>
      <c r="F46" s="196"/>
      <c r="G46" s="193"/>
      <c r="H46" s="206"/>
      <c r="I46" s="202"/>
      <c r="J46" s="116"/>
      <c r="K46" s="116"/>
      <c r="L46" s="116"/>
      <c r="M46" s="116"/>
      <c r="N46" s="116"/>
      <c r="O46" s="116"/>
      <c r="P46" s="202"/>
      <c r="Q46" s="210"/>
      <c r="R46" s="199"/>
      <c r="S46" s="202"/>
      <c r="T46" s="202"/>
      <c r="U46" s="202"/>
      <c r="V46" s="202"/>
      <c r="W46" s="202"/>
      <c r="X46" s="202"/>
      <c r="Y46" s="202"/>
      <c r="Z46" s="202"/>
    </row>
    <row r="47" spans="1:26" ht="15" customHeight="1">
      <c r="A47" s="101"/>
      <c r="B47" s="112"/>
      <c r="C47" s="113"/>
      <c r="D47" s="205"/>
      <c r="E47" s="115"/>
      <c r="F47" s="117">
        <f t="shared" ref="F47" si="57">(+E47*D47)/24*J47+400*V47</f>
        <v>0</v>
      </c>
      <c r="G47" s="117" t="e">
        <f t="shared" ref="G47" si="58">F47/J47</f>
        <v>#DIV/0!</v>
      </c>
      <c r="H47" s="206"/>
      <c r="I47" s="202"/>
      <c r="J47" s="202"/>
      <c r="K47" s="202"/>
      <c r="L47" s="202"/>
      <c r="M47" s="202"/>
      <c r="N47" s="202"/>
      <c r="O47" s="202"/>
      <c r="P47" s="202"/>
      <c r="Q47" s="213"/>
      <c r="R47" s="199">
        <f t="shared" ref="R47:R54" si="59">10000*J47</f>
        <v>0</v>
      </c>
      <c r="S47" s="202"/>
      <c r="T47" s="202"/>
      <c r="U47" s="202"/>
      <c r="V47" s="202"/>
      <c r="W47" s="202"/>
      <c r="X47" s="202"/>
      <c r="Y47" s="202"/>
      <c r="Z47" s="202"/>
    </row>
    <row r="48" spans="1:26" ht="15" customHeight="1">
      <c r="A48" s="9"/>
      <c r="B48" s="203"/>
      <c r="C48" s="113"/>
      <c r="D48" s="204"/>
      <c r="E48" s="115"/>
      <c r="F48" s="196"/>
      <c r="G48" s="193"/>
      <c r="H48" s="206"/>
      <c r="I48" s="202"/>
      <c r="J48" s="116"/>
      <c r="K48" s="116"/>
      <c r="L48" s="116"/>
      <c r="M48" s="116"/>
      <c r="N48" s="116"/>
      <c r="O48" s="116"/>
      <c r="P48" s="202"/>
      <c r="Q48" s="210"/>
      <c r="R48" s="199"/>
      <c r="S48" s="202"/>
      <c r="T48" s="202"/>
      <c r="U48" s="202"/>
      <c r="V48" s="202"/>
      <c r="W48" s="202"/>
      <c r="X48" s="202"/>
      <c r="Y48" s="202"/>
      <c r="Z48" s="202"/>
    </row>
    <row r="49" spans="1:26" ht="15" customHeight="1">
      <c r="A49" s="101"/>
      <c r="B49" s="203"/>
      <c r="C49" s="113"/>
      <c r="D49" s="205"/>
      <c r="E49" s="115"/>
      <c r="F49" s="117">
        <f t="shared" ref="F49" si="60">(+E49*D49)/24*J49+400*V49</f>
        <v>0</v>
      </c>
      <c r="G49" s="117" t="e">
        <f t="shared" ref="G49" si="61">F49/J49</f>
        <v>#DIV/0!</v>
      </c>
      <c r="H49" s="206"/>
      <c r="I49" s="202"/>
      <c r="J49" s="202"/>
      <c r="K49" s="202"/>
      <c r="L49" s="202"/>
      <c r="M49" s="202"/>
      <c r="N49" s="202"/>
      <c r="O49" s="202"/>
      <c r="P49" s="202"/>
      <c r="Q49" s="210"/>
      <c r="R49" s="199">
        <f t="shared" ref="R49:R54" si="62">10000*J49</f>
        <v>0</v>
      </c>
      <c r="S49" s="202"/>
      <c r="T49" s="202"/>
      <c r="U49" s="202"/>
      <c r="V49" s="202"/>
      <c r="W49" s="202"/>
      <c r="X49" s="202"/>
      <c r="Y49" s="202"/>
      <c r="Z49" s="202"/>
    </row>
    <row r="50" spans="1:26" ht="15" customHeight="1">
      <c r="A50" s="9"/>
      <c r="B50" s="214"/>
      <c r="C50" s="101"/>
      <c r="D50" s="205"/>
      <c r="E50" s="115"/>
      <c r="F50" s="196"/>
      <c r="G50" s="193"/>
      <c r="H50" s="206"/>
      <c r="I50" s="202"/>
      <c r="J50" s="116"/>
      <c r="K50" s="116"/>
      <c r="L50" s="116"/>
      <c r="M50" s="116"/>
      <c r="N50" s="116"/>
      <c r="O50" s="116"/>
      <c r="P50" s="202"/>
      <c r="Q50" s="210"/>
      <c r="R50" s="199"/>
      <c r="S50" s="202"/>
      <c r="T50" s="202"/>
      <c r="U50" s="202"/>
      <c r="V50" s="202"/>
      <c r="W50" s="202"/>
      <c r="X50" s="202"/>
      <c r="Y50" s="202"/>
      <c r="Z50" s="202"/>
    </row>
    <row r="51" spans="1:26" ht="15" customHeight="1">
      <c r="A51" s="101"/>
      <c r="B51" s="203"/>
      <c r="C51" s="113"/>
      <c r="D51" s="205"/>
      <c r="E51" s="115"/>
      <c r="F51" s="117">
        <f t="shared" ref="F51" si="63">(+E51*D51)/24*J51+400*V51</f>
        <v>0</v>
      </c>
      <c r="G51" s="117" t="e">
        <f t="shared" ref="G51" si="64">F51/J51</f>
        <v>#DIV/0!</v>
      </c>
      <c r="H51" s="206"/>
      <c r="I51" s="202"/>
      <c r="J51" s="202"/>
      <c r="K51" s="202"/>
      <c r="L51" s="202"/>
      <c r="M51" s="202"/>
      <c r="N51" s="202"/>
      <c r="O51" s="202"/>
      <c r="P51" s="202"/>
      <c r="Q51" s="210"/>
      <c r="R51" s="199">
        <f t="shared" ref="R51:R54" si="65">10000*J51</f>
        <v>0</v>
      </c>
      <c r="S51" s="202"/>
      <c r="T51" s="202"/>
      <c r="U51" s="202"/>
      <c r="V51" s="202"/>
      <c r="W51" s="202"/>
      <c r="X51" s="202"/>
      <c r="Y51" s="202"/>
      <c r="Z51" s="202"/>
    </row>
    <row r="52" spans="1:26" ht="15" customHeight="1">
      <c r="A52" s="101"/>
      <c r="B52" s="203"/>
      <c r="C52" s="113"/>
      <c r="D52" s="205"/>
      <c r="E52" s="115"/>
      <c r="F52" s="196"/>
      <c r="G52" s="193"/>
      <c r="H52" s="206"/>
      <c r="I52" s="202"/>
      <c r="J52" s="116"/>
      <c r="K52" s="116"/>
      <c r="L52" s="116"/>
      <c r="M52" s="116"/>
      <c r="N52" s="116"/>
      <c r="O52" s="116"/>
      <c r="P52" s="202"/>
      <c r="Q52" s="210"/>
      <c r="R52" s="199"/>
      <c r="S52" s="202"/>
      <c r="T52" s="202"/>
      <c r="U52" s="202"/>
      <c r="V52" s="202"/>
      <c r="W52" s="202"/>
      <c r="X52" s="202"/>
      <c r="Y52" s="202"/>
      <c r="Z52" s="202"/>
    </row>
    <row r="53" spans="1:26" ht="15" customHeight="1">
      <c r="A53" s="101"/>
      <c r="B53" s="112"/>
      <c r="C53" s="113"/>
      <c r="D53" s="205"/>
      <c r="E53" s="115"/>
      <c r="F53" s="117">
        <f t="shared" ref="F53" si="66">(+E53*D53)/24*J53+400*V53</f>
        <v>0</v>
      </c>
      <c r="G53" s="117" t="e">
        <f t="shared" ref="G53" si="67">F53/J53</f>
        <v>#DIV/0!</v>
      </c>
      <c r="H53" s="206"/>
      <c r="I53" s="202"/>
      <c r="J53" s="202"/>
      <c r="K53" s="202"/>
      <c r="L53" s="202"/>
      <c r="M53" s="202"/>
      <c r="N53" s="202"/>
      <c r="O53" s="202"/>
      <c r="P53" s="202"/>
      <c r="Q53" s="210"/>
      <c r="R53" s="199">
        <f t="shared" ref="R53:R54" si="68">10000*J53</f>
        <v>0</v>
      </c>
      <c r="S53" s="202"/>
      <c r="T53" s="202"/>
      <c r="U53" s="202"/>
      <c r="V53" s="202"/>
      <c r="W53" s="202"/>
      <c r="X53" s="202"/>
      <c r="Y53" s="202"/>
      <c r="Z53" s="202"/>
    </row>
    <row r="54" spans="1:26" ht="21.75" customHeight="1">
      <c r="A54" s="101"/>
      <c r="B54" s="112"/>
      <c r="C54" s="113"/>
      <c r="D54" s="114"/>
      <c r="E54" s="115"/>
      <c r="F54" s="10"/>
      <c r="G54" s="9"/>
      <c r="H54" s="206"/>
      <c r="I54" s="202"/>
      <c r="J54" s="116"/>
      <c r="K54" s="116"/>
      <c r="L54" s="116"/>
      <c r="M54" s="116"/>
      <c r="N54" s="116"/>
      <c r="O54" s="116"/>
      <c r="P54" s="202"/>
      <c r="Q54" s="210"/>
      <c r="R54" s="199"/>
      <c r="S54" s="202"/>
      <c r="T54" s="202"/>
      <c r="U54" s="202"/>
      <c r="V54" s="202"/>
      <c r="W54" s="202"/>
      <c r="X54" s="202"/>
      <c r="Y54" s="202"/>
      <c r="Z54" s="202"/>
    </row>
    <row r="55" spans="1:26" ht="21.75" customHeight="1">
      <c r="A55" s="197"/>
      <c r="B55" s="118"/>
      <c r="C55" s="119"/>
      <c r="D55" s="120"/>
      <c r="E55" s="121"/>
      <c r="F55" s="121"/>
      <c r="G55" s="121"/>
      <c r="H55" s="105"/>
    </row>
    <row r="56" spans="1:26" ht="21.75" customHeight="1">
      <c r="A56" s="101"/>
      <c r="B56" s="118"/>
      <c r="C56" s="119"/>
      <c r="D56" s="122"/>
      <c r="E56" s="121"/>
      <c r="F56" s="107"/>
      <c r="G56" s="107"/>
      <c r="H56" s="105"/>
      <c r="J56" s="106"/>
      <c r="K56" s="106"/>
      <c r="L56" s="106"/>
      <c r="M56" s="106"/>
      <c r="N56" s="106"/>
      <c r="O56" s="106"/>
    </row>
    <row r="57" spans="1:26" ht="21.75" customHeight="1">
      <c r="A57" s="9"/>
      <c r="B57" s="118"/>
      <c r="C57" s="119"/>
      <c r="D57" s="122"/>
      <c r="E57" s="121"/>
      <c r="F57" s="107"/>
      <c r="G57" s="107"/>
      <c r="H57" s="105"/>
    </row>
    <row r="58" spans="1:26" ht="21.75" customHeight="1">
      <c r="A58" s="101"/>
      <c r="B58" s="118"/>
      <c r="C58" s="119"/>
      <c r="D58" s="122"/>
      <c r="E58" s="121"/>
      <c r="F58" s="107"/>
      <c r="G58" s="107"/>
      <c r="H58" s="105"/>
      <c r="J58" s="106"/>
      <c r="K58" s="106"/>
      <c r="L58" s="106"/>
      <c r="M58" s="106"/>
      <c r="N58" s="106"/>
      <c r="O58" s="106"/>
    </row>
    <row r="59" spans="1:26" ht="21.75" customHeight="1">
      <c r="A59" s="9"/>
      <c r="B59" s="118"/>
      <c r="C59" s="119"/>
      <c r="D59" s="122"/>
      <c r="E59" s="121"/>
      <c r="F59" s="107"/>
      <c r="G59" s="107"/>
      <c r="H59" s="105"/>
    </row>
    <row r="60" spans="1:26" ht="21.75" customHeight="1">
      <c r="A60" s="101"/>
      <c r="B60" s="118"/>
      <c r="C60" s="119"/>
      <c r="D60" s="122"/>
      <c r="E60" s="122"/>
      <c r="F60" s="107"/>
      <c r="G60" s="107"/>
      <c r="H60" s="105"/>
      <c r="J60" s="106"/>
      <c r="K60" s="106"/>
      <c r="L60" s="106"/>
      <c r="M60" s="106"/>
      <c r="N60" s="106"/>
      <c r="O60" s="106"/>
    </row>
    <row r="61" spans="1:26" ht="21.75" customHeight="1">
      <c r="A61" s="9"/>
      <c r="B61" s="118"/>
      <c r="C61" s="119"/>
      <c r="D61" s="122"/>
      <c r="E61" s="121"/>
      <c r="F61" s="107"/>
      <c r="G61" s="107"/>
      <c r="H61" s="105"/>
    </row>
    <row r="62" spans="1:26" ht="21.75" customHeight="1">
      <c r="A62" s="101"/>
      <c r="B62" s="118"/>
      <c r="C62" s="119"/>
      <c r="D62" s="122"/>
      <c r="E62" s="121"/>
      <c r="F62" s="107"/>
      <c r="G62" s="107"/>
      <c r="H62" s="105"/>
      <c r="J62" s="106"/>
      <c r="K62" s="106"/>
      <c r="L62" s="106"/>
      <c r="M62" s="106"/>
      <c r="N62" s="106"/>
      <c r="O62" s="106"/>
    </row>
    <row r="63" spans="1:26" ht="21.75" customHeight="1">
      <c r="A63" s="9"/>
      <c r="B63" s="118"/>
      <c r="C63" s="119"/>
      <c r="D63" s="122"/>
      <c r="E63" s="121"/>
      <c r="F63" s="107"/>
      <c r="G63" s="107"/>
      <c r="H63" s="105"/>
    </row>
    <row r="64" spans="1:26" ht="21.75" customHeight="1">
      <c r="A64" s="101"/>
      <c r="B64" s="118"/>
      <c r="C64" s="119"/>
      <c r="D64" s="122"/>
      <c r="E64" s="121"/>
      <c r="F64" s="107"/>
      <c r="G64" s="107"/>
      <c r="H64" s="105"/>
      <c r="J64" s="106"/>
      <c r="K64" s="106"/>
      <c r="L64" s="106"/>
      <c r="M64" s="106"/>
      <c r="N64" s="106"/>
      <c r="O64" s="106"/>
    </row>
    <row r="65" spans="1:15" ht="21.75" customHeight="1">
      <c r="A65" s="9"/>
      <c r="B65" s="118"/>
      <c r="C65" s="119"/>
      <c r="D65" s="122"/>
      <c r="E65" s="121"/>
      <c r="F65" s="107"/>
      <c r="G65" s="107"/>
      <c r="H65" s="105"/>
    </row>
    <row r="66" spans="1:15" ht="21.75" customHeight="1">
      <c r="A66" s="101"/>
      <c r="B66" s="118"/>
      <c r="C66" s="119"/>
      <c r="D66" s="122"/>
      <c r="E66" s="121"/>
      <c r="F66" s="107"/>
      <c r="G66" s="107"/>
      <c r="H66" s="105"/>
      <c r="J66" s="106"/>
      <c r="K66" s="106"/>
      <c r="L66" s="106"/>
      <c r="M66" s="106"/>
      <c r="N66" s="106"/>
      <c r="O66" s="106"/>
    </row>
    <row r="67" spans="1:15" ht="21.75" customHeight="1">
      <c r="A67" s="9"/>
      <c r="B67" s="118"/>
      <c r="C67" s="119"/>
      <c r="D67" s="122"/>
      <c r="E67" s="121"/>
      <c r="F67" s="107"/>
      <c r="G67" s="107"/>
      <c r="H67" s="105"/>
    </row>
    <row r="68" spans="1:15" ht="21.75" customHeight="1">
      <c r="A68" s="101"/>
      <c r="B68" s="118"/>
      <c r="C68" s="119"/>
      <c r="D68" s="122"/>
      <c r="E68" s="121"/>
      <c r="F68" s="107"/>
      <c r="G68" s="107"/>
      <c r="H68" s="105"/>
      <c r="J68" s="106"/>
      <c r="K68" s="106"/>
      <c r="L68" s="106"/>
      <c r="M68" s="106"/>
      <c r="N68" s="106"/>
      <c r="O68" s="106"/>
    </row>
    <row r="69" spans="1:15" ht="21.75" customHeight="1">
      <c r="A69" s="9"/>
      <c r="B69" s="118"/>
      <c r="C69" s="119"/>
      <c r="D69" s="122"/>
      <c r="E69" s="121"/>
      <c r="F69" s="107"/>
      <c r="G69" s="107"/>
      <c r="H69" s="105"/>
    </row>
    <row r="70" spans="1:15" ht="21.75" customHeight="1">
      <c r="A70" s="101"/>
      <c r="B70" s="118"/>
      <c r="C70" s="119"/>
      <c r="D70" s="122"/>
      <c r="E70" s="123"/>
      <c r="F70" s="107"/>
      <c r="G70" s="107"/>
      <c r="H70" s="105"/>
      <c r="J70" s="106"/>
      <c r="K70" s="106"/>
      <c r="L70" s="106"/>
      <c r="M70" s="106"/>
      <c r="N70" s="106"/>
      <c r="O70" s="106"/>
    </row>
    <row r="71" spans="1:15" ht="21.75" customHeight="1">
      <c r="A71" s="9"/>
      <c r="B71" s="118"/>
      <c r="C71" s="119"/>
      <c r="D71" s="124"/>
      <c r="E71" s="125"/>
      <c r="F71" s="107"/>
      <c r="G71" s="107"/>
    </row>
    <row r="72" spans="1:15" ht="21.75" customHeight="1">
      <c r="A72" s="101"/>
      <c r="B72" s="118"/>
      <c r="C72" s="119"/>
      <c r="D72" s="124"/>
      <c r="E72" s="125"/>
      <c r="F72" s="107"/>
      <c r="G72" s="107"/>
      <c r="H72" s="105"/>
      <c r="J72" s="106"/>
      <c r="K72" s="106"/>
      <c r="L72" s="106"/>
      <c r="M72" s="106"/>
      <c r="N72" s="106"/>
      <c r="O72" s="106"/>
    </row>
    <row r="73" spans="1:15" ht="21.75" customHeight="1">
      <c r="A73" s="9"/>
      <c r="B73" s="118"/>
      <c r="C73" s="119"/>
      <c r="D73" s="124"/>
      <c r="E73" s="125"/>
      <c r="F73" s="107"/>
      <c r="G73" s="107"/>
    </row>
    <row r="74" spans="1:15" ht="21.75" customHeight="1">
      <c r="A74" s="101"/>
      <c r="B74" s="118"/>
      <c r="C74" s="119"/>
      <c r="D74" s="124"/>
      <c r="E74" s="125"/>
      <c r="F74" s="107"/>
      <c r="G74" s="107"/>
      <c r="H74" s="105"/>
      <c r="J74" s="106"/>
      <c r="K74" s="106"/>
      <c r="L74" s="106"/>
      <c r="M74" s="106"/>
      <c r="N74" s="106"/>
      <c r="O74" s="106"/>
    </row>
    <row r="75" spans="1:15" ht="21.75" customHeight="1">
      <c r="A75" s="9"/>
      <c r="B75" s="118"/>
      <c r="C75" s="119"/>
      <c r="D75" s="124"/>
      <c r="E75" s="125"/>
      <c r="F75" s="107"/>
      <c r="G75" s="107"/>
    </row>
    <row r="76" spans="1:15" ht="21.75" customHeight="1">
      <c r="A76" s="126"/>
      <c r="B76" s="118"/>
      <c r="C76" s="119"/>
      <c r="D76" s="124"/>
      <c r="E76" s="125"/>
      <c r="F76" s="2"/>
      <c r="G76" s="2"/>
      <c r="H76" s="105"/>
      <c r="J76" s="106"/>
      <c r="K76" s="106"/>
      <c r="L76" s="106"/>
      <c r="M76" s="106"/>
      <c r="N76" s="106"/>
      <c r="O76" s="106"/>
    </row>
    <row r="77" spans="1:15" ht="21.75" customHeight="1">
      <c r="A77" s="126"/>
      <c r="B77" s="118"/>
      <c r="C77" s="119"/>
      <c r="D77" s="124"/>
      <c r="E77" s="125"/>
      <c r="F77" s="2"/>
      <c r="G77" s="2"/>
    </row>
    <row r="78" spans="1:15" ht="21.75" customHeight="1">
      <c r="A78" s="126"/>
      <c r="B78" s="118"/>
      <c r="C78" s="119"/>
      <c r="D78" s="124"/>
      <c r="E78" s="125"/>
      <c r="F78" s="2"/>
      <c r="G78" s="2"/>
      <c r="H78" s="105"/>
      <c r="J78" s="106"/>
      <c r="K78" s="106"/>
      <c r="L78" s="106"/>
      <c r="M78" s="106"/>
      <c r="N78" s="106"/>
      <c r="O78" s="106"/>
    </row>
    <row r="79" spans="1:15" ht="21.75" customHeight="1">
      <c r="A79" s="126"/>
      <c r="B79" s="118"/>
      <c r="C79" s="119"/>
      <c r="D79" s="124"/>
      <c r="E79" s="125"/>
      <c r="F79" s="2"/>
      <c r="G79" s="2"/>
    </row>
    <row r="80" spans="1:15" ht="21.75" customHeight="1">
      <c r="A80" s="126"/>
      <c r="B80" s="118"/>
      <c r="C80" s="119"/>
      <c r="D80" s="124"/>
      <c r="E80" s="125"/>
      <c r="F80" s="2"/>
      <c r="G80" s="2"/>
      <c r="H80" s="105"/>
      <c r="J80" s="106"/>
      <c r="K80" s="106"/>
      <c r="L80" s="106"/>
      <c r="M80" s="106"/>
      <c r="N80" s="106"/>
      <c r="O80" s="106"/>
    </row>
    <row r="81" spans="1:17" ht="21.75" customHeight="1">
      <c r="A81" s="126"/>
      <c r="B81" s="118"/>
      <c r="C81" s="119"/>
      <c r="D81" s="124"/>
      <c r="E81" s="125"/>
      <c r="F81" s="2"/>
      <c r="G81" s="2"/>
    </row>
    <row r="82" spans="1:17" ht="21.75" customHeight="1">
      <c r="A82" s="126"/>
      <c r="B82" s="118"/>
      <c r="C82" s="119"/>
      <c r="D82" s="124"/>
      <c r="E82" s="125"/>
      <c r="F82" s="2"/>
      <c r="G82" s="2"/>
      <c r="H82" s="105"/>
      <c r="J82" s="106"/>
      <c r="K82" s="106"/>
      <c r="L82" s="106"/>
      <c r="M82" s="106"/>
      <c r="N82" s="106"/>
      <c r="O82" s="106"/>
    </row>
    <row r="83" spans="1:17" ht="21.75" customHeight="1">
      <c r="A83" s="126"/>
      <c r="B83" s="118"/>
      <c r="C83" s="119"/>
      <c r="D83" s="124"/>
      <c r="E83" s="125"/>
      <c r="F83" s="2"/>
      <c r="G83" s="2"/>
      <c r="P83" s="1">
        <f>IFERROR(VLOOKUP(C83,[1]t1!A$4:C$523,2,0),0)</f>
        <v>0</v>
      </c>
    </row>
    <row r="84" spans="1:17" s="133" customFormat="1" ht="21.75" customHeight="1">
      <c r="A84" s="127"/>
      <c r="B84" s="128"/>
      <c r="C84" s="129"/>
      <c r="D84" s="130"/>
      <c r="E84" s="131"/>
      <c r="F84" s="132"/>
      <c r="G84" s="132"/>
      <c r="H84" s="105"/>
      <c r="I84" s="1"/>
      <c r="J84" s="106"/>
      <c r="K84" s="106"/>
      <c r="L84" s="106"/>
      <c r="M84" s="106"/>
      <c r="N84" s="106"/>
      <c r="O84" s="106"/>
      <c r="P84" s="1"/>
      <c r="Q84" s="5"/>
    </row>
    <row r="85" spans="1:17" s="137" customFormat="1" ht="21" customHeight="1">
      <c r="A85" s="111"/>
      <c r="B85" s="110"/>
      <c r="C85" s="104"/>
      <c r="D85" s="134"/>
      <c r="E85" s="135"/>
      <c r="F85" s="136"/>
      <c r="G85" s="136"/>
      <c r="H85" s="1"/>
      <c r="I85" s="1"/>
      <c r="J85" s="1"/>
      <c r="K85" s="1"/>
      <c r="L85" s="1"/>
      <c r="M85" s="1"/>
      <c r="N85" s="1"/>
      <c r="O85" s="1"/>
      <c r="P85" s="1">
        <f>IFERROR(VLOOKUP(C85,[1]t1!A$4:C$523,2,0),0)</f>
        <v>0</v>
      </c>
      <c r="Q85" s="5"/>
    </row>
    <row r="86" spans="1:17" s="137" customFormat="1" ht="21.75" customHeight="1">
      <c r="A86" s="111"/>
      <c r="B86" s="110"/>
      <c r="C86" s="104"/>
      <c r="D86" s="134"/>
      <c r="E86" s="135"/>
      <c r="F86" s="136"/>
      <c r="G86" s="136"/>
      <c r="H86" s="105"/>
      <c r="I86" s="1"/>
      <c r="J86" s="106"/>
      <c r="K86" s="106"/>
      <c r="L86" s="106"/>
      <c r="M86" s="106"/>
      <c r="N86" s="106"/>
      <c r="O86" s="106"/>
      <c r="P86" s="1"/>
      <c r="Q86" s="5"/>
    </row>
    <row r="87" spans="1:17" s="137" customFormat="1" ht="21.75" customHeight="1">
      <c r="A87" s="111"/>
      <c r="B87" s="110"/>
      <c r="C87" s="104"/>
      <c r="D87" s="134"/>
      <c r="E87" s="135"/>
      <c r="F87" s="136"/>
      <c r="G87" s="136"/>
      <c r="H87" s="1"/>
      <c r="I87" s="1"/>
      <c r="J87" s="1"/>
      <c r="K87" s="1"/>
      <c r="L87" s="1"/>
      <c r="M87" s="1"/>
      <c r="N87" s="1"/>
      <c r="O87" s="1"/>
      <c r="P87" s="1">
        <f>IFERROR(VLOOKUP(C87,[1]t1!A$4:C$523,2,0),0)</f>
        <v>0</v>
      </c>
      <c r="Q87" s="5"/>
    </row>
    <row r="88" spans="1:17" s="137" customFormat="1" ht="21.75" customHeight="1">
      <c r="A88" s="138"/>
      <c r="B88" s="139"/>
      <c r="C88" s="140"/>
      <c r="D88" s="141"/>
      <c r="E88" s="142"/>
      <c r="F88" s="136"/>
      <c r="G88" s="136"/>
      <c r="H88" s="105"/>
      <c r="I88" s="1"/>
      <c r="J88" s="106"/>
      <c r="K88" s="106"/>
      <c r="L88" s="106"/>
      <c r="M88" s="106"/>
      <c r="N88" s="106"/>
      <c r="O88" s="106"/>
      <c r="P88" s="1"/>
      <c r="Q88" s="5"/>
    </row>
    <row r="89" spans="1:17" s="137" customFormat="1" ht="21.75" customHeight="1">
      <c r="A89" s="143">
        <v>10</v>
      </c>
      <c r="B89" s="144"/>
      <c r="C89" s="145"/>
      <c r="D89" s="146"/>
      <c r="E89" s="147"/>
      <c r="F89" s="136">
        <f>E89*40%+D89*E89</f>
        <v>0</v>
      </c>
      <c r="G89" s="136">
        <f>F89/24.5</f>
        <v>0</v>
      </c>
      <c r="H89" s="1"/>
      <c r="I89" s="1"/>
      <c r="J89" s="1"/>
      <c r="K89" s="1"/>
      <c r="L89" s="1"/>
      <c r="M89" s="1"/>
      <c r="N89" s="1"/>
      <c r="O89" s="1"/>
      <c r="P89" s="1">
        <f>IFERROR(VLOOKUP(C89,[1]t1!A$4:C$523,2,0),0)</f>
        <v>0</v>
      </c>
      <c r="Q89" s="5"/>
    </row>
    <row r="90" spans="1:17" ht="19.5" customHeight="1">
      <c r="A90" s="148"/>
      <c r="B90" s="149"/>
      <c r="C90" s="150"/>
      <c r="D90" s="151"/>
      <c r="E90" s="148"/>
      <c r="F90" s="150"/>
      <c r="G90" s="149"/>
      <c r="H90" s="105"/>
      <c r="J90" s="106"/>
      <c r="K90" s="106"/>
      <c r="L90" s="106"/>
      <c r="M90" s="106"/>
      <c r="N90" s="106"/>
      <c r="O90" s="106"/>
    </row>
    <row r="91" spans="1:17" ht="24.75" customHeight="1">
      <c r="A91" s="103">
        <v>11</v>
      </c>
      <c r="B91" s="110"/>
      <c r="C91" s="104"/>
      <c r="D91" s="134"/>
      <c r="E91" s="135"/>
      <c r="F91" s="152"/>
      <c r="G91" s="152"/>
      <c r="P91" s="1">
        <f>IFERROR(VLOOKUP(C91,[1]t1!A$4:C$523,2,0),0)</f>
        <v>0</v>
      </c>
    </row>
    <row r="92" spans="1:17" ht="23.25" customHeight="1">
      <c r="A92" s="111">
        <v>12</v>
      </c>
      <c r="B92" s="110"/>
      <c r="C92" s="104"/>
      <c r="D92" s="134"/>
      <c r="E92" s="135"/>
      <c r="F92" s="152"/>
      <c r="G92" s="152"/>
      <c r="H92" s="105"/>
      <c r="J92" s="106"/>
      <c r="K92" s="106"/>
      <c r="L92" s="106"/>
      <c r="M92" s="106"/>
      <c r="N92" s="106"/>
      <c r="O92" s="106"/>
    </row>
    <row r="93" spans="1:17">
      <c r="P93" s="1">
        <f>IFERROR(VLOOKUP(C93,[1]t1!A$4:C$523,2,0),0)</f>
        <v>0</v>
      </c>
    </row>
    <row r="94" spans="1:17">
      <c r="H94" s="105"/>
      <c r="J94" s="106"/>
      <c r="K94" s="106"/>
      <c r="L94" s="106"/>
      <c r="M94" s="106"/>
      <c r="N94" s="106"/>
      <c r="O94" s="106"/>
    </row>
    <row r="95" spans="1:17">
      <c r="P95" s="1">
        <f>IFERROR(VLOOKUP(C95,[1]t1!A$4:C$523,2,0),0)</f>
        <v>0</v>
      </c>
    </row>
    <row r="96" spans="1:17">
      <c r="H96" s="105"/>
      <c r="J96" s="106"/>
      <c r="K96" s="106"/>
      <c r="L96" s="106"/>
      <c r="M96" s="106"/>
      <c r="N96" s="106"/>
      <c r="O96" s="106"/>
    </row>
    <row r="97" spans="8:16">
      <c r="P97" s="1">
        <f>IFERROR(VLOOKUP(C97,[1]t1!A$4:C$523,2,0),0)</f>
        <v>0</v>
      </c>
    </row>
    <row r="98" spans="8:16">
      <c r="H98" s="105"/>
      <c r="J98" s="106"/>
      <c r="K98" s="106"/>
      <c r="L98" s="106"/>
      <c r="M98" s="106"/>
      <c r="N98" s="106"/>
      <c r="O98" s="106"/>
    </row>
    <row r="99" spans="8:16">
      <c r="P99" s="1">
        <f>IFERROR(VLOOKUP(C99,[1]t1!A$4:C$523,2,0),0)</f>
        <v>0</v>
      </c>
    </row>
    <row r="100" spans="8:16">
      <c r="H100" s="105"/>
      <c r="J100" s="106"/>
      <c r="K100" s="106"/>
      <c r="L100" s="106"/>
      <c r="M100" s="106"/>
      <c r="N100" s="106"/>
      <c r="O100" s="106"/>
    </row>
    <row r="101" spans="8:16">
      <c r="P101" s="1">
        <f>IFERROR(VLOOKUP(C101,[1]t1!A$4:C$523,2,0),0)</f>
        <v>0</v>
      </c>
    </row>
    <row r="102" spans="8:16">
      <c r="H102" s="105"/>
      <c r="J102" s="106"/>
      <c r="K102" s="106"/>
      <c r="L102" s="106"/>
      <c r="M102" s="106"/>
      <c r="N102" s="106"/>
      <c r="O102" s="106"/>
    </row>
    <row r="103" spans="8:16">
      <c r="P103" s="1">
        <f>IFERROR(VLOOKUP(C103,[1]t1!A$4:C$523,2,0),0)</f>
        <v>0</v>
      </c>
    </row>
    <row r="104" spans="8:16">
      <c r="H104" s="105"/>
      <c r="J104" s="106"/>
      <c r="K104" s="106"/>
      <c r="L104" s="106"/>
      <c r="M104" s="106"/>
      <c r="N104" s="106"/>
      <c r="O104" s="106"/>
    </row>
    <row r="105" spans="8:16">
      <c r="P105" s="1">
        <f>IFERROR(VLOOKUP(C105,[1]t1!A$4:C$523,2,0),0)</f>
        <v>0</v>
      </c>
    </row>
    <row r="106" spans="8:16">
      <c r="H106" s="105"/>
      <c r="J106" s="106"/>
      <c r="K106" s="106"/>
      <c r="L106" s="106"/>
      <c r="M106" s="106"/>
      <c r="N106" s="106"/>
      <c r="O106" s="106"/>
    </row>
    <row r="107" spans="8:16">
      <c r="P107" s="1">
        <f>IFERROR(VLOOKUP(C107,[1]t1!A$4:C$523,2,0),0)</f>
        <v>0</v>
      </c>
    </row>
    <row r="108" spans="8:16">
      <c r="H108" s="105"/>
      <c r="J108" s="106"/>
      <c r="K108" s="106"/>
      <c r="L108" s="106"/>
      <c r="M108" s="106"/>
      <c r="N108" s="106"/>
      <c r="O108" s="106"/>
    </row>
    <row r="109" spans="8:16">
      <c r="P109" s="1">
        <f>IFERROR(VLOOKUP(C109,[1]t1!A$4:C$523,2,0),0)</f>
        <v>0</v>
      </c>
    </row>
    <row r="110" spans="8:16">
      <c r="H110" s="105"/>
      <c r="J110" s="106"/>
      <c r="K110" s="106"/>
      <c r="L110" s="106"/>
      <c r="M110" s="106"/>
      <c r="N110" s="106"/>
      <c r="O110" s="106"/>
    </row>
    <row r="111" spans="8:16">
      <c r="P111" s="1">
        <f>IFERROR(VLOOKUP(C111,[1]t1!A$4:C$523,2,0),0)</f>
        <v>0</v>
      </c>
    </row>
    <row r="112" spans="8:16">
      <c r="H112" s="105"/>
      <c r="J112" s="106"/>
      <c r="K112" s="106"/>
      <c r="L112" s="106"/>
      <c r="M112" s="106"/>
      <c r="N112" s="106"/>
      <c r="O112" s="106"/>
    </row>
    <row r="113" spans="1:17">
      <c r="P113" s="1">
        <f>IFERROR(VLOOKUP(C113,[1]t1!A$4:C$523,2,0),0)</f>
        <v>0</v>
      </c>
    </row>
    <row r="114" spans="1:17">
      <c r="H114" s="105"/>
      <c r="J114" s="106"/>
      <c r="K114" s="106"/>
      <c r="L114" s="106"/>
      <c r="M114" s="106"/>
      <c r="N114" s="106"/>
      <c r="O114" s="106"/>
    </row>
    <row r="115" spans="1:17">
      <c r="P115" s="1">
        <f>IFERROR(VLOOKUP(C115,[1]t1!A$4:C$523,2,0),0)</f>
        <v>0</v>
      </c>
    </row>
    <row r="116" spans="1:17">
      <c r="H116" s="105"/>
      <c r="J116" s="106"/>
      <c r="K116" s="106"/>
      <c r="L116" s="106"/>
      <c r="M116" s="106"/>
      <c r="N116" s="106"/>
      <c r="O116" s="106"/>
    </row>
    <row r="117" spans="1:17">
      <c r="P117" s="1">
        <f>IFERROR(VLOOKUP(C117,[1]t1!A$4:C$523,2,0),0)</f>
        <v>0</v>
      </c>
    </row>
    <row r="118" spans="1:17">
      <c r="H118" s="105"/>
      <c r="J118" s="106"/>
      <c r="K118" s="106"/>
      <c r="L118" s="106"/>
      <c r="M118" s="106"/>
      <c r="N118" s="106"/>
      <c r="O118" s="106"/>
    </row>
    <row r="119" spans="1:17" s="137" customFormat="1" ht="21.75" customHeight="1">
      <c r="A119" s="153">
        <v>8</v>
      </c>
      <c r="B119" s="110" t="s">
        <v>20</v>
      </c>
      <c r="C119" s="152">
        <v>80426</v>
      </c>
      <c r="D119" s="154">
        <v>1.45</v>
      </c>
      <c r="E119" s="155">
        <v>2278</v>
      </c>
      <c r="F119" s="136">
        <f>E119*40%+D119*E119</f>
        <v>4214.3</v>
      </c>
      <c r="G119" s="136">
        <f>F119/26</f>
        <v>162.08846153846156</v>
      </c>
      <c r="H119" s="1"/>
      <c r="I119" s="1"/>
      <c r="J119" s="1"/>
      <c r="K119" s="1"/>
      <c r="L119" s="1"/>
      <c r="M119" s="1"/>
      <c r="N119" s="1"/>
      <c r="O119" s="1"/>
      <c r="P119" s="1">
        <f>IFERROR(VLOOKUP(C119,[1]t1!A$4:C$523,2,0),0)</f>
        <v>0</v>
      </c>
      <c r="Q119" s="5"/>
    </row>
    <row r="120" spans="1:17" s="137" customFormat="1" ht="21.75" customHeight="1">
      <c r="A120" s="153"/>
      <c r="B120" s="110"/>
      <c r="C120" s="152"/>
      <c r="D120" s="154"/>
      <c r="E120" s="155">
        <v>2278</v>
      </c>
      <c r="F120" s="136">
        <f>E120*40%+D120*E120</f>
        <v>911.2</v>
      </c>
      <c r="G120" s="136">
        <f>F120/26</f>
        <v>35.04615384615385</v>
      </c>
      <c r="H120" s="105"/>
      <c r="I120" s="1"/>
      <c r="J120" s="106"/>
      <c r="K120" s="106"/>
      <c r="L120" s="106"/>
      <c r="M120" s="106"/>
      <c r="N120" s="106"/>
      <c r="O120" s="106"/>
      <c r="P120" s="1"/>
      <c r="Q120" s="5"/>
    </row>
    <row r="121" spans="1:17" s="137" customFormat="1" ht="21.75" customHeight="1">
      <c r="A121" s="153">
        <v>9</v>
      </c>
      <c r="B121" s="110" t="s">
        <v>21</v>
      </c>
      <c r="C121" s="152">
        <v>80462</v>
      </c>
      <c r="D121" s="154">
        <v>1.1499999999999999</v>
      </c>
      <c r="E121" s="155">
        <v>2278</v>
      </c>
      <c r="F121" s="136">
        <f>E121*40%+D121*E121</f>
        <v>3530.8999999999996</v>
      </c>
      <c r="G121" s="136">
        <f>F121/26</f>
        <v>135.80384615384614</v>
      </c>
      <c r="H121" s="1"/>
      <c r="I121" s="1"/>
      <c r="J121" s="1"/>
      <c r="K121" s="1"/>
      <c r="L121" s="1"/>
      <c r="M121" s="1"/>
      <c r="N121" s="1"/>
      <c r="O121" s="1"/>
      <c r="P121" s="1">
        <f>IFERROR(VLOOKUP(C121,[1]t1!A$4:C$523,2,0),0)</f>
        <v>0</v>
      </c>
      <c r="Q121" s="5"/>
    </row>
    <row r="122" spans="1:17" s="137" customFormat="1" ht="21.75" customHeight="1">
      <c r="A122" s="153"/>
      <c r="B122" s="110"/>
      <c r="C122" s="152"/>
      <c r="D122" s="154"/>
      <c r="E122" s="155">
        <v>2278</v>
      </c>
      <c r="F122" s="136">
        <f>E122*40%+D122*E122</f>
        <v>911.2</v>
      </c>
      <c r="G122" s="136">
        <f>F122/26</f>
        <v>35.04615384615385</v>
      </c>
      <c r="H122" s="105"/>
      <c r="I122" s="1"/>
      <c r="J122" s="106"/>
      <c r="K122" s="106"/>
      <c r="L122" s="106"/>
      <c r="M122" s="106"/>
      <c r="N122" s="106"/>
      <c r="O122" s="106"/>
      <c r="P122" s="1"/>
      <c r="Q122" s="5"/>
    </row>
    <row r="123" spans="1:17">
      <c r="P123" s="1">
        <f>IFERROR(VLOOKUP(C123,[1]t1!A$4:C$523,2,0),0)</f>
        <v>0</v>
      </c>
    </row>
    <row r="124" spans="1:17">
      <c r="H124" s="105"/>
      <c r="J124" s="106"/>
      <c r="K124" s="106"/>
      <c r="L124" s="106"/>
      <c r="M124" s="106"/>
      <c r="N124" s="106"/>
      <c r="O124" s="106"/>
    </row>
    <row r="125" spans="1:17">
      <c r="P125" s="1">
        <f>IFERROR(VLOOKUP(C125,[1]t1!A$4:C$523,2,0),0)</f>
        <v>0</v>
      </c>
    </row>
    <row r="126" spans="1:17">
      <c r="H126" s="105"/>
      <c r="J126" s="106"/>
      <c r="K126" s="106"/>
      <c r="L126" s="106"/>
      <c r="M126" s="106"/>
      <c r="N126" s="106"/>
      <c r="O126" s="106"/>
    </row>
    <row r="127" spans="1:17">
      <c r="P127" s="1">
        <f>IFERROR(VLOOKUP(C127,[1]t1!A$4:C$523,2,0),0)</f>
        <v>0</v>
      </c>
    </row>
    <row r="128" spans="1:17">
      <c r="H128" s="105"/>
      <c r="J128" s="106"/>
      <c r="K128" s="106"/>
      <c r="L128" s="106"/>
      <c r="M128" s="106"/>
      <c r="N128" s="106"/>
      <c r="O128" s="106"/>
    </row>
    <row r="129" spans="8:16">
      <c r="P129" s="1">
        <f>IFERROR(VLOOKUP(C129,[1]t1!A$4:C$523,2,0),0)</f>
        <v>0</v>
      </c>
    </row>
    <row r="130" spans="8:16">
      <c r="H130" s="105"/>
      <c r="J130" s="106"/>
      <c r="K130" s="106"/>
      <c r="L130" s="106"/>
      <c r="M130" s="106"/>
      <c r="N130" s="106"/>
      <c r="O130" s="106"/>
    </row>
    <row r="131" spans="8:16">
      <c r="P131" s="1">
        <f>IFERROR(VLOOKUP(C131,[1]t1!A$4:C$523,2,0),0)</f>
        <v>0</v>
      </c>
    </row>
    <row r="132" spans="8:16">
      <c r="H132" s="105"/>
      <c r="J132" s="106"/>
      <c r="K132" s="106"/>
      <c r="L132" s="106"/>
      <c r="M132" s="106"/>
      <c r="N132" s="106"/>
      <c r="O132" s="106"/>
    </row>
    <row r="133" spans="8:16">
      <c r="P133" s="1">
        <f>IFERROR(VLOOKUP(C133,[1]t1!A$4:C$523,2,0),0)</f>
        <v>0</v>
      </c>
    </row>
    <row r="134" spans="8:16">
      <c r="H134" s="105"/>
      <c r="J134" s="106"/>
      <c r="K134" s="106"/>
      <c r="L134" s="106"/>
      <c r="M134" s="106"/>
      <c r="N134" s="106"/>
      <c r="O134" s="106"/>
    </row>
    <row r="135" spans="8:16">
      <c r="P135" s="1">
        <f>IFERROR(VLOOKUP(C135,[1]t1!A$4:C$523,2,0),0)</f>
        <v>0</v>
      </c>
    </row>
    <row r="136" spans="8:16">
      <c r="H136" s="105"/>
      <c r="J136" s="106"/>
      <c r="K136" s="106"/>
      <c r="L136" s="106"/>
      <c r="M136" s="106"/>
      <c r="N136" s="106"/>
      <c r="O136" s="106"/>
    </row>
    <row r="137" spans="8:16">
      <c r="P137" s="1">
        <f>IFERROR(VLOOKUP(C137,[1]t1!A$4:C$523,2,0),0)</f>
        <v>0</v>
      </c>
    </row>
    <row r="138" spans="8:16">
      <c r="H138" s="105"/>
      <c r="J138" s="106"/>
      <c r="K138" s="106"/>
      <c r="L138" s="106"/>
      <c r="M138" s="106"/>
      <c r="N138" s="106"/>
      <c r="O138" s="106"/>
    </row>
    <row r="139" spans="8:16">
      <c r="P139" s="1">
        <f>IFERROR(VLOOKUP(C139,[1]t1!A$4:C$523,2,0),0)</f>
        <v>0</v>
      </c>
    </row>
    <row r="140" spans="8:16">
      <c r="H140" s="105"/>
      <c r="J140" s="106"/>
      <c r="K140" s="106"/>
      <c r="L140" s="106"/>
      <c r="M140" s="106"/>
      <c r="N140" s="106"/>
      <c r="O140" s="106"/>
    </row>
    <row r="141" spans="8:16">
      <c r="P141" s="1">
        <f>IFERROR(VLOOKUP(C141,[1]t1!A$4:C$523,2,0),0)</f>
        <v>0</v>
      </c>
    </row>
    <row r="142" spans="8:16">
      <c r="H142" s="105"/>
      <c r="J142" s="106"/>
      <c r="K142" s="106"/>
      <c r="L142" s="106"/>
      <c r="M142" s="106"/>
      <c r="N142" s="106"/>
      <c r="O142" s="106"/>
    </row>
    <row r="143" spans="8:16">
      <c r="P143" s="1">
        <f>IFERROR(VLOOKUP(C143,[1]t1!A$4:C$523,2,0),0)</f>
        <v>0</v>
      </c>
    </row>
    <row r="144" spans="8:16">
      <c r="H144" s="105"/>
      <c r="J144" s="106"/>
      <c r="K144" s="106"/>
      <c r="L144" s="106"/>
      <c r="M144" s="106"/>
      <c r="N144" s="106"/>
      <c r="O144" s="106"/>
    </row>
    <row r="145" spans="8:16">
      <c r="P145" s="1">
        <f>IFERROR(VLOOKUP(C145,[1]t1!A$4:C$523,2,0),0)</f>
        <v>0</v>
      </c>
    </row>
    <row r="146" spans="8:16">
      <c r="H146" s="105"/>
      <c r="J146" s="106"/>
      <c r="K146" s="106"/>
      <c r="L146" s="106"/>
      <c r="M146" s="106"/>
      <c r="N146" s="106"/>
      <c r="O146" s="106"/>
    </row>
    <row r="147" spans="8:16">
      <c r="P147" s="1">
        <f>IFERROR(VLOOKUP(C147,[1]t1!A$4:C$523,2,0),0)</f>
        <v>0</v>
      </c>
    </row>
    <row r="148" spans="8:16">
      <c r="H148" s="105"/>
      <c r="J148" s="106"/>
      <c r="K148" s="106"/>
      <c r="L148" s="106"/>
      <c r="M148" s="106"/>
      <c r="N148" s="106"/>
      <c r="O148" s="106"/>
    </row>
    <row r="149" spans="8:16">
      <c r="P149" s="1">
        <f>IFERROR(VLOOKUP(C149,[1]t1!A$4:C$523,2,0),0)</f>
        <v>0</v>
      </c>
    </row>
    <row r="150" spans="8:16">
      <c r="H150" s="105"/>
      <c r="J150" s="106"/>
      <c r="K150" s="106"/>
      <c r="L150" s="106"/>
      <c r="M150" s="106"/>
      <c r="N150" s="106"/>
      <c r="O150" s="106"/>
    </row>
    <row r="151" spans="8:16">
      <c r="P151" s="1">
        <f>IFERROR(VLOOKUP(C151,[1]t1!A$4:C$523,2,0),0)</f>
        <v>0</v>
      </c>
    </row>
    <row r="152" spans="8:16">
      <c r="H152" s="105"/>
      <c r="J152" s="106"/>
      <c r="K152" s="106"/>
      <c r="L152" s="106"/>
      <c r="M152" s="106"/>
      <c r="N152" s="106"/>
      <c r="O152" s="106"/>
    </row>
    <row r="153" spans="8:16">
      <c r="P153" s="1">
        <f>IFERROR(VLOOKUP(C153,[1]t1!A$4:C$523,2,0),0)</f>
        <v>0</v>
      </c>
    </row>
    <row r="154" spans="8:16">
      <c r="H154" s="105"/>
      <c r="J154" s="106"/>
      <c r="K154" s="106"/>
      <c r="L154" s="106"/>
      <c r="M154" s="106"/>
      <c r="N154" s="106"/>
      <c r="O154" s="106"/>
    </row>
    <row r="155" spans="8:16">
      <c r="P155" s="1">
        <f>IFERROR(VLOOKUP(C155,[1]t1!A$4:C$523,2,0),0)</f>
        <v>0</v>
      </c>
    </row>
    <row r="156" spans="8:16">
      <c r="H156" s="105"/>
      <c r="J156" s="106"/>
      <c r="K156" s="106"/>
      <c r="L156" s="106"/>
      <c r="M156" s="106"/>
      <c r="N156" s="106"/>
      <c r="O156" s="106"/>
    </row>
    <row r="157" spans="8:16">
      <c r="P157" s="1">
        <f>IFERROR(VLOOKUP(C157,[1]t1!A$4:C$523,2,0),0)</f>
        <v>0</v>
      </c>
    </row>
    <row r="158" spans="8:16">
      <c r="H158" s="105"/>
      <c r="J158" s="106"/>
      <c r="K158" s="106"/>
      <c r="L158" s="106"/>
      <c r="M158" s="106"/>
      <c r="N158" s="106"/>
      <c r="O158" s="106"/>
    </row>
    <row r="159" spans="8:16">
      <c r="P159" s="1">
        <f>IFERROR(VLOOKUP(C159,[1]t1!A$4:C$523,2,0),0)</f>
        <v>0</v>
      </c>
    </row>
    <row r="160" spans="8:16">
      <c r="H160" s="105"/>
      <c r="J160" s="106"/>
      <c r="K160" s="106"/>
      <c r="L160" s="106"/>
      <c r="M160" s="106"/>
      <c r="N160" s="106"/>
      <c r="O160" s="106"/>
    </row>
    <row r="161" spans="8:16">
      <c r="P161" s="1">
        <f>IFERROR(VLOOKUP(C161,[1]t1!A$4:C$523,2,0),0)</f>
        <v>0</v>
      </c>
    </row>
    <row r="162" spans="8:16">
      <c r="H162" s="105"/>
      <c r="J162" s="106"/>
      <c r="K162" s="106"/>
      <c r="L162" s="106"/>
      <c r="M162" s="106"/>
      <c r="N162" s="106"/>
      <c r="O162" s="106"/>
    </row>
    <row r="163" spans="8:16">
      <c r="P163" s="1">
        <f>IFERROR(VLOOKUP(C163,[1]t1!A$4:C$523,2,0),0)</f>
        <v>0</v>
      </c>
    </row>
    <row r="164" spans="8:16">
      <c r="H164" s="105"/>
      <c r="J164" s="106"/>
      <c r="K164" s="106"/>
      <c r="L164" s="106"/>
      <c r="M164" s="106"/>
      <c r="N164" s="106"/>
      <c r="O164" s="106"/>
    </row>
    <row r="165" spans="8:16">
      <c r="P165" s="1">
        <f>IFERROR(VLOOKUP(C165,[1]t1!A$4:C$523,2,0),0)</f>
        <v>0</v>
      </c>
    </row>
    <row r="166" spans="8:16">
      <c r="H166" s="105"/>
      <c r="J166" s="106"/>
      <c r="K166" s="106"/>
      <c r="L166" s="106"/>
      <c r="M166" s="106"/>
      <c r="N166" s="106"/>
      <c r="O166" s="106"/>
    </row>
    <row r="167" spans="8:16">
      <c r="P167" s="1">
        <f>IFERROR(VLOOKUP(C167,[1]t1!A$4:C$523,2,0),0)</f>
        <v>0</v>
      </c>
    </row>
    <row r="168" spans="8:16">
      <c r="H168" s="105"/>
      <c r="J168" s="106"/>
      <c r="K168" s="106"/>
      <c r="L168" s="106"/>
      <c r="M168" s="106"/>
      <c r="N168" s="106"/>
      <c r="O168" s="106"/>
    </row>
    <row r="169" spans="8:16">
      <c r="P169" s="1">
        <f>IFERROR(VLOOKUP(C169,[1]t1!A$4:C$523,2,0),0)</f>
        <v>0</v>
      </c>
    </row>
    <row r="170" spans="8:16">
      <c r="H170" s="105"/>
      <c r="J170" s="106"/>
      <c r="K170" s="106"/>
      <c r="L170" s="106"/>
      <c r="M170" s="106"/>
      <c r="N170" s="106"/>
      <c r="O170" s="106"/>
    </row>
    <row r="171" spans="8:16">
      <c r="P171" s="1">
        <f>IFERROR(VLOOKUP(C171,[1]t1!A$4:C$523,2,0),0)</f>
        <v>0</v>
      </c>
    </row>
    <row r="172" spans="8:16">
      <c r="H172" s="105"/>
      <c r="J172" s="106"/>
      <c r="K172" s="106"/>
      <c r="L172" s="106"/>
      <c r="M172" s="106"/>
      <c r="N172" s="106"/>
      <c r="O172" s="106"/>
    </row>
    <row r="173" spans="8:16">
      <c r="P173" s="1">
        <f>IFERROR(VLOOKUP(C173,[1]t1!A$4:C$523,2,0),0)</f>
        <v>0</v>
      </c>
    </row>
    <row r="174" spans="8:16">
      <c r="H174" s="105"/>
      <c r="J174" s="106"/>
      <c r="K174" s="106"/>
      <c r="L174" s="106"/>
      <c r="M174" s="106"/>
      <c r="N174" s="106"/>
      <c r="O174" s="106"/>
    </row>
    <row r="175" spans="8:16">
      <c r="P175" s="1">
        <f>IFERROR(VLOOKUP(C175,[1]t1!A$4:C$523,2,0),0)</f>
        <v>0</v>
      </c>
    </row>
    <row r="176" spans="8:16">
      <c r="H176" s="105"/>
      <c r="J176" s="106"/>
      <c r="K176" s="106"/>
      <c r="L176" s="106"/>
      <c r="M176" s="106"/>
      <c r="N176" s="106"/>
      <c r="O176" s="106"/>
    </row>
    <row r="177" spans="8:16">
      <c r="P177" s="1">
        <f>IFERROR(VLOOKUP(C177,[1]t1!A$4:C$523,2,0),0)</f>
        <v>0</v>
      </c>
    </row>
    <row r="178" spans="8:16">
      <c r="H178" s="105"/>
      <c r="J178" s="106"/>
      <c r="K178" s="106"/>
      <c r="L178" s="106"/>
      <c r="M178" s="106"/>
      <c r="N178" s="106"/>
      <c r="O178" s="106"/>
    </row>
    <row r="179" spans="8:16">
      <c r="P179" s="1">
        <f>IFERROR(VLOOKUP(C179,[1]t1!A$4:C$523,2,0),0)</f>
        <v>0</v>
      </c>
    </row>
    <row r="180" spans="8:16">
      <c r="H180" s="105"/>
      <c r="J180" s="106"/>
      <c r="K180" s="106"/>
      <c r="L180" s="106"/>
      <c r="M180" s="106"/>
      <c r="N180" s="106"/>
      <c r="O180" s="106"/>
    </row>
    <row r="181" spans="8:16">
      <c r="P181" s="1">
        <f>IFERROR(VLOOKUP(C181,[1]t1!A$4:C$523,2,0),0)</f>
        <v>0</v>
      </c>
    </row>
    <row r="182" spans="8:16">
      <c r="H182" s="105"/>
      <c r="J182" s="106"/>
      <c r="K182" s="106"/>
      <c r="L182" s="106"/>
      <c r="M182" s="106"/>
      <c r="N182" s="106"/>
      <c r="O182" s="106"/>
    </row>
    <row r="183" spans="8:16">
      <c r="P183" s="1">
        <f>IFERROR(VLOOKUP(C183,[1]t1!A$4:C$523,2,0),0)</f>
        <v>0</v>
      </c>
    </row>
    <row r="184" spans="8:16">
      <c r="H184" s="105"/>
      <c r="J184" s="106"/>
      <c r="K184" s="106"/>
      <c r="L184" s="106"/>
      <c r="M184" s="106"/>
      <c r="N184" s="106"/>
      <c r="O184" s="106"/>
    </row>
    <row r="185" spans="8:16">
      <c r="P185" s="1">
        <f>IFERROR(VLOOKUP(C185,[1]t1!A$4:C$523,2,0),0)</f>
        <v>0</v>
      </c>
    </row>
    <row r="186" spans="8:16">
      <c r="H186" s="105"/>
      <c r="J186" s="106"/>
      <c r="K186" s="106"/>
      <c r="L186" s="106"/>
      <c r="M186" s="106"/>
      <c r="N186" s="106"/>
      <c r="O186" s="106"/>
    </row>
    <row r="187" spans="8:16">
      <c r="P187" s="1">
        <f>IFERROR(VLOOKUP(C187,[1]t1!A$4:C$523,2,0),0)</f>
        <v>0</v>
      </c>
    </row>
    <row r="188" spans="8:16">
      <c r="H188" s="105"/>
      <c r="J188" s="106"/>
      <c r="K188" s="106"/>
      <c r="L188" s="106"/>
      <c r="M188" s="106"/>
      <c r="N188" s="106"/>
      <c r="O188" s="106"/>
    </row>
    <row r="189" spans="8:16">
      <c r="P189" s="1">
        <f>IFERROR(VLOOKUP(C189,[1]t1!A$4:C$523,2,0),0)</f>
        <v>0</v>
      </c>
    </row>
    <row r="190" spans="8:16">
      <c r="H190" s="105"/>
      <c r="J190" s="106"/>
      <c r="K190" s="106"/>
      <c r="L190" s="106"/>
      <c r="M190" s="106"/>
      <c r="N190" s="106"/>
      <c r="O190" s="106"/>
    </row>
    <row r="191" spans="8:16">
      <c r="P191" s="1">
        <f>IFERROR(VLOOKUP(C191,[1]t1!A$4:C$523,2,0),0)</f>
        <v>0</v>
      </c>
    </row>
    <row r="192" spans="8:16">
      <c r="H192" s="105"/>
      <c r="J192" s="106"/>
      <c r="K192" s="106"/>
      <c r="L192" s="106"/>
      <c r="M192" s="106"/>
      <c r="N192" s="106"/>
      <c r="O192" s="106"/>
    </row>
    <row r="193" spans="2:54">
      <c r="P193" s="1">
        <f>IFERROR(VLOOKUP(C193,[1]t1!A$4:C$523,2,0),0)</f>
        <v>0</v>
      </c>
    </row>
    <row r="194" spans="2:54">
      <c r="H194" s="105"/>
      <c r="J194" s="106"/>
      <c r="K194" s="106"/>
      <c r="L194" s="106"/>
      <c r="M194" s="106"/>
      <c r="N194" s="106"/>
      <c r="O194" s="106"/>
    </row>
    <row r="195" spans="2:54">
      <c r="P195" s="1">
        <f>IFERROR(VLOOKUP(C195,[1]t1!A$4:C$523,2,0),0)</f>
        <v>0</v>
      </c>
    </row>
    <row r="196" spans="2:54">
      <c r="H196" s="105"/>
      <c r="J196" s="106"/>
      <c r="K196" s="106"/>
      <c r="L196" s="106"/>
      <c r="M196" s="106"/>
      <c r="N196" s="106"/>
      <c r="O196" s="106"/>
    </row>
    <row r="197" spans="2:54">
      <c r="P197" s="1">
        <f>IFERROR(VLOOKUP(C197,[1]t1!A$4:C$523,2,0),0)</f>
        <v>0</v>
      </c>
    </row>
    <row r="198" spans="2:54">
      <c r="H198" s="105"/>
      <c r="J198" s="106"/>
      <c r="K198" s="106"/>
      <c r="L198" s="106"/>
      <c r="M198" s="106"/>
      <c r="N198" s="106"/>
      <c r="O198" s="106"/>
    </row>
    <row r="199" spans="2:54">
      <c r="P199" s="1">
        <f>IFERROR(VLOOKUP(C199,[1]t1!A$4:C$523,2,0),0)</f>
        <v>0</v>
      </c>
    </row>
    <row r="200" spans="2:54">
      <c r="H200" s="105"/>
      <c r="J200" s="106"/>
      <c r="K200" s="106"/>
      <c r="L200" s="106"/>
      <c r="M200" s="106"/>
      <c r="N200" s="106"/>
      <c r="O200" s="106"/>
    </row>
    <row r="201" spans="2:54">
      <c r="P201" s="1">
        <f>IFERROR(VLOOKUP(C201,[1]t1!A$4:C$523,2,0),0)</f>
        <v>0</v>
      </c>
    </row>
    <row r="202" spans="2:54">
      <c r="H202" s="105"/>
      <c r="J202" s="106"/>
      <c r="K202" s="106"/>
      <c r="L202" s="106"/>
      <c r="M202" s="106"/>
      <c r="N202" s="106"/>
      <c r="O202" s="106"/>
    </row>
    <row r="203" spans="2:54">
      <c r="P203" s="1">
        <f>IFERROR(VLOOKUP(C203,[1]t1!A$4:C$523,2,0),0)</f>
        <v>0</v>
      </c>
    </row>
    <row r="204" spans="2:54">
      <c r="H204" s="105"/>
      <c r="J204" s="106"/>
      <c r="K204" s="106"/>
      <c r="L204" s="106"/>
      <c r="M204" s="106"/>
      <c r="N204" s="106"/>
      <c r="O204" s="106"/>
    </row>
    <row r="205" spans="2:54">
      <c r="P205" s="1">
        <f>IFERROR(VLOOKUP(C205,[1]t1!A$4:C$523,2,0),0)</f>
        <v>0</v>
      </c>
    </row>
    <row r="206" spans="2:54">
      <c r="H206" s="105"/>
      <c r="J206" s="106"/>
      <c r="K206" s="106"/>
      <c r="L206" s="106"/>
      <c r="M206" s="106"/>
      <c r="N206" s="106"/>
      <c r="O206" s="106"/>
    </row>
    <row r="207" spans="2:54" s="5" customFormat="1">
      <c r="B207" s="1"/>
      <c r="C207" s="2"/>
      <c r="D207" s="3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>
        <f>IFERROR(VLOOKUP(C207,[1]t1!A$4:C$523,2,0),0)</f>
        <v>0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2:54" s="5" customFormat="1">
      <c r="B208" s="1"/>
      <c r="C208" s="2"/>
      <c r="D208" s="3"/>
      <c r="E208" s="4"/>
      <c r="F208" s="1"/>
      <c r="G208" s="1"/>
      <c r="H208" s="105"/>
      <c r="I208" s="1"/>
      <c r="J208" s="106"/>
      <c r="K208" s="106"/>
      <c r="L208" s="106"/>
      <c r="M208" s="106"/>
      <c r="N208" s="106"/>
      <c r="O208" s="106"/>
      <c r="P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2:54" s="5" customFormat="1">
      <c r="B209" s="1"/>
      <c r="C209" s="2"/>
      <c r="D209" s="3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>
        <f>IFERROR(VLOOKUP(C209,[1]t1!A$4:C$523,2,0),0)</f>
        <v>0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2:54" s="5" customFormat="1">
      <c r="B210" s="1"/>
      <c r="C210" s="2"/>
      <c r="D210" s="3"/>
      <c r="E210" s="4"/>
      <c r="F210" s="1"/>
      <c r="G210" s="1"/>
      <c r="H210" s="105"/>
      <c r="I210" s="1"/>
      <c r="J210" s="106"/>
      <c r="K210" s="106"/>
      <c r="L210" s="106"/>
      <c r="M210" s="106"/>
      <c r="N210" s="106"/>
      <c r="O210" s="106"/>
      <c r="P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2:54" s="5" customFormat="1">
      <c r="B211" s="1"/>
      <c r="C211" s="2"/>
      <c r="D211" s="3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>
        <f>IFERROR(VLOOKUP(C211,[1]t1!A$4:C$523,2,0),0)</f>
        <v>0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2:54" s="5" customFormat="1">
      <c r="B212" s="1"/>
      <c r="C212" s="2"/>
      <c r="D212" s="3"/>
      <c r="E212" s="4"/>
      <c r="F212" s="1"/>
      <c r="G212" s="1"/>
      <c r="H212" s="105"/>
      <c r="I212" s="1"/>
      <c r="J212" s="106"/>
      <c r="K212" s="106"/>
      <c r="L212" s="106"/>
      <c r="M212" s="106"/>
      <c r="N212" s="106"/>
      <c r="O212" s="106"/>
      <c r="P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2:54" s="5" customFormat="1">
      <c r="B213" s="1"/>
      <c r="C213" s="2"/>
      <c r="D213" s="3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>
        <f>IFERROR(VLOOKUP(C213,[1]t1!A$4:C$523,2,0),0)</f>
        <v>0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2:54" s="5" customFormat="1">
      <c r="B214" s="1"/>
      <c r="C214" s="2"/>
      <c r="D214" s="3"/>
      <c r="E214" s="4"/>
      <c r="F214" s="1"/>
      <c r="G214" s="1"/>
      <c r="H214" s="105"/>
      <c r="I214" s="1"/>
      <c r="J214" s="106"/>
      <c r="K214" s="106"/>
      <c r="L214" s="106"/>
      <c r="M214" s="106"/>
      <c r="N214" s="106"/>
      <c r="O214" s="106"/>
      <c r="P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2:54" s="5" customFormat="1">
      <c r="B215" s="1"/>
      <c r="C215" s="2"/>
      <c r="D215" s="3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2:54" s="5" customFormat="1">
      <c r="B216" s="1"/>
      <c r="C216" s="2"/>
      <c r="D216" s="3"/>
      <c r="E216" s="4"/>
      <c r="F216" s="1"/>
      <c r="G216" s="1"/>
      <c r="H216" s="105"/>
      <c r="I216" s="1"/>
      <c r="J216" s="1"/>
      <c r="K216" s="1"/>
      <c r="L216" s="1"/>
      <c r="M216" s="1"/>
      <c r="N216" s="1"/>
      <c r="O216" s="1"/>
      <c r="P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2:54" s="5" customFormat="1">
      <c r="B217" s="1"/>
      <c r="C217" s="2"/>
      <c r="D217" s="3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2:54" s="5" customFormat="1">
      <c r="B218" s="1"/>
      <c r="C218" s="2"/>
      <c r="D218" s="3"/>
      <c r="E218" s="4"/>
      <c r="F218" s="1"/>
      <c r="G218" s="1"/>
      <c r="H218" s="105"/>
      <c r="I218" s="1"/>
      <c r="J218" s="1"/>
      <c r="K218" s="1"/>
      <c r="L218" s="1"/>
      <c r="M218" s="1"/>
      <c r="N218" s="1"/>
      <c r="O218" s="1"/>
      <c r="P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2:54" s="5" customFormat="1">
      <c r="B219" s="1"/>
      <c r="C219" s="2"/>
      <c r="D219" s="3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2:54" s="5" customFormat="1">
      <c r="B220" s="1"/>
      <c r="C220" s="2"/>
      <c r="D220" s="3"/>
      <c r="E220" s="4"/>
      <c r="F220" s="1"/>
      <c r="G220" s="1"/>
      <c r="H220" s="105"/>
      <c r="I220" s="1"/>
      <c r="J220" s="1"/>
      <c r="K220" s="1"/>
      <c r="L220" s="1"/>
      <c r="M220" s="1"/>
      <c r="N220" s="1"/>
      <c r="O220" s="1"/>
      <c r="P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2:54" s="5" customFormat="1">
      <c r="B221" s="1"/>
      <c r="C221" s="2"/>
      <c r="D221" s="3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2:54" s="5" customFormat="1">
      <c r="B222" s="1"/>
      <c r="C222" s="2"/>
      <c r="D222" s="3"/>
      <c r="E222" s="4"/>
      <c r="F222" s="1"/>
      <c r="G222" s="1"/>
      <c r="H222" s="105"/>
      <c r="I222" s="1"/>
      <c r="J222" s="1"/>
      <c r="K222" s="1"/>
      <c r="L222" s="1"/>
      <c r="M222" s="1"/>
      <c r="N222" s="1"/>
      <c r="O222" s="1"/>
      <c r="P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2:54" s="5" customFormat="1">
      <c r="B223" s="1"/>
      <c r="C223" s="2"/>
      <c r="D223" s="3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2:54" s="5" customFormat="1">
      <c r="B224" s="1"/>
      <c r="C224" s="2"/>
      <c r="D224" s="3"/>
      <c r="E224" s="4"/>
      <c r="F224" s="1"/>
      <c r="G224" s="1"/>
      <c r="H224" s="105"/>
      <c r="I224" s="1"/>
      <c r="J224" s="1"/>
      <c r="K224" s="1"/>
      <c r="L224" s="1"/>
      <c r="M224" s="1"/>
      <c r="N224" s="1"/>
      <c r="O224" s="1"/>
      <c r="P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2:54" s="5" customFormat="1">
      <c r="B225" s="1"/>
      <c r="C225" s="2"/>
      <c r="D225" s="3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2:54" s="5" customFormat="1">
      <c r="B226" s="1"/>
      <c r="C226" s="2"/>
      <c r="D226" s="3"/>
      <c r="E226" s="4"/>
      <c r="F226" s="1"/>
      <c r="G226" s="1"/>
      <c r="H226" s="105"/>
      <c r="I226" s="1"/>
      <c r="J226" s="1"/>
      <c r="K226" s="1"/>
      <c r="L226" s="1"/>
      <c r="M226" s="1"/>
      <c r="N226" s="1"/>
      <c r="O226" s="1"/>
      <c r="P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2:54" s="5" customFormat="1">
      <c r="B227" s="1"/>
      <c r="C227" s="2"/>
      <c r="D227" s="3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2:54" s="5" customFormat="1">
      <c r="B228" s="1"/>
      <c r="C228" s="2"/>
      <c r="D228" s="3"/>
      <c r="E228" s="4"/>
      <c r="F228" s="1"/>
      <c r="G228" s="1"/>
      <c r="H228" s="105"/>
      <c r="I228" s="1"/>
      <c r="J228" s="1"/>
      <c r="K228" s="1"/>
      <c r="L228" s="1"/>
      <c r="M228" s="1"/>
      <c r="N228" s="1"/>
      <c r="O228" s="1"/>
      <c r="P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2:54" s="5" customFormat="1">
      <c r="B229" s="1"/>
      <c r="C229" s="2"/>
      <c r="D229" s="3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2:54" s="5" customFormat="1">
      <c r="B230" s="1"/>
      <c r="C230" s="2"/>
      <c r="D230" s="3"/>
      <c r="E230" s="4"/>
      <c r="F230" s="1"/>
      <c r="G230" s="1"/>
      <c r="H230" s="105"/>
      <c r="I230" s="1"/>
      <c r="J230" s="1"/>
      <c r="K230" s="1"/>
      <c r="L230" s="1"/>
      <c r="M230" s="1"/>
      <c r="N230" s="1"/>
      <c r="O230" s="1"/>
      <c r="P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2:54" s="5" customFormat="1">
      <c r="B231" s="1"/>
      <c r="C231" s="2"/>
      <c r="D231" s="3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2:54" s="5" customFormat="1">
      <c r="B232" s="1"/>
      <c r="C232" s="2"/>
      <c r="D232" s="3"/>
      <c r="E232" s="4"/>
      <c r="F232" s="1"/>
      <c r="G232" s="1"/>
      <c r="H232" s="105"/>
      <c r="I232" s="1"/>
      <c r="J232" s="1"/>
      <c r="K232" s="1"/>
      <c r="L232" s="1"/>
      <c r="M232" s="1"/>
      <c r="N232" s="1"/>
      <c r="O232" s="1"/>
      <c r="P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2:54" s="5" customFormat="1">
      <c r="B233" s="1"/>
      <c r="C233" s="2"/>
      <c r="D233" s="3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2:54" s="5" customFormat="1">
      <c r="B234" s="1"/>
      <c r="C234" s="2"/>
      <c r="D234" s="3"/>
      <c r="E234" s="4"/>
      <c r="F234" s="1"/>
      <c r="G234" s="1"/>
      <c r="H234" s="105"/>
      <c r="I234" s="1"/>
      <c r="J234" s="1"/>
      <c r="K234" s="1"/>
      <c r="L234" s="1"/>
      <c r="M234" s="1"/>
      <c r="N234" s="1"/>
      <c r="O234" s="1"/>
      <c r="P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2:54" s="5" customFormat="1">
      <c r="B235" s="1"/>
      <c r="C235" s="2"/>
      <c r="D235" s="3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2:54" s="5" customFormat="1">
      <c r="B236" s="1"/>
      <c r="C236" s="2"/>
      <c r="D236" s="3"/>
      <c r="E236" s="4"/>
      <c r="F236" s="1"/>
      <c r="G236" s="1"/>
      <c r="H236" s="105"/>
      <c r="I236" s="1"/>
      <c r="J236" s="1"/>
      <c r="K236" s="1"/>
      <c r="L236" s="1"/>
      <c r="M236" s="1"/>
      <c r="N236" s="1"/>
      <c r="O236" s="1"/>
      <c r="P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2:54" s="5" customFormat="1">
      <c r="B237" s="1"/>
      <c r="C237" s="2"/>
      <c r="D237" s="3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2:54" s="5" customFormat="1">
      <c r="B238" s="1"/>
      <c r="C238" s="2"/>
      <c r="D238" s="3"/>
      <c r="E238" s="4"/>
      <c r="F238" s="1"/>
      <c r="G238" s="1"/>
      <c r="H238" s="105"/>
      <c r="I238" s="1"/>
      <c r="J238" s="1"/>
      <c r="K238" s="1"/>
      <c r="L238" s="1"/>
      <c r="M238" s="1"/>
      <c r="N238" s="1"/>
      <c r="O238" s="1"/>
      <c r="P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2:54" s="5" customFormat="1">
      <c r="B239" s="1"/>
      <c r="C239" s="2"/>
      <c r="D239" s="3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2:54" s="5" customFormat="1">
      <c r="B240" s="1"/>
      <c r="C240" s="2"/>
      <c r="D240" s="3"/>
      <c r="E240" s="4"/>
      <c r="F240" s="1"/>
      <c r="G240" s="1"/>
      <c r="H240" s="105"/>
      <c r="I240" s="1"/>
      <c r="J240" s="1"/>
      <c r="K240" s="1"/>
      <c r="L240" s="1"/>
      <c r="M240" s="1"/>
      <c r="N240" s="1"/>
      <c r="O240" s="1"/>
      <c r="P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2:54" s="5" customFormat="1">
      <c r="B241" s="1"/>
      <c r="C241" s="2"/>
      <c r="D241" s="3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2:54" s="5" customFormat="1">
      <c r="B242" s="1"/>
      <c r="C242" s="2"/>
      <c r="D242" s="3"/>
      <c r="E242" s="4"/>
      <c r="F242" s="1"/>
      <c r="G242" s="1"/>
      <c r="H242" s="105"/>
      <c r="I242" s="1"/>
      <c r="J242" s="1"/>
      <c r="K242" s="1"/>
      <c r="L242" s="1"/>
      <c r="M242" s="1"/>
      <c r="N242" s="1"/>
      <c r="O242" s="1"/>
      <c r="P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2:54" s="5" customFormat="1">
      <c r="B243" s="1"/>
      <c r="C243" s="2"/>
      <c r="D243" s="3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2:54" s="5" customFormat="1">
      <c r="B244" s="1"/>
      <c r="C244" s="2"/>
      <c r="D244" s="3"/>
      <c r="E244" s="4"/>
      <c r="F244" s="1"/>
      <c r="G244" s="1"/>
      <c r="H244" s="105"/>
      <c r="I244" s="1"/>
      <c r="J244" s="1"/>
      <c r="K244" s="1"/>
      <c r="L244" s="1"/>
      <c r="M244" s="1"/>
      <c r="N244" s="1"/>
      <c r="O244" s="1"/>
      <c r="P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2:54" s="5" customFormat="1">
      <c r="B245" s="1"/>
      <c r="C245" s="2"/>
      <c r="D245" s="3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2:54" s="5" customFormat="1">
      <c r="B246" s="1"/>
      <c r="C246" s="2"/>
      <c r="D246" s="3"/>
      <c r="E246" s="4"/>
      <c r="F246" s="1"/>
      <c r="G246" s="1"/>
      <c r="H246" s="105"/>
      <c r="I246" s="1"/>
      <c r="J246" s="1"/>
      <c r="K246" s="1"/>
      <c r="L246" s="1"/>
      <c r="M246" s="1"/>
      <c r="N246" s="1"/>
      <c r="O246" s="1"/>
      <c r="P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2:54" s="5" customFormat="1">
      <c r="B247" s="1"/>
      <c r="C247" s="2"/>
      <c r="D247" s="3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2:54" s="5" customFormat="1">
      <c r="B248" s="1"/>
      <c r="C248" s="2"/>
      <c r="D248" s="3"/>
      <c r="E248" s="4"/>
      <c r="F248" s="1"/>
      <c r="G248" s="1"/>
      <c r="H248" s="105"/>
      <c r="I248" s="1"/>
      <c r="J248" s="1"/>
      <c r="K248" s="1"/>
      <c r="L248" s="1"/>
      <c r="M248" s="1"/>
      <c r="N248" s="1"/>
      <c r="O248" s="1"/>
      <c r="P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2:54" s="5" customFormat="1">
      <c r="B249" s="1"/>
      <c r="C249" s="2"/>
      <c r="D249" s="3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2:54" s="5" customFormat="1">
      <c r="B250" s="1"/>
      <c r="C250" s="2"/>
      <c r="D250" s="3"/>
      <c r="E250" s="4"/>
      <c r="F250" s="1"/>
      <c r="G250" s="1"/>
      <c r="H250" s="105"/>
      <c r="I250" s="1"/>
      <c r="J250" s="1"/>
      <c r="K250" s="1"/>
      <c r="L250" s="1"/>
      <c r="M250" s="1"/>
      <c r="N250" s="1"/>
      <c r="O250" s="1"/>
      <c r="P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2:54" s="5" customFormat="1">
      <c r="B251" s="1"/>
      <c r="C251" s="2"/>
      <c r="D251" s="3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2:54" s="5" customFormat="1">
      <c r="B252" s="1"/>
      <c r="C252" s="2"/>
      <c r="D252" s="3"/>
      <c r="E252" s="4"/>
      <c r="F252" s="1"/>
      <c r="G252" s="1"/>
      <c r="H252" s="105"/>
      <c r="I252" s="1"/>
      <c r="J252" s="1"/>
      <c r="K252" s="1"/>
      <c r="L252" s="1"/>
      <c r="M252" s="1"/>
      <c r="N252" s="1"/>
      <c r="O252" s="1"/>
      <c r="P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2:54" s="5" customFormat="1">
      <c r="B253" s="1"/>
      <c r="C253" s="2"/>
      <c r="D253" s="3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2:54" s="5" customFormat="1">
      <c r="B254" s="1"/>
      <c r="C254" s="2"/>
      <c r="D254" s="3"/>
      <c r="E254" s="4"/>
      <c r="F254" s="1"/>
      <c r="G254" s="1"/>
      <c r="H254" s="105"/>
      <c r="I254" s="1"/>
      <c r="J254" s="1"/>
      <c r="K254" s="1"/>
      <c r="L254" s="1"/>
      <c r="M254" s="1"/>
      <c r="N254" s="1"/>
      <c r="O254" s="1"/>
      <c r="P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2:54" s="5" customFormat="1">
      <c r="B255" s="1"/>
      <c r="C255" s="2"/>
      <c r="D255" s="3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2:54" s="5" customFormat="1">
      <c r="B256" s="1"/>
      <c r="C256" s="2"/>
      <c r="D256" s="3"/>
      <c r="E256" s="4"/>
      <c r="F256" s="1"/>
      <c r="G256" s="1"/>
      <c r="H256" s="105"/>
      <c r="I256" s="1"/>
      <c r="J256" s="1"/>
      <c r="K256" s="1"/>
      <c r="L256" s="1"/>
      <c r="M256" s="1"/>
      <c r="N256" s="1"/>
      <c r="O256" s="1"/>
      <c r="P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2:54" s="5" customFormat="1">
      <c r="B257" s="1"/>
      <c r="C257" s="2"/>
      <c r="D257" s="3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2:54" s="5" customFormat="1">
      <c r="B258" s="1"/>
      <c r="C258" s="2"/>
      <c r="D258" s="3"/>
      <c r="E258" s="4"/>
      <c r="F258" s="1"/>
      <c r="G258" s="1"/>
      <c r="H258" s="105"/>
      <c r="I258" s="1"/>
      <c r="J258" s="1"/>
      <c r="K258" s="1"/>
      <c r="L258" s="1"/>
      <c r="M258" s="1"/>
      <c r="N258" s="1"/>
      <c r="O258" s="1"/>
      <c r="P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2:54" s="5" customFormat="1">
      <c r="B259" s="1"/>
      <c r="C259" s="2"/>
      <c r="D259" s="3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2:54" s="5" customFormat="1">
      <c r="B260" s="1"/>
      <c r="C260" s="2"/>
      <c r="D260" s="3"/>
      <c r="E260" s="4"/>
      <c r="F260" s="1"/>
      <c r="G260" s="1"/>
      <c r="H260" s="105"/>
      <c r="I260" s="1"/>
      <c r="J260" s="1"/>
      <c r="K260" s="1"/>
      <c r="L260" s="1"/>
      <c r="M260" s="1"/>
      <c r="N260" s="1"/>
      <c r="O260" s="1"/>
      <c r="P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2" spans="2:54" s="5" customFormat="1">
      <c r="B262" s="1"/>
      <c r="C262" s="2"/>
      <c r="D262" s="3"/>
      <c r="E262" s="4"/>
      <c r="F262" s="1"/>
      <c r="G262" s="1"/>
      <c r="H262" s="105"/>
      <c r="I262" s="1"/>
      <c r="J262" s="1"/>
      <c r="K262" s="1"/>
      <c r="L262" s="1"/>
      <c r="M262" s="1"/>
      <c r="N262" s="1"/>
      <c r="O262" s="1"/>
      <c r="P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2:54" s="5" customFormat="1">
      <c r="B263" s="1"/>
      <c r="C263" s="2"/>
      <c r="D263" s="3"/>
      <c r="E263" s="4"/>
      <c r="F263" s="1"/>
      <c r="G263" s="1"/>
      <c r="H263" s="1"/>
      <c r="I263" s="1"/>
      <c r="J263" s="156"/>
      <c r="K263" s="156"/>
      <c r="L263" s="156"/>
      <c r="M263" s="156"/>
      <c r="N263" s="156"/>
      <c r="O263" s="156"/>
      <c r="P263" s="156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2:54" s="5" customFormat="1">
      <c r="B264" s="1"/>
      <c r="C264" s="2"/>
      <c r="D264" s="3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2:54" s="5" customFormat="1">
      <c r="B265" s="1"/>
      <c r="C265" s="2"/>
      <c r="D265" s="3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2:54" s="5" customFormat="1">
      <c r="B266" s="1"/>
      <c r="C266" s="2"/>
      <c r="D266" s="3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2:54" s="5" customFormat="1">
      <c r="B267" s="1"/>
      <c r="C267" s="2"/>
      <c r="D267" s="3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2:54" s="5" customFormat="1">
      <c r="B268" s="1"/>
      <c r="C268" s="2"/>
      <c r="D268" s="3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2:54" s="5" customFormat="1">
      <c r="B269" s="1"/>
      <c r="C269" s="2"/>
      <c r="D269" s="3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2:54" s="5" customFormat="1">
      <c r="B270" s="1"/>
      <c r="C270" s="2"/>
      <c r="D270" s="3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</sheetData>
  <mergeCells count="28">
    <mergeCell ref="Z5:Z7"/>
    <mergeCell ref="X5:X7"/>
    <mergeCell ref="Y5:Y7"/>
    <mergeCell ref="D5:D7"/>
    <mergeCell ref="E5:E7"/>
    <mergeCell ref="F5:F7"/>
    <mergeCell ref="G5:G7"/>
    <mergeCell ref="P5:P7"/>
    <mergeCell ref="Q5:Q7"/>
    <mergeCell ref="R5:R7"/>
    <mergeCell ref="H5:H7"/>
    <mergeCell ref="I5:I7"/>
    <mergeCell ref="J5:J7"/>
    <mergeCell ref="K5:K7"/>
    <mergeCell ref="L5:L7"/>
    <mergeCell ref="M5:M7"/>
    <mergeCell ref="N5:N7"/>
    <mergeCell ref="A2:G2"/>
    <mergeCell ref="A3:G3"/>
    <mergeCell ref="A5:A7"/>
    <mergeCell ref="B5:B7"/>
    <mergeCell ref="C5:C7"/>
    <mergeCell ref="W5:W7"/>
    <mergeCell ref="O5:O7"/>
    <mergeCell ref="V5:V7"/>
    <mergeCell ref="S5:S7"/>
    <mergeCell ref="T5:T7"/>
    <mergeCell ref="U5:U7"/>
  </mergeCells>
  <pageMargins left="0" right="0" top="0" bottom="0" header="0" footer="0"/>
  <pageSetup scale="9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B05A-532B-4018-8411-D88402021134}">
  <dimension ref="A1:AJ137"/>
  <sheetViews>
    <sheetView showZeros="0" zoomScale="92" zoomScaleNormal="92" workbookViewId="0">
      <selection activeCell="AE11" sqref="AE11:AF21"/>
    </sheetView>
  </sheetViews>
  <sheetFormatPr defaultRowHeight="17.100000000000001" customHeight="1" outlineLevelCol="1"/>
  <cols>
    <col min="1" max="1" width="4.28515625" style="16" customWidth="1"/>
    <col min="2" max="2" width="21.85546875" style="16" bestFit="1" customWidth="1"/>
    <col min="3" max="3" width="7" style="16" bestFit="1" customWidth="1"/>
    <col min="4" max="5" width="4.5703125" style="16" customWidth="1"/>
    <col min="6" max="6" width="7.28515625" style="16" customWidth="1"/>
    <col min="7" max="7" width="9.140625" style="16" hidden="1" customWidth="1" outlineLevel="1"/>
    <col min="8" max="8" width="11" style="16" hidden="1" customWidth="1" outlineLevel="1"/>
    <col min="9" max="9" width="8.5703125" style="16" customWidth="1" collapsed="1"/>
    <col min="10" max="10" width="7.85546875" style="16" customWidth="1"/>
    <col min="11" max="11" width="6" style="16" customWidth="1"/>
    <col min="12" max="12" width="5.28515625" style="16" customWidth="1"/>
    <col min="13" max="14" width="5.28515625" style="16" hidden="1" customWidth="1"/>
    <col min="15" max="15" width="6.7109375" style="16" customWidth="1"/>
    <col min="16" max="17" width="5.5703125" style="17" customWidth="1"/>
    <col min="18" max="18" width="5.5703125" style="16" customWidth="1"/>
    <col min="19" max="19" width="5.42578125" style="16" hidden="1" customWidth="1"/>
    <col min="20" max="20" width="4.5703125" style="16" customWidth="1"/>
    <col min="21" max="21" width="4.85546875" style="16" customWidth="1"/>
    <col min="22" max="23" width="8.28515625" style="16" hidden="1" customWidth="1"/>
    <col min="24" max="24" width="6.85546875" style="16" customWidth="1"/>
    <col min="25" max="25" width="5.140625" style="16" customWidth="1"/>
    <col min="26" max="26" width="12" style="17" customWidth="1"/>
    <col min="27" max="27" width="7.28515625" style="16" customWidth="1"/>
    <col min="28" max="28" width="5.7109375" style="16" customWidth="1"/>
    <col min="29" max="29" width="8.5703125" style="17" customWidth="1"/>
    <col min="30" max="30" width="8.7109375" style="14" customWidth="1"/>
    <col min="31" max="31" width="13.7109375" style="15" customWidth="1"/>
    <col min="32" max="32" width="12.28515625" style="14" customWidth="1"/>
    <col min="33" max="33" width="11.85546875" style="16" customWidth="1"/>
    <col min="34" max="34" width="10.5703125" style="14" customWidth="1"/>
    <col min="35" max="35" width="10.28515625" style="16" customWidth="1"/>
    <col min="36" max="36" width="14" style="16" bestFit="1" customWidth="1"/>
    <col min="37" max="254" width="9.140625" style="16"/>
    <col min="255" max="255" width="4.28515625" style="16" customWidth="1"/>
    <col min="256" max="256" width="21.85546875" style="16" bestFit="1" customWidth="1"/>
    <col min="257" max="257" width="7" style="16" bestFit="1" customWidth="1"/>
    <col min="258" max="259" width="4.5703125" style="16" customWidth="1"/>
    <col min="260" max="260" width="7.28515625" style="16" customWidth="1"/>
    <col min="261" max="262" width="0" style="16" hidden="1" customWidth="1"/>
    <col min="263" max="263" width="8.5703125" style="16" customWidth="1"/>
    <col min="264" max="264" width="7.85546875" style="16" customWidth="1"/>
    <col min="265" max="267" width="0" style="16" hidden="1" customWidth="1"/>
    <col min="268" max="269" width="5.28515625" style="16" customWidth="1"/>
    <col min="270" max="270" width="5.5703125" style="16" customWidth="1"/>
    <col min="271" max="271" width="8.140625" style="16" customWidth="1"/>
    <col min="272" max="272" width="4.5703125" style="16" customWidth="1"/>
    <col min="273" max="278" width="0" style="16" hidden="1" customWidth="1"/>
    <col min="279" max="279" width="13.140625" style="16" bestFit="1" customWidth="1"/>
    <col min="280" max="280" width="7.28515625" style="16" customWidth="1"/>
    <col min="281" max="281" width="5.7109375" style="16" customWidth="1"/>
    <col min="282" max="282" width="8.5703125" style="16" customWidth="1"/>
    <col min="283" max="288" width="0" style="16" hidden="1" customWidth="1"/>
    <col min="289" max="289" width="14.140625" style="16" customWidth="1"/>
    <col min="290" max="510" width="9.140625" style="16"/>
    <col min="511" max="511" width="4.28515625" style="16" customWidth="1"/>
    <col min="512" max="512" width="21.85546875" style="16" bestFit="1" customWidth="1"/>
    <col min="513" max="513" width="7" style="16" bestFit="1" customWidth="1"/>
    <col min="514" max="515" width="4.5703125" style="16" customWidth="1"/>
    <col min="516" max="516" width="7.28515625" style="16" customWidth="1"/>
    <col min="517" max="518" width="0" style="16" hidden="1" customWidth="1"/>
    <col min="519" max="519" width="8.5703125" style="16" customWidth="1"/>
    <col min="520" max="520" width="7.85546875" style="16" customWidth="1"/>
    <col min="521" max="523" width="0" style="16" hidden="1" customWidth="1"/>
    <col min="524" max="525" width="5.28515625" style="16" customWidth="1"/>
    <col min="526" max="526" width="5.5703125" style="16" customWidth="1"/>
    <col min="527" max="527" width="8.140625" style="16" customWidth="1"/>
    <col min="528" max="528" width="4.5703125" style="16" customWidth="1"/>
    <col min="529" max="534" width="0" style="16" hidden="1" customWidth="1"/>
    <col min="535" max="535" width="13.140625" style="16" bestFit="1" customWidth="1"/>
    <col min="536" max="536" width="7.28515625" style="16" customWidth="1"/>
    <col min="537" max="537" width="5.7109375" style="16" customWidth="1"/>
    <col min="538" max="538" width="8.5703125" style="16" customWidth="1"/>
    <col min="539" max="544" width="0" style="16" hidden="1" customWidth="1"/>
    <col min="545" max="545" width="14.140625" style="16" customWidth="1"/>
    <col min="546" max="766" width="9.140625" style="16"/>
    <col min="767" max="767" width="4.28515625" style="16" customWidth="1"/>
    <col min="768" max="768" width="21.85546875" style="16" bestFit="1" customWidth="1"/>
    <col min="769" max="769" width="7" style="16" bestFit="1" customWidth="1"/>
    <col min="770" max="771" width="4.5703125" style="16" customWidth="1"/>
    <col min="772" max="772" width="7.28515625" style="16" customWidth="1"/>
    <col min="773" max="774" width="0" style="16" hidden="1" customWidth="1"/>
    <col min="775" max="775" width="8.5703125" style="16" customWidth="1"/>
    <col min="776" max="776" width="7.85546875" style="16" customWidth="1"/>
    <col min="777" max="779" width="0" style="16" hidden="1" customWidth="1"/>
    <col min="780" max="781" width="5.28515625" style="16" customWidth="1"/>
    <col min="782" max="782" width="5.5703125" style="16" customWidth="1"/>
    <col min="783" max="783" width="8.140625" style="16" customWidth="1"/>
    <col min="784" max="784" width="4.5703125" style="16" customWidth="1"/>
    <col min="785" max="790" width="0" style="16" hidden="1" customWidth="1"/>
    <col min="791" max="791" width="13.140625" style="16" bestFit="1" customWidth="1"/>
    <col min="792" max="792" width="7.28515625" style="16" customWidth="1"/>
    <col min="793" max="793" width="5.7109375" style="16" customWidth="1"/>
    <col min="794" max="794" width="8.5703125" style="16" customWidth="1"/>
    <col min="795" max="800" width="0" style="16" hidden="1" customWidth="1"/>
    <col min="801" max="801" width="14.140625" style="16" customWidth="1"/>
    <col min="802" max="1022" width="9.140625" style="16"/>
    <col min="1023" max="1023" width="4.28515625" style="16" customWidth="1"/>
    <col min="1024" max="1024" width="21.85546875" style="16" bestFit="1" customWidth="1"/>
    <col min="1025" max="1025" width="7" style="16" bestFit="1" customWidth="1"/>
    <col min="1026" max="1027" width="4.5703125" style="16" customWidth="1"/>
    <col min="1028" max="1028" width="7.28515625" style="16" customWidth="1"/>
    <col min="1029" max="1030" width="0" style="16" hidden="1" customWidth="1"/>
    <col min="1031" max="1031" width="8.5703125" style="16" customWidth="1"/>
    <col min="1032" max="1032" width="7.85546875" style="16" customWidth="1"/>
    <col min="1033" max="1035" width="0" style="16" hidden="1" customWidth="1"/>
    <col min="1036" max="1037" width="5.28515625" style="16" customWidth="1"/>
    <col min="1038" max="1038" width="5.5703125" style="16" customWidth="1"/>
    <col min="1039" max="1039" width="8.140625" style="16" customWidth="1"/>
    <col min="1040" max="1040" width="4.5703125" style="16" customWidth="1"/>
    <col min="1041" max="1046" width="0" style="16" hidden="1" customWidth="1"/>
    <col min="1047" max="1047" width="13.140625" style="16" bestFit="1" customWidth="1"/>
    <col min="1048" max="1048" width="7.28515625" style="16" customWidth="1"/>
    <col min="1049" max="1049" width="5.7109375" style="16" customWidth="1"/>
    <col min="1050" max="1050" width="8.5703125" style="16" customWidth="1"/>
    <col min="1051" max="1056" width="0" style="16" hidden="1" customWidth="1"/>
    <col min="1057" max="1057" width="14.140625" style="16" customWidth="1"/>
    <col min="1058" max="1278" width="9.140625" style="16"/>
    <col min="1279" max="1279" width="4.28515625" style="16" customWidth="1"/>
    <col min="1280" max="1280" width="21.85546875" style="16" bestFit="1" customWidth="1"/>
    <col min="1281" max="1281" width="7" style="16" bestFit="1" customWidth="1"/>
    <col min="1282" max="1283" width="4.5703125" style="16" customWidth="1"/>
    <col min="1284" max="1284" width="7.28515625" style="16" customWidth="1"/>
    <col min="1285" max="1286" width="0" style="16" hidden="1" customWidth="1"/>
    <col min="1287" max="1287" width="8.5703125" style="16" customWidth="1"/>
    <col min="1288" max="1288" width="7.85546875" style="16" customWidth="1"/>
    <col min="1289" max="1291" width="0" style="16" hidden="1" customWidth="1"/>
    <col min="1292" max="1293" width="5.28515625" style="16" customWidth="1"/>
    <col min="1294" max="1294" width="5.5703125" style="16" customWidth="1"/>
    <col min="1295" max="1295" width="8.140625" style="16" customWidth="1"/>
    <col min="1296" max="1296" width="4.5703125" style="16" customWidth="1"/>
    <col min="1297" max="1302" width="0" style="16" hidden="1" customWidth="1"/>
    <col min="1303" max="1303" width="13.140625" style="16" bestFit="1" customWidth="1"/>
    <col min="1304" max="1304" width="7.28515625" style="16" customWidth="1"/>
    <col min="1305" max="1305" width="5.7109375" style="16" customWidth="1"/>
    <col min="1306" max="1306" width="8.5703125" style="16" customWidth="1"/>
    <col min="1307" max="1312" width="0" style="16" hidden="1" customWidth="1"/>
    <col min="1313" max="1313" width="14.140625" style="16" customWidth="1"/>
    <col min="1314" max="1534" width="9.140625" style="16"/>
    <col min="1535" max="1535" width="4.28515625" style="16" customWidth="1"/>
    <col min="1536" max="1536" width="21.85546875" style="16" bestFit="1" customWidth="1"/>
    <col min="1537" max="1537" width="7" style="16" bestFit="1" customWidth="1"/>
    <col min="1538" max="1539" width="4.5703125" style="16" customWidth="1"/>
    <col min="1540" max="1540" width="7.28515625" style="16" customWidth="1"/>
    <col min="1541" max="1542" width="0" style="16" hidden="1" customWidth="1"/>
    <col min="1543" max="1543" width="8.5703125" style="16" customWidth="1"/>
    <col min="1544" max="1544" width="7.85546875" style="16" customWidth="1"/>
    <col min="1545" max="1547" width="0" style="16" hidden="1" customWidth="1"/>
    <col min="1548" max="1549" width="5.28515625" style="16" customWidth="1"/>
    <col min="1550" max="1550" width="5.5703125" style="16" customWidth="1"/>
    <col min="1551" max="1551" width="8.140625" style="16" customWidth="1"/>
    <col min="1552" max="1552" width="4.5703125" style="16" customWidth="1"/>
    <col min="1553" max="1558" width="0" style="16" hidden="1" customWidth="1"/>
    <col min="1559" max="1559" width="13.140625" style="16" bestFit="1" customWidth="1"/>
    <col min="1560" max="1560" width="7.28515625" style="16" customWidth="1"/>
    <col min="1561" max="1561" width="5.7109375" style="16" customWidth="1"/>
    <col min="1562" max="1562" width="8.5703125" style="16" customWidth="1"/>
    <col min="1563" max="1568" width="0" style="16" hidden="1" customWidth="1"/>
    <col min="1569" max="1569" width="14.140625" style="16" customWidth="1"/>
    <col min="1570" max="1790" width="9.140625" style="16"/>
    <col min="1791" max="1791" width="4.28515625" style="16" customWidth="1"/>
    <col min="1792" max="1792" width="21.85546875" style="16" bestFit="1" customWidth="1"/>
    <col min="1793" max="1793" width="7" style="16" bestFit="1" customWidth="1"/>
    <col min="1794" max="1795" width="4.5703125" style="16" customWidth="1"/>
    <col min="1796" max="1796" width="7.28515625" style="16" customWidth="1"/>
    <col min="1797" max="1798" width="0" style="16" hidden="1" customWidth="1"/>
    <col min="1799" max="1799" width="8.5703125" style="16" customWidth="1"/>
    <col min="1800" max="1800" width="7.85546875" style="16" customWidth="1"/>
    <col min="1801" max="1803" width="0" style="16" hidden="1" customWidth="1"/>
    <col min="1804" max="1805" width="5.28515625" style="16" customWidth="1"/>
    <col min="1806" max="1806" width="5.5703125" style="16" customWidth="1"/>
    <col min="1807" max="1807" width="8.140625" style="16" customWidth="1"/>
    <col min="1808" max="1808" width="4.5703125" style="16" customWidth="1"/>
    <col min="1809" max="1814" width="0" style="16" hidden="1" customWidth="1"/>
    <col min="1815" max="1815" width="13.140625" style="16" bestFit="1" customWidth="1"/>
    <col min="1816" max="1816" width="7.28515625" style="16" customWidth="1"/>
    <col min="1817" max="1817" width="5.7109375" style="16" customWidth="1"/>
    <col min="1818" max="1818" width="8.5703125" style="16" customWidth="1"/>
    <col min="1819" max="1824" width="0" style="16" hidden="1" customWidth="1"/>
    <col min="1825" max="1825" width="14.140625" style="16" customWidth="1"/>
    <col min="1826" max="2046" width="9.140625" style="16"/>
    <col min="2047" max="2047" width="4.28515625" style="16" customWidth="1"/>
    <col min="2048" max="2048" width="21.85546875" style="16" bestFit="1" customWidth="1"/>
    <col min="2049" max="2049" width="7" style="16" bestFit="1" customWidth="1"/>
    <col min="2050" max="2051" width="4.5703125" style="16" customWidth="1"/>
    <col min="2052" max="2052" width="7.28515625" style="16" customWidth="1"/>
    <col min="2053" max="2054" width="0" style="16" hidden="1" customWidth="1"/>
    <col min="2055" max="2055" width="8.5703125" style="16" customWidth="1"/>
    <col min="2056" max="2056" width="7.85546875" style="16" customWidth="1"/>
    <col min="2057" max="2059" width="0" style="16" hidden="1" customWidth="1"/>
    <col min="2060" max="2061" width="5.28515625" style="16" customWidth="1"/>
    <col min="2062" max="2062" width="5.5703125" style="16" customWidth="1"/>
    <col min="2063" max="2063" width="8.140625" style="16" customWidth="1"/>
    <col min="2064" max="2064" width="4.5703125" style="16" customWidth="1"/>
    <col min="2065" max="2070" width="0" style="16" hidden="1" customWidth="1"/>
    <col min="2071" max="2071" width="13.140625" style="16" bestFit="1" customWidth="1"/>
    <col min="2072" max="2072" width="7.28515625" style="16" customWidth="1"/>
    <col min="2073" max="2073" width="5.7109375" style="16" customWidth="1"/>
    <col min="2074" max="2074" width="8.5703125" style="16" customWidth="1"/>
    <col min="2075" max="2080" width="0" style="16" hidden="1" customWidth="1"/>
    <col min="2081" max="2081" width="14.140625" style="16" customWidth="1"/>
    <col min="2082" max="2302" width="9.140625" style="16"/>
    <col min="2303" max="2303" width="4.28515625" style="16" customWidth="1"/>
    <col min="2304" max="2304" width="21.85546875" style="16" bestFit="1" customWidth="1"/>
    <col min="2305" max="2305" width="7" style="16" bestFit="1" customWidth="1"/>
    <col min="2306" max="2307" width="4.5703125" style="16" customWidth="1"/>
    <col min="2308" max="2308" width="7.28515625" style="16" customWidth="1"/>
    <col min="2309" max="2310" width="0" style="16" hidden="1" customWidth="1"/>
    <col min="2311" max="2311" width="8.5703125" style="16" customWidth="1"/>
    <col min="2312" max="2312" width="7.85546875" style="16" customWidth="1"/>
    <col min="2313" max="2315" width="0" style="16" hidden="1" customWidth="1"/>
    <col min="2316" max="2317" width="5.28515625" style="16" customWidth="1"/>
    <col min="2318" max="2318" width="5.5703125" style="16" customWidth="1"/>
    <col min="2319" max="2319" width="8.140625" style="16" customWidth="1"/>
    <col min="2320" max="2320" width="4.5703125" style="16" customWidth="1"/>
    <col min="2321" max="2326" width="0" style="16" hidden="1" customWidth="1"/>
    <col min="2327" max="2327" width="13.140625" style="16" bestFit="1" customWidth="1"/>
    <col min="2328" max="2328" width="7.28515625" style="16" customWidth="1"/>
    <col min="2329" max="2329" width="5.7109375" style="16" customWidth="1"/>
    <col min="2330" max="2330" width="8.5703125" style="16" customWidth="1"/>
    <col min="2331" max="2336" width="0" style="16" hidden="1" customWidth="1"/>
    <col min="2337" max="2337" width="14.140625" style="16" customWidth="1"/>
    <col min="2338" max="2558" width="9.140625" style="16"/>
    <col min="2559" max="2559" width="4.28515625" style="16" customWidth="1"/>
    <col min="2560" max="2560" width="21.85546875" style="16" bestFit="1" customWidth="1"/>
    <col min="2561" max="2561" width="7" style="16" bestFit="1" customWidth="1"/>
    <col min="2562" max="2563" width="4.5703125" style="16" customWidth="1"/>
    <col min="2564" max="2564" width="7.28515625" style="16" customWidth="1"/>
    <col min="2565" max="2566" width="0" style="16" hidden="1" customWidth="1"/>
    <col min="2567" max="2567" width="8.5703125" style="16" customWidth="1"/>
    <col min="2568" max="2568" width="7.85546875" style="16" customWidth="1"/>
    <col min="2569" max="2571" width="0" style="16" hidden="1" customWidth="1"/>
    <col min="2572" max="2573" width="5.28515625" style="16" customWidth="1"/>
    <col min="2574" max="2574" width="5.5703125" style="16" customWidth="1"/>
    <col min="2575" max="2575" width="8.140625" style="16" customWidth="1"/>
    <col min="2576" max="2576" width="4.5703125" style="16" customWidth="1"/>
    <col min="2577" max="2582" width="0" style="16" hidden="1" customWidth="1"/>
    <col min="2583" max="2583" width="13.140625" style="16" bestFit="1" customWidth="1"/>
    <col min="2584" max="2584" width="7.28515625" style="16" customWidth="1"/>
    <col min="2585" max="2585" width="5.7109375" style="16" customWidth="1"/>
    <col min="2586" max="2586" width="8.5703125" style="16" customWidth="1"/>
    <col min="2587" max="2592" width="0" style="16" hidden="1" customWidth="1"/>
    <col min="2593" max="2593" width="14.140625" style="16" customWidth="1"/>
    <col min="2594" max="2814" width="9.140625" style="16"/>
    <col min="2815" max="2815" width="4.28515625" style="16" customWidth="1"/>
    <col min="2816" max="2816" width="21.85546875" style="16" bestFit="1" customWidth="1"/>
    <col min="2817" max="2817" width="7" style="16" bestFit="1" customWidth="1"/>
    <col min="2818" max="2819" width="4.5703125" style="16" customWidth="1"/>
    <col min="2820" max="2820" width="7.28515625" style="16" customWidth="1"/>
    <col min="2821" max="2822" width="0" style="16" hidden="1" customWidth="1"/>
    <col min="2823" max="2823" width="8.5703125" style="16" customWidth="1"/>
    <col min="2824" max="2824" width="7.85546875" style="16" customWidth="1"/>
    <col min="2825" max="2827" width="0" style="16" hidden="1" customWidth="1"/>
    <col min="2828" max="2829" width="5.28515625" style="16" customWidth="1"/>
    <col min="2830" max="2830" width="5.5703125" style="16" customWidth="1"/>
    <col min="2831" max="2831" width="8.140625" style="16" customWidth="1"/>
    <col min="2832" max="2832" width="4.5703125" style="16" customWidth="1"/>
    <col min="2833" max="2838" width="0" style="16" hidden="1" customWidth="1"/>
    <col min="2839" max="2839" width="13.140625" style="16" bestFit="1" customWidth="1"/>
    <col min="2840" max="2840" width="7.28515625" style="16" customWidth="1"/>
    <col min="2841" max="2841" width="5.7109375" style="16" customWidth="1"/>
    <col min="2842" max="2842" width="8.5703125" style="16" customWidth="1"/>
    <col min="2843" max="2848" width="0" style="16" hidden="1" customWidth="1"/>
    <col min="2849" max="2849" width="14.140625" style="16" customWidth="1"/>
    <col min="2850" max="3070" width="9.140625" style="16"/>
    <col min="3071" max="3071" width="4.28515625" style="16" customWidth="1"/>
    <col min="3072" max="3072" width="21.85546875" style="16" bestFit="1" customWidth="1"/>
    <col min="3073" max="3073" width="7" style="16" bestFit="1" customWidth="1"/>
    <col min="3074" max="3075" width="4.5703125" style="16" customWidth="1"/>
    <col min="3076" max="3076" width="7.28515625" style="16" customWidth="1"/>
    <col min="3077" max="3078" width="0" style="16" hidden="1" customWidth="1"/>
    <col min="3079" max="3079" width="8.5703125" style="16" customWidth="1"/>
    <col min="3080" max="3080" width="7.85546875" style="16" customWidth="1"/>
    <col min="3081" max="3083" width="0" style="16" hidden="1" customWidth="1"/>
    <col min="3084" max="3085" width="5.28515625" style="16" customWidth="1"/>
    <col min="3086" max="3086" width="5.5703125" style="16" customWidth="1"/>
    <col min="3087" max="3087" width="8.140625" style="16" customWidth="1"/>
    <col min="3088" max="3088" width="4.5703125" style="16" customWidth="1"/>
    <col min="3089" max="3094" width="0" style="16" hidden="1" customWidth="1"/>
    <col min="3095" max="3095" width="13.140625" style="16" bestFit="1" customWidth="1"/>
    <col min="3096" max="3096" width="7.28515625" style="16" customWidth="1"/>
    <col min="3097" max="3097" width="5.7109375" style="16" customWidth="1"/>
    <col min="3098" max="3098" width="8.5703125" style="16" customWidth="1"/>
    <col min="3099" max="3104" width="0" style="16" hidden="1" customWidth="1"/>
    <col min="3105" max="3105" width="14.140625" style="16" customWidth="1"/>
    <col min="3106" max="3326" width="9.140625" style="16"/>
    <col min="3327" max="3327" width="4.28515625" style="16" customWidth="1"/>
    <col min="3328" max="3328" width="21.85546875" style="16" bestFit="1" customWidth="1"/>
    <col min="3329" max="3329" width="7" style="16" bestFit="1" customWidth="1"/>
    <col min="3330" max="3331" width="4.5703125" style="16" customWidth="1"/>
    <col min="3332" max="3332" width="7.28515625" style="16" customWidth="1"/>
    <col min="3333" max="3334" width="0" style="16" hidden="1" customWidth="1"/>
    <col min="3335" max="3335" width="8.5703125" style="16" customWidth="1"/>
    <col min="3336" max="3336" width="7.85546875" style="16" customWidth="1"/>
    <col min="3337" max="3339" width="0" style="16" hidden="1" customWidth="1"/>
    <col min="3340" max="3341" width="5.28515625" style="16" customWidth="1"/>
    <col min="3342" max="3342" width="5.5703125" style="16" customWidth="1"/>
    <col min="3343" max="3343" width="8.140625" style="16" customWidth="1"/>
    <col min="3344" max="3344" width="4.5703125" style="16" customWidth="1"/>
    <col min="3345" max="3350" width="0" style="16" hidden="1" customWidth="1"/>
    <col min="3351" max="3351" width="13.140625" style="16" bestFit="1" customWidth="1"/>
    <col min="3352" max="3352" width="7.28515625" style="16" customWidth="1"/>
    <col min="3353" max="3353" width="5.7109375" style="16" customWidth="1"/>
    <col min="3354" max="3354" width="8.5703125" style="16" customWidth="1"/>
    <col min="3355" max="3360" width="0" style="16" hidden="1" customWidth="1"/>
    <col min="3361" max="3361" width="14.140625" style="16" customWidth="1"/>
    <col min="3362" max="3582" width="9.140625" style="16"/>
    <col min="3583" max="3583" width="4.28515625" style="16" customWidth="1"/>
    <col min="3584" max="3584" width="21.85546875" style="16" bestFit="1" customWidth="1"/>
    <col min="3585" max="3585" width="7" style="16" bestFit="1" customWidth="1"/>
    <col min="3586" max="3587" width="4.5703125" style="16" customWidth="1"/>
    <col min="3588" max="3588" width="7.28515625" style="16" customWidth="1"/>
    <col min="3589" max="3590" width="0" style="16" hidden="1" customWidth="1"/>
    <col min="3591" max="3591" width="8.5703125" style="16" customWidth="1"/>
    <col min="3592" max="3592" width="7.85546875" style="16" customWidth="1"/>
    <col min="3593" max="3595" width="0" style="16" hidden="1" customWidth="1"/>
    <col min="3596" max="3597" width="5.28515625" style="16" customWidth="1"/>
    <col min="3598" max="3598" width="5.5703125" style="16" customWidth="1"/>
    <col min="3599" max="3599" width="8.140625" style="16" customWidth="1"/>
    <col min="3600" max="3600" width="4.5703125" style="16" customWidth="1"/>
    <col min="3601" max="3606" width="0" style="16" hidden="1" customWidth="1"/>
    <col min="3607" max="3607" width="13.140625" style="16" bestFit="1" customWidth="1"/>
    <col min="3608" max="3608" width="7.28515625" style="16" customWidth="1"/>
    <col min="3609" max="3609" width="5.7109375" style="16" customWidth="1"/>
    <col min="3610" max="3610" width="8.5703125" style="16" customWidth="1"/>
    <col min="3611" max="3616" width="0" style="16" hidden="1" customWidth="1"/>
    <col min="3617" max="3617" width="14.140625" style="16" customWidth="1"/>
    <col min="3618" max="3838" width="9.140625" style="16"/>
    <col min="3839" max="3839" width="4.28515625" style="16" customWidth="1"/>
    <col min="3840" max="3840" width="21.85546875" style="16" bestFit="1" customWidth="1"/>
    <col min="3841" max="3841" width="7" style="16" bestFit="1" customWidth="1"/>
    <col min="3842" max="3843" width="4.5703125" style="16" customWidth="1"/>
    <col min="3844" max="3844" width="7.28515625" style="16" customWidth="1"/>
    <col min="3845" max="3846" width="0" style="16" hidden="1" customWidth="1"/>
    <col min="3847" max="3847" width="8.5703125" style="16" customWidth="1"/>
    <col min="3848" max="3848" width="7.85546875" style="16" customWidth="1"/>
    <col min="3849" max="3851" width="0" style="16" hidden="1" customWidth="1"/>
    <col min="3852" max="3853" width="5.28515625" style="16" customWidth="1"/>
    <col min="3854" max="3854" width="5.5703125" style="16" customWidth="1"/>
    <col min="3855" max="3855" width="8.140625" style="16" customWidth="1"/>
    <col min="3856" max="3856" width="4.5703125" style="16" customWidth="1"/>
    <col min="3857" max="3862" width="0" style="16" hidden="1" customWidth="1"/>
    <col min="3863" max="3863" width="13.140625" style="16" bestFit="1" customWidth="1"/>
    <col min="3864" max="3864" width="7.28515625" style="16" customWidth="1"/>
    <col min="3865" max="3865" width="5.7109375" style="16" customWidth="1"/>
    <col min="3866" max="3866" width="8.5703125" style="16" customWidth="1"/>
    <col min="3867" max="3872" width="0" style="16" hidden="1" customWidth="1"/>
    <col min="3873" max="3873" width="14.140625" style="16" customWidth="1"/>
    <col min="3874" max="4094" width="9.140625" style="16"/>
    <col min="4095" max="4095" width="4.28515625" style="16" customWidth="1"/>
    <col min="4096" max="4096" width="21.85546875" style="16" bestFit="1" customWidth="1"/>
    <col min="4097" max="4097" width="7" style="16" bestFit="1" customWidth="1"/>
    <col min="4098" max="4099" width="4.5703125" style="16" customWidth="1"/>
    <col min="4100" max="4100" width="7.28515625" style="16" customWidth="1"/>
    <col min="4101" max="4102" width="0" style="16" hidden="1" customWidth="1"/>
    <col min="4103" max="4103" width="8.5703125" style="16" customWidth="1"/>
    <col min="4104" max="4104" width="7.85546875" style="16" customWidth="1"/>
    <col min="4105" max="4107" width="0" style="16" hidden="1" customWidth="1"/>
    <col min="4108" max="4109" width="5.28515625" style="16" customWidth="1"/>
    <col min="4110" max="4110" width="5.5703125" style="16" customWidth="1"/>
    <col min="4111" max="4111" width="8.140625" style="16" customWidth="1"/>
    <col min="4112" max="4112" width="4.5703125" style="16" customWidth="1"/>
    <col min="4113" max="4118" width="0" style="16" hidden="1" customWidth="1"/>
    <col min="4119" max="4119" width="13.140625" style="16" bestFit="1" customWidth="1"/>
    <col min="4120" max="4120" width="7.28515625" style="16" customWidth="1"/>
    <col min="4121" max="4121" width="5.7109375" style="16" customWidth="1"/>
    <col min="4122" max="4122" width="8.5703125" style="16" customWidth="1"/>
    <col min="4123" max="4128" width="0" style="16" hidden="1" customWidth="1"/>
    <col min="4129" max="4129" width="14.140625" style="16" customWidth="1"/>
    <col min="4130" max="4350" width="9.140625" style="16"/>
    <col min="4351" max="4351" width="4.28515625" style="16" customWidth="1"/>
    <col min="4352" max="4352" width="21.85546875" style="16" bestFit="1" customWidth="1"/>
    <col min="4353" max="4353" width="7" style="16" bestFit="1" customWidth="1"/>
    <col min="4354" max="4355" width="4.5703125" style="16" customWidth="1"/>
    <col min="4356" max="4356" width="7.28515625" style="16" customWidth="1"/>
    <col min="4357" max="4358" width="0" style="16" hidden="1" customWidth="1"/>
    <col min="4359" max="4359" width="8.5703125" style="16" customWidth="1"/>
    <col min="4360" max="4360" width="7.85546875" style="16" customWidth="1"/>
    <col min="4361" max="4363" width="0" style="16" hidden="1" customWidth="1"/>
    <col min="4364" max="4365" width="5.28515625" style="16" customWidth="1"/>
    <col min="4366" max="4366" width="5.5703125" style="16" customWidth="1"/>
    <col min="4367" max="4367" width="8.140625" style="16" customWidth="1"/>
    <col min="4368" max="4368" width="4.5703125" style="16" customWidth="1"/>
    <col min="4369" max="4374" width="0" style="16" hidden="1" customWidth="1"/>
    <col min="4375" max="4375" width="13.140625" style="16" bestFit="1" customWidth="1"/>
    <col min="4376" max="4376" width="7.28515625" style="16" customWidth="1"/>
    <col min="4377" max="4377" width="5.7109375" style="16" customWidth="1"/>
    <col min="4378" max="4378" width="8.5703125" style="16" customWidth="1"/>
    <col min="4379" max="4384" width="0" style="16" hidden="1" customWidth="1"/>
    <col min="4385" max="4385" width="14.140625" style="16" customWidth="1"/>
    <col min="4386" max="4606" width="9.140625" style="16"/>
    <col min="4607" max="4607" width="4.28515625" style="16" customWidth="1"/>
    <col min="4608" max="4608" width="21.85546875" style="16" bestFit="1" customWidth="1"/>
    <col min="4609" max="4609" width="7" style="16" bestFit="1" customWidth="1"/>
    <col min="4610" max="4611" width="4.5703125" style="16" customWidth="1"/>
    <col min="4612" max="4612" width="7.28515625" style="16" customWidth="1"/>
    <col min="4613" max="4614" width="0" style="16" hidden="1" customWidth="1"/>
    <col min="4615" max="4615" width="8.5703125" style="16" customWidth="1"/>
    <col min="4616" max="4616" width="7.85546875" style="16" customWidth="1"/>
    <col min="4617" max="4619" width="0" style="16" hidden="1" customWidth="1"/>
    <col min="4620" max="4621" width="5.28515625" style="16" customWidth="1"/>
    <col min="4622" max="4622" width="5.5703125" style="16" customWidth="1"/>
    <col min="4623" max="4623" width="8.140625" style="16" customWidth="1"/>
    <col min="4624" max="4624" width="4.5703125" style="16" customWidth="1"/>
    <col min="4625" max="4630" width="0" style="16" hidden="1" customWidth="1"/>
    <col min="4631" max="4631" width="13.140625" style="16" bestFit="1" customWidth="1"/>
    <col min="4632" max="4632" width="7.28515625" style="16" customWidth="1"/>
    <col min="4633" max="4633" width="5.7109375" style="16" customWidth="1"/>
    <col min="4634" max="4634" width="8.5703125" style="16" customWidth="1"/>
    <col min="4635" max="4640" width="0" style="16" hidden="1" customWidth="1"/>
    <col min="4641" max="4641" width="14.140625" style="16" customWidth="1"/>
    <col min="4642" max="4862" width="9.140625" style="16"/>
    <col min="4863" max="4863" width="4.28515625" style="16" customWidth="1"/>
    <col min="4864" max="4864" width="21.85546875" style="16" bestFit="1" customWidth="1"/>
    <col min="4865" max="4865" width="7" style="16" bestFit="1" customWidth="1"/>
    <col min="4866" max="4867" width="4.5703125" style="16" customWidth="1"/>
    <col min="4868" max="4868" width="7.28515625" style="16" customWidth="1"/>
    <col min="4869" max="4870" width="0" style="16" hidden="1" customWidth="1"/>
    <col min="4871" max="4871" width="8.5703125" style="16" customWidth="1"/>
    <col min="4872" max="4872" width="7.85546875" style="16" customWidth="1"/>
    <col min="4873" max="4875" width="0" style="16" hidden="1" customWidth="1"/>
    <col min="4876" max="4877" width="5.28515625" style="16" customWidth="1"/>
    <col min="4878" max="4878" width="5.5703125" style="16" customWidth="1"/>
    <col min="4879" max="4879" width="8.140625" style="16" customWidth="1"/>
    <col min="4880" max="4880" width="4.5703125" style="16" customWidth="1"/>
    <col min="4881" max="4886" width="0" style="16" hidden="1" customWidth="1"/>
    <col min="4887" max="4887" width="13.140625" style="16" bestFit="1" customWidth="1"/>
    <col min="4888" max="4888" width="7.28515625" style="16" customWidth="1"/>
    <col min="4889" max="4889" width="5.7109375" style="16" customWidth="1"/>
    <col min="4890" max="4890" width="8.5703125" style="16" customWidth="1"/>
    <col min="4891" max="4896" width="0" style="16" hidden="1" customWidth="1"/>
    <col min="4897" max="4897" width="14.140625" style="16" customWidth="1"/>
    <col min="4898" max="5118" width="9.140625" style="16"/>
    <col min="5119" max="5119" width="4.28515625" style="16" customWidth="1"/>
    <col min="5120" max="5120" width="21.85546875" style="16" bestFit="1" customWidth="1"/>
    <col min="5121" max="5121" width="7" style="16" bestFit="1" customWidth="1"/>
    <col min="5122" max="5123" width="4.5703125" style="16" customWidth="1"/>
    <col min="5124" max="5124" width="7.28515625" style="16" customWidth="1"/>
    <col min="5125" max="5126" width="0" style="16" hidden="1" customWidth="1"/>
    <col min="5127" max="5127" width="8.5703125" style="16" customWidth="1"/>
    <col min="5128" max="5128" width="7.85546875" style="16" customWidth="1"/>
    <col min="5129" max="5131" width="0" style="16" hidden="1" customWidth="1"/>
    <col min="5132" max="5133" width="5.28515625" style="16" customWidth="1"/>
    <col min="5134" max="5134" width="5.5703125" style="16" customWidth="1"/>
    <col min="5135" max="5135" width="8.140625" style="16" customWidth="1"/>
    <col min="5136" max="5136" width="4.5703125" style="16" customWidth="1"/>
    <col min="5137" max="5142" width="0" style="16" hidden="1" customWidth="1"/>
    <col min="5143" max="5143" width="13.140625" style="16" bestFit="1" customWidth="1"/>
    <col min="5144" max="5144" width="7.28515625" style="16" customWidth="1"/>
    <col min="5145" max="5145" width="5.7109375" style="16" customWidth="1"/>
    <col min="5146" max="5146" width="8.5703125" style="16" customWidth="1"/>
    <col min="5147" max="5152" width="0" style="16" hidden="1" customWidth="1"/>
    <col min="5153" max="5153" width="14.140625" style="16" customWidth="1"/>
    <col min="5154" max="5374" width="9.140625" style="16"/>
    <col min="5375" max="5375" width="4.28515625" style="16" customWidth="1"/>
    <col min="5376" max="5376" width="21.85546875" style="16" bestFit="1" customWidth="1"/>
    <col min="5377" max="5377" width="7" style="16" bestFit="1" customWidth="1"/>
    <col min="5378" max="5379" width="4.5703125" style="16" customWidth="1"/>
    <col min="5380" max="5380" width="7.28515625" style="16" customWidth="1"/>
    <col min="5381" max="5382" width="0" style="16" hidden="1" customWidth="1"/>
    <col min="5383" max="5383" width="8.5703125" style="16" customWidth="1"/>
    <col min="5384" max="5384" width="7.85546875" style="16" customWidth="1"/>
    <col min="5385" max="5387" width="0" style="16" hidden="1" customWidth="1"/>
    <col min="5388" max="5389" width="5.28515625" style="16" customWidth="1"/>
    <col min="5390" max="5390" width="5.5703125" style="16" customWidth="1"/>
    <col min="5391" max="5391" width="8.140625" style="16" customWidth="1"/>
    <col min="5392" max="5392" width="4.5703125" style="16" customWidth="1"/>
    <col min="5393" max="5398" width="0" style="16" hidden="1" customWidth="1"/>
    <col min="5399" max="5399" width="13.140625" style="16" bestFit="1" customWidth="1"/>
    <col min="5400" max="5400" width="7.28515625" style="16" customWidth="1"/>
    <col min="5401" max="5401" width="5.7109375" style="16" customWidth="1"/>
    <col min="5402" max="5402" width="8.5703125" style="16" customWidth="1"/>
    <col min="5403" max="5408" width="0" style="16" hidden="1" customWidth="1"/>
    <col min="5409" max="5409" width="14.140625" style="16" customWidth="1"/>
    <col min="5410" max="5630" width="9.140625" style="16"/>
    <col min="5631" max="5631" width="4.28515625" style="16" customWidth="1"/>
    <col min="5632" max="5632" width="21.85546875" style="16" bestFit="1" customWidth="1"/>
    <col min="5633" max="5633" width="7" style="16" bestFit="1" customWidth="1"/>
    <col min="5634" max="5635" width="4.5703125" style="16" customWidth="1"/>
    <col min="5636" max="5636" width="7.28515625" style="16" customWidth="1"/>
    <col min="5637" max="5638" width="0" style="16" hidden="1" customWidth="1"/>
    <col min="5639" max="5639" width="8.5703125" style="16" customWidth="1"/>
    <col min="5640" max="5640" width="7.85546875" style="16" customWidth="1"/>
    <col min="5641" max="5643" width="0" style="16" hidden="1" customWidth="1"/>
    <col min="5644" max="5645" width="5.28515625" style="16" customWidth="1"/>
    <col min="5646" max="5646" width="5.5703125" style="16" customWidth="1"/>
    <col min="5647" max="5647" width="8.140625" style="16" customWidth="1"/>
    <col min="5648" max="5648" width="4.5703125" style="16" customWidth="1"/>
    <col min="5649" max="5654" width="0" style="16" hidden="1" customWidth="1"/>
    <col min="5655" max="5655" width="13.140625" style="16" bestFit="1" customWidth="1"/>
    <col min="5656" max="5656" width="7.28515625" style="16" customWidth="1"/>
    <col min="5657" max="5657" width="5.7109375" style="16" customWidth="1"/>
    <col min="5658" max="5658" width="8.5703125" style="16" customWidth="1"/>
    <col min="5659" max="5664" width="0" style="16" hidden="1" customWidth="1"/>
    <col min="5665" max="5665" width="14.140625" style="16" customWidth="1"/>
    <col min="5666" max="5886" width="9.140625" style="16"/>
    <col min="5887" max="5887" width="4.28515625" style="16" customWidth="1"/>
    <col min="5888" max="5888" width="21.85546875" style="16" bestFit="1" customWidth="1"/>
    <col min="5889" max="5889" width="7" style="16" bestFit="1" customWidth="1"/>
    <col min="5890" max="5891" width="4.5703125" style="16" customWidth="1"/>
    <col min="5892" max="5892" width="7.28515625" style="16" customWidth="1"/>
    <col min="5893" max="5894" width="0" style="16" hidden="1" customWidth="1"/>
    <col min="5895" max="5895" width="8.5703125" style="16" customWidth="1"/>
    <col min="5896" max="5896" width="7.85546875" style="16" customWidth="1"/>
    <col min="5897" max="5899" width="0" style="16" hidden="1" customWidth="1"/>
    <col min="5900" max="5901" width="5.28515625" style="16" customWidth="1"/>
    <col min="5902" max="5902" width="5.5703125" style="16" customWidth="1"/>
    <col min="5903" max="5903" width="8.140625" style="16" customWidth="1"/>
    <col min="5904" max="5904" width="4.5703125" style="16" customWidth="1"/>
    <col min="5905" max="5910" width="0" style="16" hidden="1" customWidth="1"/>
    <col min="5911" max="5911" width="13.140625" style="16" bestFit="1" customWidth="1"/>
    <col min="5912" max="5912" width="7.28515625" style="16" customWidth="1"/>
    <col min="5913" max="5913" width="5.7109375" style="16" customWidth="1"/>
    <col min="5914" max="5914" width="8.5703125" style="16" customWidth="1"/>
    <col min="5915" max="5920" width="0" style="16" hidden="1" customWidth="1"/>
    <col min="5921" max="5921" width="14.140625" style="16" customWidth="1"/>
    <col min="5922" max="6142" width="9.140625" style="16"/>
    <col min="6143" max="6143" width="4.28515625" style="16" customWidth="1"/>
    <col min="6144" max="6144" width="21.85546875" style="16" bestFit="1" customWidth="1"/>
    <col min="6145" max="6145" width="7" style="16" bestFit="1" customWidth="1"/>
    <col min="6146" max="6147" width="4.5703125" style="16" customWidth="1"/>
    <col min="6148" max="6148" width="7.28515625" style="16" customWidth="1"/>
    <col min="6149" max="6150" width="0" style="16" hidden="1" customWidth="1"/>
    <col min="6151" max="6151" width="8.5703125" style="16" customWidth="1"/>
    <col min="6152" max="6152" width="7.85546875" style="16" customWidth="1"/>
    <col min="6153" max="6155" width="0" style="16" hidden="1" customWidth="1"/>
    <col min="6156" max="6157" width="5.28515625" style="16" customWidth="1"/>
    <col min="6158" max="6158" width="5.5703125" style="16" customWidth="1"/>
    <col min="6159" max="6159" width="8.140625" style="16" customWidth="1"/>
    <col min="6160" max="6160" width="4.5703125" style="16" customWidth="1"/>
    <col min="6161" max="6166" width="0" style="16" hidden="1" customWidth="1"/>
    <col min="6167" max="6167" width="13.140625" style="16" bestFit="1" customWidth="1"/>
    <col min="6168" max="6168" width="7.28515625" style="16" customWidth="1"/>
    <col min="6169" max="6169" width="5.7109375" style="16" customWidth="1"/>
    <col min="6170" max="6170" width="8.5703125" style="16" customWidth="1"/>
    <col min="6171" max="6176" width="0" style="16" hidden="1" customWidth="1"/>
    <col min="6177" max="6177" width="14.140625" style="16" customWidth="1"/>
    <col min="6178" max="6398" width="9.140625" style="16"/>
    <col min="6399" max="6399" width="4.28515625" style="16" customWidth="1"/>
    <col min="6400" max="6400" width="21.85546875" style="16" bestFit="1" customWidth="1"/>
    <col min="6401" max="6401" width="7" style="16" bestFit="1" customWidth="1"/>
    <col min="6402" max="6403" width="4.5703125" style="16" customWidth="1"/>
    <col min="6404" max="6404" width="7.28515625" style="16" customWidth="1"/>
    <col min="6405" max="6406" width="0" style="16" hidden="1" customWidth="1"/>
    <col min="6407" max="6407" width="8.5703125" style="16" customWidth="1"/>
    <col min="6408" max="6408" width="7.85546875" style="16" customWidth="1"/>
    <col min="6409" max="6411" width="0" style="16" hidden="1" customWidth="1"/>
    <col min="6412" max="6413" width="5.28515625" style="16" customWidth="1"/>
    <col min="6414" max="6414" width="5.5703125" style="16" customWidth="1"/>
    <col min="6415" max="6415" width="8.140625" style="16" customWidth="1"/>
    <col min="6416" max="6416" width="4.5703125" style="16" customWidth="1"/>
    <col min="6417" max="6422" width="0" style="16" hidden="1" customWidth="1"/>
    <col min="6423" max="6423" width="13.140625" style="16" bestFit="1" customWidth="1"/>
    <col min="6424" max="6424" width="7.28515625" style="16" customWidth="1"/>
    <col min="6425" max="6425" width="5.7109375" style="16" customWidth="1"/>
    <col min="6426" max="6426" width="8.5703125" style="16" customWidth="1"/>
    <col min="6427" max="6432" width="0" style="16" hidden="1" customWidth="1"/>
    <col min="6433" max="6433" width="14.140625" style="16" customWidth="1"/>
    <col min="6434" max="6654" width="9.140625" style="16"/>
    <col min="6655" max="6655" width="4.28515625" style="16" customWidth="1"/>
    <col min="6656" max="6656" width="21.85546875" style="16" bestFit="1" customWidth="1"/>
    <col min="6657" max="6657" width="7" style="16" bestFit="1" customWidth="1"/>
    <col min="6658" max="6659" width="4.5703125" style="16" customWidth="1"/>
    <col min="6660" max="6660" width="7.28515625" style="16" customWidth="1"/>
    <col min="6661" max="6662" width="0" style="16" hidden="1" customWidth="1"/>
    <col min="6663" max="6663" width="8.5703125" style="16" customWidth="1"/>
    <col min="6664" max="6664" width="7.85546875" style="16" customWidth="1"/>
    <col min="6665" max="6667" width="0" style="16" hidden="1" customWidth="1"/>
    <col min="6668" max="6669" width="5.28515625" style="16" customWidth="1"/>
    <col min="6670" max="6670" width="5.5703125" style="16" customWidth="1"/>
    <col min="6671" max="6671" width="8.140625" style="16" customWidth="1"/>
    <col min="6672" max="6672" width="4.5703125" style="16" customWidth="1"/>
    <col min="6673" max="6678" width="0" style="16" hidden="1" customWidth="1"/>
    <col min="6679" max="6679" width="13.140625" style="16" bestFit="1" customWidth="1"/>
    <col min="6680" max="6680" width="7.28515625" style="16" customWidth="1"/>
    <col min="6681" max="6681" width="5.7109375" style="16" customWidth="1"/>
    <col min="6682" max="6682" width="8.5703125" style="16" customWidth="1"/>
    <col min="6683" max="6688" width="0" style="16" hidden="1" customWidth="1"/>
    <col min="6689" max="6689" width="14.140625" style="16" customWidth="1"/>
    <col min="6690" max="6910" width="9.140625" style="16"/>
    <col min="6911" max="6911" width="4.28515625" style="16" customWidth="1"/>
    <col min="6912" max="6912" width="21.85546875" style="16" bestFit="1" customWidth="1"/>
    <col min="6913" max="6913" width="7" style="16" bestFit="1" customWidth="1"/>
    <col min="6914" max="6915" width="4.5703125" style="16" customWidth="1"/>
    <col min="6916" max="6916" width="7.28515625" style="16" customWidth="1"/>
    <col min="6917" max="6918" width="0" style="16" hidden="1" customWidth="1"/>
    <col min="6919" max="6919" width="8.5703125" style="16" customWidth="1"/>
    <col min="6920" max="6920" width="7.85546875" style="16" customWidth="1"/>
    <col min="6921" max="6923" width="0" style="16" hidden="1" customWidth="1"/>
    <col min="6924" max="6925" width="5.28515625" style="16" customWidth="1"/>
    <col min="6926" max="6926" width="5.5703125" style="16" customWidth="1"/>
    <col min="6927" max="6927" width="8.140625" style="16" customWidth="1"/>
    <col min="6928" max="6928" width="4.5703125" style="16" customWidth="1"/>
    <col min="6929" max="6934" width="0" style="16" hidden="1" customWidth="1"/>
    <col min="6935" max="6935" width="13.140625" style="16" bestFit="1" customWidth="1"/>
    <col min="6936" max="6936" width="7.28515625" style="16" customWidth="1"/>
    <col min="6937" max="6937" width="5.7109375" style="16" customWidth="1"/>
    <col min="6938" max="6938" width="8.5703125" style="16" customWidth="1"/>
    <col min="6939" max="6944" width="0" style="16" hidden="1" customWidth="1"/>
    <col min="6945" max="6945" width="14.140625" style="16" customWidth="1"/>
    <col min="6946" max="7166" width="9.140625" style="16"/>
    <col min="7167" max="7167" width="4.28515625" style="16" customWidth="1"/>
    <col min="7168" max="7168" width="21.85546875" style="16" bestFit="1" customWidth="1"/>
    <col min="7169" max="7169" width="7" style="16" bestFit="1" customWidth="1"/>
    <col min="7170" max="7171" width="4.5703125" style="16" customWidth="1"/>
    <col min="7172" max="7172" width="7.28515625" style="16" customWidth="1"/>
    <col min="7173" max="7174" width="0" style="16" hidden="1" customWidth="1"/>
    <col min="7175" max="7175" width="8.5703125" style="16" customWidth="1"/>
    <col min="7176" max="7176" width="7.85546875" style="16" customWidth="1"/>
    <col min="7177" max="7179" width="0" style="16" hidden="1" customWidth="1"/>
    <col min="7180" max="7181" width="5.28515625" style="16" customWidth="1"/>
    <col min="7182" max="7182" width="5.5703125" style="16" customWidth="1"/>
    <col min="7183" max="7183" width="8.140625" style="16" customWidth="1"/>
    <col min="7184" max="7184" width="4.5703125" style="16" customWidth="1"/>
    <col min="7185" max="7190" width="0" style="16" hidden="1" customWidth="1"/>
    <col min="7191" max="7191" width="13.140625" style="16" bestFit="1" customWidth="1"/>
    <col min="7192" max="7192" width="7.28515625" style="16" customWidth="1"/>
    <col min="7193" max="7193" width="5.7109375" style="16" customWidth="1"/>
    <col min="7194" max="7194" width="8.5703125" style="16" customWidth="1"/>
    <col min="7195" max="7200" width="0" style="16" hidden="1" customWidth="1"/>
    <col min="7201" max="7201" width="14.140625" style="16" customWidth="1"/>
    <col min="7202" max="7422" width="9.140625" style="16"/>
    <col min="7423" max="7423" width="4.28515625" style="16" customWidth="1"/>
    <col min="7424" max="7424" width="21.85546875" style="16" bestFit="1" customWidth="1"/>
    <col min="7425" max="7425" width="7" style="16" bestFit="1" customWidth="1"/>
    <col min="7426" max="7427" width="4.5703125" style="16" customWidth="1"/>
    <col min="7428" max="7428" width="7.28515625" style="16" customWidth="1"/>
    <col min="7429" max="7430" width="0" style="16" hidden="1" customWidth="1"/>
    <col min="7431" max="7431" width="8.5703125" style="16" customWidth="1"/>
    <col min="7432" max="7432" width="7.85546875" style="16" customWidth="1"/>
    <col min="7433" max="7435" width="0" style="16" hidden="1" customWidth="1"/>
    <col min="7436" max="7437" width="5.28515625" style="16" customWidth="1"/>
    <col min="7438" max="7438" width="5.5703125" style="16" customWidth="1"/>
    <col min="7439" max="7439" width="8.140625" style="16" customWidth="1"/>
    <col min="7440" max="7440" width="4.5703125" style="16" customWidth="1"/>
    <col min="7441" max="7446" width="0" style="16" hidden="1" customWidth="1"/>
    <col min="7447" max="7447" width="13.140625" style="16" bestFit="1" customWidth="1"/>
    <col min="7448" max="7448" width="7.28515625" style="16" customWidth="1"/>
    <col min="7449" max="7449" width="5.7109375" style="16" customWidth="1"/>
    <col min="7450" max="7450" width="8.5703125" style="16" customWidth="1"/>
    <col min="7451" max="7456" width="0" style="16" hidden="1" customWidth="1"/>
    <col min="7457" max="7457" width="14.140625" style="16" customWidth="1"/>
    <col min="7458" max="7678" width="9.140625" style="16"/>
    <col min="7679" max="7679" width="4.28515625" style="16" customWidth="1"/>
    <col min="7680" max="7680" width="21.85546875" style="16" bestFit="1" customWidth="1"/>
    <col min="7681" max="7681" width="7" style="16" bestFit="1" customWidth="1"/>
    <col min="7682" max="7683" width="4.5703125" style="16" customWidth="1"/>
    <col min="7684" max="7684" width="7.28515625" style="16" customWidth="1"/>
    <col min="7685" max="7686" width="0" style="16" hidden="1" customWidth="1"/>
    <col min="7687" max="7687" width="8.5703125" style="16" customWidth="1"/>
    <col min="7688" max="7688" width="7.85546875" style="16" customWidth="1"/>
    <col min="7689" max="7691" width="0" style="16" hidden="1" customWidth="1"/>
    <col min="7692" max="7693" width="5.28515625" style="16" customWidth="1"/>
    <col min="7694" max="7694" width="5.5703125" style="16" customWidth="1"/>
    <col min="7695" max="7695" width="8.140625" style="16" customWidth="1"/>
    <col min="7696" max="7696" width="4.5703125" style="16" customWidth="1"/>
    <col min="7697" max="7702" width="0" style="16" hidden="1" customWidth="1"/>
    <col min="7703" max="7703" width="13.140625" style="16" bestFit="1" customWidth="1"/>
    <col min="7704" max="7704" width="7.28515625" style="16" customWidth="1"/>
    <col min="7705" max="7705" width="5.7109375" style="16" customWidth="1"/>
    <col min="7706" max="7706" width="8.5703125" style="16" customWidth="1"/>
    <col min="7707" max="7712" width="0" style="16" hidden="1" customWidth="1"/>
    <col min="7713" max="7713" width="14.140625" style="16" customWidth="1"/>
    <col min="7714" max="7934" width="9.140625" style="16"/>
    <col min="7935" max="7935" width="4.28515625" style="16" customWidth="1"/>
    <col min="7936" max="7936" width="21.85546875" style="16" bestFit="1" customWidth="1"/>
    <col min="7937" max="7937" width="7" style="16" bestFit="1" customWidth="1"/>
    <col min="7938" max="7939" width="4.5703125" style="16" customWidth="1"/>
    <col min="7940" max="7940" width="7.28515625" style="16" customWidth="1"/>
    <col min="7941" max="7942" width="0" style="16" hidden="1" customWidth="1"/>
    <col min="7943" max="7943" width="8.5703125" style="16" customWidth="1"/>
    <col min="7944" max="7944" width="7.85546875" style="16" customWidth="1"/>
    <col min="7945" max="7947" width="0" style="16" hidden="1" customWidth="1"/>
    <col min="7948" max="7949" width="5.28515625" style="16" customWidth="1"/>
    <col min="7950" max="7950" width="5.5703125" style="16" customWidth="1"/>
    <col min="7951" max="7951" width="8.140625" style="16" customWidth="1"/>
    <col min="7952" max="7952" width="4.5703125" style="16" customWidth="1"/>
    <col min="7953" max="7958" width="0" style="16" hidden="1" customWidth="1"/>
    <col min="7959" max="7959" width="13.140625" style="16" bestFit="1" customWidth="1"/>
    <col min="7960" max="7960" width="7.28515625" style="16" customWidth="1"/>
    <col min="7961" max="7961" width="5.7109375" style="16" customWidth="1"/>
    <col min="7962" max="7962" width="8.5703125" style="16" customWidth="1"/>
    <col min="7963" max="7968" width="0" style="16" hidden="1" customWidth="1"/>
    <col min="7969" max="7969" width="14.140625" style="16" customWidth="1"/>
    <col min="7970" max="8190" width="9.140625" style="16"/>
    <col min="8191" max="8191" width="4.28515625" style="16" customWidth="1"/>
    <col min="8192" max="8192" width="21.85546875" style="16" bestFit="1" customWidth="1"/>
    <col min="8193" max="8193" width="7" style="16" bestFit="1" customWidth="1"/>
    <col min="8194" max="8195" width="4.5703125" style="16" customWidth="1"/>
    <col min="8196" max="8196" width="7.28515625" style="16" customWidth="1"/>
    <col min="8197" max="8198" width="0" style="16" hidden="1" customWidth="1"/>
    <col min="8199" max="8199" width="8.5703125" style="16" customWidth="1"/>
    <col min="8200" max="8200" width="7.85546875" style="16" customWidth="1"/>
    <col min="8201" max="8203" width="0" style="16" hidden="1" customWidth="1"/>
    <col min="8204" max="8205" width="5.28515625" style="16" customWidth="1"/>
    <col min="8206" max="8206" width="5.5703125" style="16" customWidth="1"/>
    <col min="8207" max="8207" width="8.140625" style="16" customWidth="1"/>
    <col min="8208" max="8208" width="4.5703125" style="16" customWidth="1"/>
    <col min="8209" max="8214" width="0" style="16" hidden="1" customWidth="1"/>
    <col min="8215" max="8215" width="13.140625" style="16" bestFit="1" customWidth="1"/>
    <col min="8216" max="8216" width="7.28515625" style="16" customWidth="1"/>
    <col min="8217" max="8217" width="5.7109375" style="16" customWidth="1"/>
    <col min="8218" max="8218" width="8.5703125" style="16" customWidth="1"/>
    <col min="8219" max="8224" width="0" style="16" hidden="1" customWidth="1"/>
    <col min="8225" max="8225" width="14.140625" style="16" customWidth="1"/>
    <col min="8226" max="8446" width="9.140625" style="16"/>
    <col min="8447" max="8447" width="4.28515625" style="16" customWidth="1"/>
    <col min="8448" max="8448" width="21.85546875" style="16" bestFit="1" customWidth="1"/>
    <col min="8449" max="8449" width="7" style="16" bestFit="1" customWidth="1"/>
    <col min="8450" max="8451" width="4.5703125" style="16" customWidth="1"/>
    <col min="8452" max="8452" width="7.28515625" style="16" customWidth="1"/>
    <col min="8453" max="8454" width="0" style="16" hidden="1" customWidth="1"/>
    <col min="8455" max="8455" width="8.5703125" style="16" customWidth="1"/>
    <col min="8456" max="8456" width="7.85546875" style="16" customWidth="1"/>
    <col min="8457" max="8459" width="0" style="16" hidden="1" customWidth="1"/>
    <col min="8460" max="8461" width="5.28515625" style="16" customWidth="1"/>
    <col min="8462" max="8462" width="5.5703125" style="16" customWidth="1"/>
    <col min="8463" max="8463" width="8.140625" style="16" customWidth="1"/>
    <col min="8464" max="8464" width="4.5703125" style="16" customWidth="1"/>
    <col min="8465" max="8470" width="0" style="16" hidden="1" customWidth="1"/>
    <col min="8471" max="8471" width="13.140625" style="16" bestFit="1" customWidth="1"/>
    <col min="8472" max="8472" width="7.28515625" style="16" customWidth="1"/>
    <col min="8473" max="8473" width="5.7109375" style="16" customWidth="1"/>
    <col min="8474" max="8474" width="8.5703125" style="16" customWidth="1"/>
    <col min="8475" max="8480" width="0" style="16" hidden="1" customWidth="1"/>
    <col min="8481" max="8481" width="14.140625" style="16" customWidth="1"/>
    <col min="8482" max="8702" width="9.140625" style="16"/>
    <col min="8703" max="8703" width="4.28515625" style="16" customWidth="1"/>
    <col min="8704" max="8704" width="21.85546875" style="16" bestFit="1" customWidth="1"/>
    <col min="8705" max="8705" width="7" style="16" bestFit="1" customWidth="1"/>
    <col min="8706" max="8707" width="4.5703125" style="16" customWidth="1"/>
    <col min="8708" max="8708" width="7.28515625" style="16" customWidth="1"/>
    <col min="8709" max="8710" width="0" style="16" hidden="1" customWidth="1"/>
    <col min="8711" max="8711" width="8.5703125" style="16" customWidth="1"/>
    <col min="8712" max="8712" width="7.85546875" style="16" customWidth="1"/>
    <col min="8713" max="8715" width="0" style="16" hidden="1" customWidth="1"/>
    <col min="8716" max="8717" width="5.28515625" style="16" customWidth="1"/>
    <col min="8718" max="8718" width="5.5703125" style="16" customWidth="1"/>
    <col min="8719" max="8719" width="8.140625" style="16" customWidth="1"/>
    <col min="8720" max="8720" width="4.5703125" style="16" customWidth="1"/>
    <col min="8721" max="8726" width="0" style="16" hidden="1" customWidth="1"/>
    <col min="8727" max="8727" width="13.140625" style="16" bestFit="1" customWidth="1"/>
    <col min="8728" max="8728" width="7.28515625" style="16" customWidth="1"/>
    <col min="8729" max="8729" width="5.7109375" style="16" customWidth="1"/>
    <col min="8730" max="8730" width="8.5703125" style="16" customWidth="1"/>
    <col min="8731" max="8736" width="0" style="16" hidden="1" customWidth="1"/>
    <col min="8737" max="8737" width="14.140625" style="16" customWidth="1"/>
    <col min="8738" max="8958" width="9.140625" style="16"/>
    <col min="8959" max="8959" width="4.28515625" style="16" customWidth="1"/>
    <col min="8960" max="8960" width="21.85546875" style="16" bestFit="1" customWidth="1"/>
    <col min="8961" max="8961" width="7" style="16" bestFit="1" customWidth="1"/>
    <col min="8962" max="8963" width="4.5703125" style="16" customWidth="1"/>
    <col min="8964" max="8964" width="7.28515625" style="16" customWidth="1"/>
    <col min="8965" max="8966" width="0" style="16" hidden="1" customWidth="1"/>
    <col min="8967" max="8967" width="8.5703125" style="16" customWidth="1"/>
    <col min="8968" max="8968" width="7.85546875" style="16" customWidth="1"/>
    <col min="8969" max="8971" width="0" style="16" hidden="1" customWidth="1"/>
    <col min="8972" max="8973" width="5.28515625" style="16" customWidth="1"/>
    <col min="8974" max="8974" width="5.5703125" style="16" customWidth="1"/>
    <col min="8975" max="8975" width="8.140625" style="16" customWidth="1"/>
    <col min="8976" max="8976" width="4.5703125" style="16" customWidth="1"/>
    <col min="8977" max="8982" width="0" style="16" hidden="1" customWidth="1"/>
    <col min="8983" max="8983" width="13.140625" style="16" bestFit="1" customWidth="1"/>
    <col min="8984" max="8984" width="7.28515625" style="16" customWidth="1"/>
    <col min="8985" max="8985" width="5.7109375" style="16" customWidth="1"/>
    <col min="8986" max="8986" width="8.5703125" style="16" customWidth="1"/>
    <col min="8987" max="8992" width="0" style="16" hidden="1" customWidth="1"/>
    <col min="8993" max="8993" width="14.140625" style="16" customWidth="1"/>
    <col min="8994" max="9214" width="9.140625" style="16"/>
    <col min="9215" max="9215" width="4.28515625" style="16" customWidth="1"/>
    <col min="9216" max="9216" width="21.85546875" style="16" bestFit="1" customWidth="1"/>
    <col min="9217" max="9217" width="7" style="16" bestFit="1" customWidth="1"/>
    <col min="9218" max="9219" width="4.5703125" style="16" customWidth="1"/>
    <col min="9220" max="9220" width="7.28515625" style="16" customWidth="1"/>
    <col min="9221" max="9222" width="0" style="16" hidden="1" customWidth="1"/>
    <col min="9223" max="9223" width="8.5703125" style="16" customWidth="1"/>
    <col min="9224" max="9224" width="7.85546875" style="16" customWidth="1"/>
    <col min="9225" max="9227" width="0" style="16" hidden="1" customWidth="1"/>
    <col min="9228" max="9229" width="5.28515625" style="16" customWidth="1"/>
    <col min="9230" max="9230" width="5.5703125" style="16" customWidth="1"/>
    <col min="9231" max="9231" width="8.140625" style="16" customWidth="1"/>
    <col min="9232" max="9232" width="4.5703125" style="16" customWidth="1"/>
    <col min="9233" max="9238" width="0" style="16" hidden="1" customWidth="1"/>
    <col min="9239" max="9239" width="13.140625" style="16" bestFit="1" customWidth="1"/>
    <col min="9240" max="9240" width="7.28515625" style="16" customWidth="1"/>
    <col min="9241" max="9241" width="5.7109375" style="16" customWidth="1"/>
    <col min="9242" max="9242" width="8.5703125" style="16" customWidth="1"/>
    <col min="9243" max="9248" width="0" style="16" hidden="1" customWidth="1"/>
    <col min="9249" max="9249" width="14.140625" style="16" customWidth="1"/>
    <col min="9250" max="9470" width="9.140625" style="16"/>
    <col min="9471" max="9471" width="4.28515625" style="16" customWidth="1"/>
    <col min="9472" max="9472" width="21.85546875" style="16" bestFit="1" customWidth="1"/>
    <col min="9473" max="9473" width="7" style="16" bestFit="1" customWidth="1"/>
    <col min="9474" max="9475" width="4.5703125" style="16" customWidth="1"/>
    <col min="9476" max="9476" width="7.28515625" style="16" customWidth="1"/>
    <col min="9477" max="9478" width="0" style="16" hidden="1" customWidth="1"/>
    <col min="9479" max="9479" width="8.5703125" style="16" customWidth="1"/>
    <col min="9480" max="9480" width="7.85546875" style="16" customWidth="1"/>
    <col min="9481" max="9483" width="0" style="16" hidden="1" customWidth="1"/>
    <col min="9484" max="9485" width="5.28515625" style="16" customWidth="1"/>
    <col min="9486" max="9486" width="5.5703125" style="16" customWidth="1"/>
    <col min="9487" max="9487" width="8.140625" style="16" customWidth="1"/>
    <col min="9488" max="9488" width="4.5703125" style="16" customWidth="1"/>
    <col min="9489" max="9494" width="0" style="16" hidden="1" customWidth="1"/>
    <col min="9495" max="9495" width="13.140625" style="16" bestFit="1" customWidth="1"/>
    <col min="9496" max="9496" width="7.28515625" style="16" customWidth="1"/>
    <col min="9497" max="9497" width="5.7109375" style="16" customWidth="1"/>
    <col min="9498" max="9498" width="8.5703125" style="16" customWidth="1"/>
    <col min="9499" max="9504" width="0" style="16" hidden="1" customWidth="1"/>
    <col min="9505" max="9505" width="14.140625" style="16" customWidth="1"/>
    <col min="9506" max="9726" width="9.140625" style="16"/>
    <col min="9727" max="9727" width="4.28515625" style="16" customWidth="1"/>
    <col min="9728" max="9728" width="21.85546875" style="16" bestFit="1" customWidth="1"/>
    <col min="9729" max="9729" width="7" style="16" bestFit="1" customWidth="1"/>
    <col min="9730" max="9731" width="4.5703125" style="16" customWidth="1"/>
    <col min="9732" max="9732" width="7.28515625" style="16" customWidth="1"/>
    <col min="9733" max="9734" width="0" style="16" hidden="1" customWidth="1"/>
    <col min="9735" max="9735" width="8.5703125" style="16" customWidth="1"/>
    <col min="9736" max="9736" width="7.85546875" style="16" customWidth="1"/>
    <col min="9737" max="9739" width="0" style="16" hidden="1" customWidth="1"/>
    <col min="9740" max="9741" width="5.28515625" style="16" customWidth="1"/>
    <col min="9742" max="9742" width="5.5703125" style="16" customWidth="1"/>
    <col min="9743" max="9743" width="8.140625" style="16" customWidth="1"/>
    <col min="9744" max="9744" width="4.5703125" style="16" customWidth="1"/>
    <col min="9745" max="9750" width="0" style="16" hidden="1" customWidth="1"/>
    <col min="9751" max="9751" width="13.140625" style="16" bestFit="1" customWidth="1"/>
    <col min="9752" max="9752" width="7.28515625" style="16" customWidth="1"/>
    <col min="9753" max="9753" width="5.7109375" style="16" customWidth="1"/>
    <col min="9754" max="9754" width="8.5703125" style="16" customWidth="1"/>
    <col min="9755" max="9760" width="0" style="16" hidden="1" customWidth="1"/>
    <col min="9761" max="9761" width="14.140625" style="16" customWidth="1"/>
    <col min="9762" max="9982" width="9.140625" style="16"/>
    <col min="9983" max="9983" width="4.28515625" style="16" customWidth="1"/>
    <col min="9984" max="9984" width="21.85546875" style="16" bestFit="1" customWidth="1"/>
    <col min="9985" max="9985" width="7" style="16" bestFit="1" customWidth="1"/>
    <col min="9986" max="9987" width="4.5703125" style="16" customWidth="1"/>
    <col min="9988" max="9988" width="7.28515625" style="16" customWidth="1"/>
    <col min="9989" max="9990" width="0" style="16" hidden="1" customWidth="1"/>
    <col min="9991" max="9991" width="8.5703125" style="16" customWidth="1"/>
    <col min="9992" max="9992" width="7.85546875" style="16" customWidth="1"/>
    <col min="9993" max="9995" width="0" style="16" hidden="1" customWidth="1"/>
    <col min="9996" max="9997" width="5.28515625" style="16" customWidth="1"/>
    <col min="9998" max="9998" width="5.5703125" style="16" customWidth="1"/>
    <col min="9999" max="9999" width="8.140625" style="16" customWidth="1"/>
    <col min="10000" max="10000" width="4.5703125" style="16" customWidth="1"/>
    <col min="10001" max="10006" width="0" style="16" hidden="1" customWidth="1"/>
    <col min="10007" max="10007" width="13.140625" style="16" bestFit="1" customWidth="1"/>
    <col min="10008" max="10008" width="7.28515625" style="16" customWidth="1"/>
    <col min="10009" max="10009" width="5.7109375" style="16" customWidth="1"/>
    <col min="10010" max="10010" width="8.5703125" style="16" customWidth="1"/>
    <col min="10011" max="10016" width="0" style="16" hidden="1" customWidth="1"/>
    <col min="10017" max="10017" width="14.140625" style="16" customWidth="1"/>
    <col min="10018" max="10238" width="9.140625" style="16"/>
    <col min="10239" max="10239" width="4.28515625" style="16" customWidth="1"/>
    <col min="10240" max="10240" width="21.85546875" style="16" bestFit="1" customWidth="1"/>
    <col min="10241" max="10241" width="7" style="16" bestFit="1" customWidth="1"/>
    <col min="10242" max="10243" width="4.5703125" style="16" customWidth="1"/>
    <col min="10244" max="10244" width="7.28515625" style="16" customWidth="1"/>
    <col min="10245" max="10246" width="0" style="16" hidden="1" customWidth="1"/>
    <col min="10247" max="10247" width="8.5703125" style="16" customWidth="1"/>
    <col min="10248" max="10248" width="7.85546875" style="16" customWidth="1"/>
    <col min="10249" max="10251" width="0" style="16" hidden="1" customWidth="1"/>
    <col min="10252" max="10253" width="5.28515625" style="16" customWidth="1"/>
    <col min="10254" max="10254" width="5.5703125" style="16" customWidth="1"/>
    <col min="10255" max="10255" width="8.140625" style="16" customWidth="1"/>
    <col min="10256" max="10256" width="4.5703125" style="16" customWidth="1"/>
    <col min="10257" max="10262" width="0" style="16" hidden="1" customWidth="1"/>
    <col min="10263" max="10263" width="13.140625" style="16" bestFit="1" customWidth="1"/>
    <col min="10264" max="10264" width="7.28515625" style="16" customWidth="1"/>
    <col min="10265" max="10265" width="5.7109375" style="16" customWidth="1"/>
    <col min="10266" max="10266" width="8.5703125" style="16" customWidth="1"/>
    <col min="10267" max="10272" width="0" style="16" hidden="1" customWidth="1"/>
    <col min="10273" max="10273" width="14.140625" style="16" customWidth="1"/>
    <col min="10274" max="10494" width="9.140625" style="16"/>
    <col min="10495" max="10495" width="4.28515625" style="16" customWidth="1"/>
    <col min="10496" max="10496" width="21.85546875" style="16" bestFit="1" customWidth="1"/>
    <col min="10497" max="10497" width="7" style="16" bestFit="1" customWidth="1"/>
    <col min="10498" max="10499" width="4.5703125" style="16" customWidth="1"/>
    <col min="10500" max="10500" width="7.28515625" style="16" customWidth="1"/>
    <col min="10501" max="10502" width="0" style="16" hidden="1" customWidth="1"/>
    <col min="10503" max="10503" width="8.5703125" style="16" customWidth="1"/>
    <col min="10504" max="10504" width="7.85546875" style="16" customWidth="1"/>
    <col min="10505" max="10507" width="0" style="16" hidden="1" customWidth="1"/>
    <col min="10508" max="10509" width="5.28515625" style="16" customWidth="1"/>
    <col min="10510" max="10510" width="5.5703125" style="16" customWidth="1"/>
    <col min="10511" max="10511" width="8.140625" style="16" customWidth="1"/>
    <col min="10512" max="10512" width="4.5703125" style="16" customWidth="1"/>
    <col min="10513" max="10518" width="0" style="16" hidden="1" customWidth="1"/>
    <col min="10519" max="10519" width="13.140625" style="16" bestFit="1" customWidth="1"/>
    <col min="10520" max="10520" width="7.28515625" style="16" customWidth="1"/>
    <col min="10521" max="10521" width="5.7109375" style="16" customWidth="1"/>
    <col min="10522" max="10522" width="8.5703125" style="16" customWidth="1"/>
    <col min="10523" max="10528" width="0" style="16" hidden="1" customWidth="1"/>
    <col min="10529" max="10529" width="14.140625" style="16" customWidth="1"/>
    <col min="10530" max="10750" width="9.140625" style="16"/>
    <col min="10751" max="10751" width="4.28515625" style="16" customWidth="1"/>
    <col min="10752" max="10752" width="21.85546875" style="16" bestFit="1" customWidth="1"/>
    <col min="10753" max="10753" width="7" style="16" bestFit="1" customWidth="1"/>
    <col min="10754" max="10755" width="4.5703125" style="16" customWidth="1"/>
    <col min="10756" max="10756" width="7.28515625" style="16" customWidth="1"/>
    <col min="10757" max="10758" width="0" style="16" hidden="1" customWidth="1"/>
    <col min="10759" max="10759" width="8.5703125" style="16" customWidth="1"/>
    <col min="10760" max="10760" width="7.85546875" style="16" customWidth="1"/>
    <col min="10761" max="10763" width="0" style="16" hidden="1" customWidth="1"/>
    <col min="10764" max="10765" width="5.28515625" style="16" customWidth="1"/>
    <col min="10766" max="10766" width="5.5703125" style="16" customWidth="1"/>
    <col min="10767" max="10767" width="8.140625" style="16" customWidth="1"/>
    <col min="10768" max="10768" width="4.5703125" style="16" customWidth="1"/>
    <col min="10769" max="10774" width="0" style="16" hidden="1" customWidth="1"/>
    <col min="10775" max="10775" width="13.140625" style="16" bestFit="1" customWidth="1"/>
    <col min="10776" max="10776" width="7.28515625" style="16" customWidth="1"/>
    <col min="10777" max="10777" width="5.7109375" style="16" customWidth="1"/>
    <col min="10778" max="10778" width="8.5703125" style="16" customWidth="1"/>
    <col min="10779" max="10784" width="0" style="16" hidden="1" customWidth="1"/>
    <col min="10785" max="10785" width="14.140625" style="16" customWidth="1"/>
    <col min="10786" max="11006" width="9.140625" style="16"/>
    <col min="11007" max="11007" width="4.28515625" style="16" customWidth="1"/>
    <col min="11008" max="11008" width="21.85546875" style="16" bestFit="1" customWidth="1"/>
    <col min="11009" max="11009" width="7" style="16" bestFit="1" customWidth="1"/>
    <col min="11010" max="11011" width="4.5703125" style="16" customWidth="1"/>
    <col min="11012" max="11012" width="7.28515625" style="16" customWidth="1"/>
    <col min="11013" max="11014" width="0" style="16" hidden="1" customWidth="1"/>
    <col min="11015" max="11015" width="8.5703125" style="16" customWidth="1"/>
    <col min="11016" max="11016" width="7.85546875" style="16" customWidth="1"/>
    <col min="11017" max="11019" width="0" style="16" hidden="1" customWidth="1"/>
    <col min="11020" max="11021" width="5.28515625" style="16" customWidth="1"/>
    <col min="11022" max="11022" width="5.5703125" style="16" customWidth="1"/>
    <col min="11023" max="11023" width="8.140625" style="16" customWidth="1"/>
    <col min="11024" max="11024" width="4.5703125" style="16" customWidth="1"/>
    <col min="11025" max="11030" width="0" style="16" hidden="1" customWidth="1"/>
    <col min="11031" max="11031" width="13.140625" style="16" bestFit="1" customWidth="1"/>
    <col min="11032" max="11032" width="7.28515625" style="16" customWidth="1"/>
    <col min="11033" max="11033" width="5.7109375" style="16" customWidth="1"/>
    <col min="11034" max="11034" width="8.5703125" style="16" customWidth="1"/>
    <col min="11035" max="11040" width="0" style="16" hidden="1" customWidth="1"/>
    <col min="11041" max="11041" width="14.140625" style="16" customWidth="1"/>
    <col min="11042" max="11262" width="9.140625" style="16"/>
    <col min="11263" max="11263" width="4.28515625" style="16" customWidth="1"/>
    <col min="11264" max="11264" width="21.85546875" style="16" bestFit="1" customWidth="1"/>
    <col min="11265" max="11265" width="7" style="16" bestFit="1" customWidth="1"/>
    <col min="11266" max="11267" width="4.5703125" style="16" customWidth="1"/>
    <col min="11268" max="11268" width="7.28515625" style="16" customWidth="1"/>
    <col min="11269" max="11270" width="0" style="16" hidden="1" customWidth="1"/>
    <col min="11271" max="11271" width="8.5703125" style="16" customWidth="1"/>
    <col min="11272" max="11272" width="7.85546875" style="16" customWidth="1"/>
    <col min="11273" max="11275" width="0" style="16" hidden="1" customWidth="1"/>
    <col min="11276" max="11277" width="5.28515625" style="16" customWidth="1"/>
    <col min="11278" max="11278" width="5.5703125" style="16" customWidth="1"/>
    <col min="11279" max="11279" width="8.140625" style="16" customWidth="1"/>
    <col min="11280" max="11280" width="4.5703125" style="16" customWidth="1"/>
    <col min="11281" max="11286" width="0" style="16" hidden="1" customWidth="1"/>
    <col min="11287" max="11287" width="13.140625" style="16" bestFit="1" customWidth="1"/>
    <col min="11288" max="11288" width="7.28515625" style="16" customWidth="1"/>
    <col min="11289" max="11289" width="5.7109375" style="16" customWidth="1"/>
    <col min="11290" max="11290" width="8.5703125" style="16" customWidth="1"/>
    <col min="11291" max="11296" width="0" style="16" hidden="1" customWidth="1"/>
    <col min="11297" max="11297" width="14.140625" style="16" customWidth="1"/>
    <col min="11298" max="11518" width="9.140625" style="16"/>
    <col min="11519" max="11519" width="4.28515625" style="16" customWidth="1"/>
    <col min="11520" max="11520" width="21.85546875" style="16" bestFit="1" customWidth="1"/>
    <col min="11521" max="11521" width="7" style="16" bestFit="1" customWidth="1"/>
    <col min="11522" max="11523" width="4.5703125" style="16" customWidth="1"/>
    <col min="11524" max="11524" width="7.28515625" style="16" customWidth="1"/>
    <col min="11525" max="11526" width="0" style="16" hidden="1" customWidth="1"/>
    <col min="11527" max="11527" width="8.5703125" style="16" customWidth="1"/>
    <col min="11528" max="11528" width="7.85546875" style="16" customWidth="1"/>
    <col min="11529" max="11531" width="0" style="16" hidden="1" customWidth="1"/>
    <col min="11532" max="11533" width="5.28515625" style="16" customWidth="1"/>
    <col min="11534" max="11534" width="5.5703125" style="16" customWidth="1"/>
    <col min="11535" max="11535" width="8.140625" style="16" customWidth="1"/>
    <col min="11536" max="11536" width="4.5703125" style="16" customWidth="1"/>
    <col min="11537" max="11542" width="0" style="16" hidden="1" customWidth="1"/>
    <col min="11543" max="11543" width="13.140625" style="16" bestFit="1" customWidth="1"/>
    <col min="11544" max="11544" width="7.28515625" style="16" customWidth="1"/>
    <col min="11545" max="11545" width="5.7109375" style="16" customWidth="1"/>
    <col min="11546" max="11546" width="8.5703125" style="16" customWidth="1"/>
    <col min="11547" max="11552" width="0" style="16" hidden="1" customWidth="1"/>
    <col min="11553" max="11553" width="14.140625" style="16" customWidth="1"/>
    <col min="11554" max="11774" width="9.140625" style="16"/>
    <col min="11775" max="11775" width="4.28515625" style="16" customWidth="1"/>
    <col min="11776" max="11776" width="21.85546875" style="16" bestFit="1" customWidth="1"/>
    <col min="11777" max="11777" width="7" style="16" bestFit="1" customWidth="1"/>
    <col min="11778" max="11779" width="4.5703125" style="16" customWidth="1"/>
    <col min="11780" max="11780" width="7.28515625" style="16" customWidth="1"/>
    <col min="11781" max="11782" width="0" style="16" hidden="1" customWidth="1"/>
    <col min="11783" max="11783" width="8.5703125" style="16" customWidth="1"/>
    <col min="11784" max="11784" width="7.85546875" style="16" customWidth="1"/>
    <col min="11785" max="11787" width="0" style="16" hidden="1" customWidth="1"/>
    <col min="11788" max="11789" width="5.28515625" style="16" customWidth="1"/>
    <col min="11790" max="11790" width="5.5703125" style="16" customWidth="1"/>
    <col min="11791" max="11791" width="8.140625" style="16" customWidth="1"/>
    <col min="11792" max="11792" width="4.5703125" style="16" customWidth="1"/>
    <col min="11793" max="11798" width="0" style="16" hidden="1" customWidth="1"/>
    <col min="11799" max="11799" width="13.140625" style="16" bestFit="1" customWidth="1"/>
    <col min="11800" max="11800" width="7.28515625" style="16" customWidth="1"/>
    <col min="11801" max="11801" width="5.7109375" style="16" customWidth="1"/>
    <col min="11802" max="11802" width="8.5703125" style="16" customWidth="1"/>
    <col min="11803" max="11808" width="0" style="16" hidden="1" customWidth="1"/>
    <col min="11809" max="11809" width="14.140625" style="16" customWidth="1"/>
    <col min="11810" max="12030" width="9.140625" style="16"/>
    <col min="12031" max="12031" width="4.28515625" style="16" customWidth="1"/>
    <col min="12032" max="12032" width="21.85546875" style="16" bestFit="1" customWidth="1"/>
    <col min="12033" max="12033" width="7" style="16" bestFit="1" customWidth="1"/>
    <col min="12034" max="12035" width="4.5703125" style="16" customWidth="1"/>
    <col min="12036" max="12036" width="7.28515625" style="16" customWidth="1"/>
    <col min="12037" max="12038" width="0" style="16" hidden="1" customWidth="1"/>
    <col min="12039" max="12039" width="8.5703125" style="16" customWidth="1"/>
    <col min="12040" max="12040" width="7.85546875" style="16" customWidth="1"/>
    <col min="12041" max="12043" width="0" style="16" hidden="1" customWidth="1"/>
    <col min="12044" max="12045" width="5.28515625" style="16" customWidth="1"/>
    <col min="12046" max="12046" width="5.5703125" style="16" customWidth="1"/>
    <col min="12047" max="12047" width="8.140625" style="16" customWidth="1"/>
    <col min="12048" max="12048" width="4.5703125" style="16" customWidth="1"/>
    <col min="12049" max="12054" width="0" style="16" hidden="1" customWidth="1"/>
    <col min="12055" max="12055" width="13.140625" style="16" bestFit="1" customWidth="1"/>
    <col min="12056" max="12056" width="7.28515625" style="16" customWidth="1"/>
    <col min="12057" max="12057" width="5.7109375" style="16" customWidth="1"/>
    <col min="12058" max="12058" width="8.5703125" style="16" customWidth="1"/>
    <col min="12059" max="12064" width="0" style="16" hidden="1" customWidth="1"/>
    <col min="12065" max="12065" width="14.140625" style="16" customWidth="1"/>
    <col min="12066" max="12286" width="9.140625" style="16"/>
    <col min="12287" max="12287" width="4.28515625" style="16" customWidth="1"/>
    <col min="12288" max="12288" width="21.85546875" style="16" bestFit="1" customWidth="1"/>
    <col min="12289" max="12289" width="7" style="16" bestFit="1" customWidth="1"/>
    <col min="12290" max="12291" width="4.5703125" style="16" customWidth="1"/>
    <col min="12292" max="12292" width="7.28515625" style="16" customWidth="1"/>
    <col min="12293" max="12294" width="0" style="16" hidden="1" customWidth="1"/>
    <col min="12295" max="12295" width="8.5703125" style="16" customWidth="1"/>
    <col min="12296" max="12296" width="7.85546875" style="16" customWidth="1"/>
    <col min="12297" max="12299" width="0" style="16" hidden="1" customWidth="1"/>
    <col min="12300" max="12301" width="5.28515625" style="16" customWidth="1"/>
    <col min="12302" max="12302" width="5.5703125" style="16" customWidth="1"/>
    <col min="12303" max="12303" width="8.140625" style="16" customWidth="1"/>
    <col min="12304" max="12304" width="4.5703125" style="16" customWidth="1"/>
    <col min="12305" max="12310" width="0" style="16" hidden="1" customWidth="1"/>
    <col min="12311" max="12311" width="13.140625" style="16" bestFit="1" customWidth="1"/>
    <col min="12312" max="12312" width="7.28515625" style="16" customWidth="1"/>
    <col min="12313" max="12313" width="5.7109375" style="16" customWidth="1"/>
    <col min="12314" max="12314" width="8.5703125" style="16" customWidth="1"/>
    <col min="12315" max="12320" width="0" style="16" hidden="1" customWidth="1"/>
    <col min="12321" max="12321" width="14.140625" style="16" customWidth="1"/>
    <col min="12322" max="12542" width="9.140625" style="16"/>
    <col min="12543" max="12543" width="4.28515625" style="16" customWidth="1"/>
    <col min="12544" max="12544" width="21.85546875" style="16" bestFit="1" customWidth="1"/>
    <col min="12545" max="12545" width="7" style="16" bestFit="1" customWidth="1"/>
    <col min="12546" max="12547" width="4.5703125" style="16" customWidth="1"/>
    <col min="12548" max="12548" width="7.28515625" style="16" customWidth="1"/>
    <col min="12549" max="12550" width="0" style="16" hidden="1" customWidth="1"/>
    <col min="12551" max="12551" width="8.5703125" style="16" customWidth="1"/>
    <col min="12552" max="12552" width="7.85546875" style="16" customWidth="1"/>
    <col min="12553" max="12555" width="0" style="16" hidden="1" customWidth="1"/>
    <col min="12556" max="12557" width="5.28515625" style="16" customWidth="1"/>
    <col min="12558" max="12558" width="5.5703125" style="16" customWidth="1"/>
    <col min="12559" max="12559" width="8.140625" style="16" customWidth="1"/>
    <col min="12560" max="12560" width="4.5703125" style="16" customWidth="1"/>
    <col min="12561" max="12566" width="0" style="16" hidden="1" customWidth="1"/>
    <col min="12567" max="12567" width="13.140625" style="16" bestFit="1" customWidth="1"/>
    <col min="12568" max="12568" width="7.28515625" style="16" customWidth="1"/>
    <col min="12569" max="12569" width="5.7109375" style="16" customWidth="1"/>
    <col min="12570" max="12570" width="8.5703125" style="16" customWidth="1"/>
    <col min="12571" max="12576" width="0" style="16" hidden="1" customWidth="1"/>
    <col min="12577" max="12577" width="14.140625" style="16" customWidth="1"/>
    <col min="12578" max="12798" width="9.140625" style="16"/>
    <col min="12799" max="12799" width="4.28515625" style="16" customWidth="1"/>
    <col min="12800" max="12800" width="21.85546875" style="16" bestFit="1" customWidth="1"/>
    <col min="12801" max="12801" width="7" style="16" bestFit="1" customWidth="1"/>
    <col min="12802" max="12803" width="4.5703125" style="16" customWidth="1"/>
    <col min="12804" max="12804" width="7.28515625" style="16" customWidth="1"/>
    <col min="12805" max="12806" width="0" style="16" hidden="1" customWidth="1"/>
    <col min="12807" max="12807" width="8.5703125" style="16" customWidth="1"/>
    <col min="12808" max="12808" width="7.85546875" style="16" customWidth="1"/>
    <col min="12809" max="12811" width="0" style="16" hidden="1" customWidth="1"/>
    <col min="12812" max="12813" width="5.28515625" style="16" customWidth="1"/>
    <col min="12814" max="12814" width="5.5703125" style="16" customWidth="1"/>
    <col min="12815" max="12815" width="8.140625" style="16" customWidth="1"/>
    <col min="12816" max="12816" width="4.5703125" style="16" customWidth="1"/>
    <col min="12817" max="12822" width="0" style="16" hidden="1" customWidth="1"/>
    <col min="12823" max="12823" width="13.140625" style="16" bestFit="1" customWidth="1"/>
    <col min="12824" max="12824" width="7.28515625" style="16" customWidth="1"/>
    <col min="12825" max="12825" width="5.7109375" style="16" customWidth="1"/>
    <col min="12826" max="12826" width="8.5703125" style="16" customWidth="1"/>
    <col min="12827" max="12832" width="0" style="16" hidden="1" customWidth="1"/>
    <col min="12833" max="12833" width="14.140625" style="16" customWidth="1"/>
    <col min="12834" max="13054" width="9.140625" style="16"/>
    <col min="13055" max="13055" width="4.28515625" style="16" customWidth="1"/>
    <col min="13056" max="13056" width="21.85546875" style="16" bestFit="1" customWidth="1"/>
    <col min="13057" max="13057" width="7" style="16" bestFit="1" customWidth="1"/>
    <col min="13058" max="13059" width="4.5703125" style="16" customWidth="1"/>
    <col min="13060" max="13060" width="7.28515625" style="16" customWidth="1"/>
    <col min="13061" max="13062" width="0" style="16" hidden="1" customWidth="1"/>
    <col min="13063" max="13063" width="8.5703125" style="16" customWidth="1"/>
    <col min="13064" max="13064" width="7.85546875" style="16" customWidth="1"/>
    <col min="13065" max="13067" width="0" style="16" hidden="1" customWidth="1"/>
    <col min="13068" max="13069" width="5.28515625" style="16" customWidth="1"/>
    <col min="13070" max="13070" width="5.5703125" style="16" customWidth="1"/>
    <col min="13071" max="13071" width="8.140625" style="16" customWidth="1"/>
    <col min="13072" max="13072" width="4.5703125" style="16" customWidth="1"/>
    <col min="13073" max="13078" width="0" style="16" hidden="1" customWidth="1"/>
    <col min="13079" max="13079" width="13.140625" style="16" bestFit="1" customWidth="1"/>
    <col min="13080" max="13080" width="7.28515625" style="16" customWidth="1"/>
    <col min="13081" max="13081" width="5.7109375" style="16" customWidth="1"/>
    <col min="13082" max="13082" width="8.5703125" style="16" customWidth="1"/>
    <col min="13083" max="13088" width="0" style="16" hidden="1" customWidth="1"/>
    <col min="13089" max="13089" width="14.140625" style="16" customWidth="1"/>
    <col min="13090" max="13310" width="9.140625" style="16"/>
    <col min="13311" max="13311" width="4.28515625" style="16" customWidth="1"/>
    <col min="13312" max="13312" width="21.85546875" style="16" bestFit="1" customWidth="1"/>
    <col min="13313" max="13313" width="7" style="16" bestFit="1" customWidth="1"/>
    <col min="13314" max="13315" width="4.5703125" style="16" customWidth="1"/>
    <col min="13316" max="13316" width="7.28515625" style="16" customWidth="1"/>
    <col min="13317" max="13318" width="0" style="16" hidden="1" customWidth="1"/>
    <col min="13319" max="13319" width="8.5703125" style="16" customWidth="1"/>
    <col min="13320" max="13320" width="7.85546875" style="16" customWidth="1"/>
    <col min="13321" max="13323" width="0" style="16" hidden="1" customWidth="1"/>
    <col min="13324" max="13325" width="5.28515625" style="16" customWidth="1"/>
    <col min="13326" max="13326" width="5.5703125" style="16" customWidth="1"/>
    <col min="13327" max="13327" width="8.140625" style="16" customWidth="1"/>
    <col min="13328" max="13328" width="4.5703125" style="16" customWidth="1"/>
    <col min="13329" max="13334" width="0" style="16" hidden="1" customWidth="1"/>
    <col min="13335" max="13335" width="13.140625" style="16" bestFit="1" customWidth="1"/>
    <col min="13336" max="13336" width="7.28515625" style="16" customWidth="1"/>
    <col min="13337" max="13337" width="5.7109375" style="16" customWidth="1"/>
    <col min="13338" max="13338" width="8.5703125" style="16" customWidth="1"/>
    <col min="13339" max="13344" width="0" style="16" hidden="1" customWidth="1"/>
    <col min="13345" max="13345" width="14.140625" style="16" customWidth="1"/>
    <col min="13346" max="13566" width="9.140625" style="16"/>
    <col min="13567" max="13567" width="4.28515625" style="16" customWidth="1"/>
    <col min="13568" max="13568" width="21.85546875" style="16" bestFit="1" customWidth="1"/>
    <col min="13569" max="13569" width="7" style="16" bestFit="1" customWidth="1"/>
    <col min="13570" max="13571" width="4.5703125" style="16" customWidth="1"/>
    <col min="13572" max="13572" width="7.28515625" style="16" customWidth="1"/>
    <col min="13573" max="13574" width="0" style="16" hidden="1" customWidth="1"/>
    <col min="13575" max="13575" width="8.5703125" style="16" customWidth="1"/>
    <col min="13576" max="13576" width="7.85546875" style="16" customWidth="1"/>
    <col min="13577" max="13579" width="0" style="16" hidden="1" customWidth="1"/>
    <col min="13580" max="13581" width="5.28515625" style="16" customWidth="1"/>
    <col min="13582" max="13582" width="5.5703125" style="16" customWidth="1"/>
    <col min="13583" max="13583" width="8.140625" style="16" customWidth="1"/>
    <col min="13584" max="13584" width="4.5703125" style="16" customWidth="1"/>
    <col min="13585" max="13590" width="0" style="16" hidden="1" customWidth="1"/>
    <col min="13591" max="13591" width="13.140625" style="16" bestFit="1" customWidth="1"/>
    <col min="13592" max="13592" width="7.28515625" style="16" customWidth="1"/>
    <col min="13593" max="13593" width="5.7109375" style="16" customWidth="1"/>
    <col min="13594" max="13594" width="8.5703125" style="16" customWidth="1"/>
    <col min="13595" max="13600" width="0" style="16" hidden="1" customWidth="1"/>
    <col min="13601" max="13601" width="14.140625" style="16" customWidth="1"/>
    <col min="13602" max="13822" width="9.140625" style="16"/>
    <col min="13823" max="13823" width="4.28515625" style="16" customWidth="1"/>
    <col min="13824" max="13824" width="21.85546875" style="16" bestFit="1" customWidth="1"/>
    <col min="13825" max="13825" width="7" style="16" bestFit="1" customWidth="1"/>
    <col min="13826" max="13827" width="4.5703125" style="16" customWidth="1"/>
    <col min="13828" max="13828" width="7.28515625" style="16" customWidth="1"/>
    <col min="13829" max="13830" width="0" style="16" hidden="1" customWidth="1"/>
    <col min="13831" max="13831" width="8.5703125" style="16" customWidth="1"/>
    <col min="13832" max="13832" width="7.85546875" style="16" customWidth="1"/>
    <col min="13833" max="13835" width="0" style="16" hidden="1" customWidth="1"/>
    <col min="13836" max="13837" width="5.28515625" style="16" customWidth="1"/>
    <col min="13838" max="13838" width="5.5703125" style="16" customWidth="1"/>
    <col min="13839" max="13839" width="8.140625" style="16" customWidth="1"/>
    <col min="13840" max="13840" width="4.5703125" style="16" customWidth="1"/>
    <col min="13841" max="13846" width="0" style="16" hidden="1" customWidth="1"/>
    <col min="13847" max="13847" width="13.140625" style="16" bestFit="1" customWidth="1"/>
    <col min="13848" max="13848" width="7.28515625" style="16" customWidth="1"/>
    <col min="13849" max="13849" width="5.7109375" style="16" customWidth="1"/>
    <col min="13850" max="13850" width="8.5703125" style="16" customWidth="1"/>
    <col min="13851" max="13856" width="0" style="16" hidden="1" customWidth="1"/>
    <col min="13857" max="13857" width="14.140625" style="16" customWidth="1"/>
    <col min="13858" max="14078" width="9.140625" style="16"/>
    <col min="14079" max="14079" width="4.28515625" style="16" customWidth="1"/>
    <col min="14080" max="14080" width="21.85546875" style="16" bestFit="1" customWidth="1"/>
    <col min="14081" max="14081" width="7" style="16" bestFit="1" customWidth="1"/>
    <col min="14082" max="14083" width="4.5703125" style="16" customWidth="1"/>
    <col min="14084" max="14084" width="7.28515625" style="16" customWidth="1"/>
    <col min="14085" max="14086" width="0" style="16" hidden="1" customWidth="1"/>
    <col min="14087" max="14087" width="8.5703125" style="16" customWidth="1"/>
    <col min="14088" max="14088" width="7.85546875" style="16" customWidth="1"/>
    <col min="14089" max="14091" width="0" style="16" hidden="1" customWidth="1"/>
    <col min="14092" max="14093" width="5.28515625" style="16" customWidth="1"/>
    <col min="14094" max="14094" width="5.5703125" style="16" customWidth="1"/>
    <col min="14095" max="14095" width="8.140625" style="16" customWidth="1"/>
    <col min="14096" max="14096" width="4.5703125" style="16" customWidth="1"/>
    <col min="14097" max="14102" width="0" style="16" hidden="1" customWidth="1"/>
    <col min="14103" max="14103" width="13.140625" style="16" bestFit="1" customWidth="1"/>
    <col min="14104" max="14104" width="7.28515625" style="16" customWidth="1"/>
    <col min="14105" max="14105" width="5.7109375" style="16" customWidth="1"/>
    <col min="14106" max="14106" width="8.5703125" style="16" customWidth="1"/>
    <col min="14107" max="14112" width="0" style="16" hidden="1" customWidth="1"/>
    <col min="14113" max="14113" width="14.140625" style="16" customWidth="1"/>
    <col min="14114" max="14334" width="9.140625" style="16"/>
    <col min="14335" max="14335" width="4.28515625" style="16" customWidth="1"/>
    <col min="14336" max="14336" width="21.85546875" style="16" bestFit="1" customWidth="1"/>
    <col min="14337" max="14337" width="7" style="16" bestFit="1" customWidth="1"/>
    <col min="14338" max="14339" width="4.5703125" style="16" customWidth="1"/>
    <col min="14340" max="14340" width="7.28515625" style="16" customWidth="1"/>
    <col min="14341" max="14342" width="0" style="16" hidden="1" customWidth="1"/>
    <col min="14343" max="14343" width="8.5703125" style="16" customWidth="1"/>
    <col min="14344" max="14344" width="7.85546875" style="16" customWidth="1"/>
    <col min="14345" max="14347" width="0" style="16" hidden="1" customWidth="1"/>
    <col min="14348" max="14349" width="5.28515625" style="16" customWidth="1"/>
    <col min="14350" max="14350" width="5.5703125" style="16" customWidth="1"/>
    <col min="14351" max="14351" width="8.140625" style="16" customWidth="1"/>
    <col min="14352" max="14352" width="4.5703125" style="16" customWidth="1"/>
    <col min="14353" max="14358" width="0" style="16" hidden="1" customWidth="1"/>
    <col min="14359" max="14359" width="13.140625" style="16" bestFit="1" customWidth="1"/>
    <col min="14360" max="14360" width="7.28515625" style="16" customWidth="1"/>
    <col min="14361" max="14361" width="5.7109375" style="16" customWidth="1"/>
    <col min="14362" max="14362" width="8.5703125" style="16" customWidth="1"/>
    <col min="14363" max="14368" width="0" style="16" hidden="1" customWidth="1"/>
    <col min="14369" max="14369" width="14.140625" style="16" customWidth="1"/>
    <col min="14370" max="14590" width="9.140625" style="16"/>
    <col min="14591" max="14591" width="4.28515625" style="16" customWidth="1"/>
    <col min="14592" max="14592" width="21.85546875" style="16" bestFit="1" customWidth="1"/>
    <col min="14593" max="14593" width="7" style="16" bestFit="1" customWidth="1"/>
    <col min="14594" max="14595" width="4.5703125" style="16" customWidth="1"/>
    <col min="14596" max="14596" width="7.28515625" style="16" customWidth="1"/>
    <col min="14597" max="14598" width="0" style="16" hidden="1" customWidth="1"/>
    <col min="14599" max="14599" width="8.5703125" style="16" customWidth="1"/>
    <col min="14600" max="14600" width="7.85546875" style="16" customWidth="1"/>
    <col min="14601" max="14603" width="0" style="16" hidden="1" customWidth="1"/>
    <col min="14604" max="14605" width="5.28515625" style="16" customWidth="1"/>
    <col min="14606" max="14606" width="5.5703125" style="16" customWidth="1"/>
    <col min="14607" max="14607" width="8.140625" style="16" customWidth="1"/>
    <col min="14608" max="14608" width="4.5703125" style="16" customWidth="1"/>
    <col min="14609" max="14614" width="0" style="16" hidden="1" customWidth="1"/>
    <col min="14615" max="14615" width="13.140625" style="16" bestFit="1" customWidth="1"/>
    <col min="14616" max="14616" width="7.28515625" style="16" customWidth="1"/>
    <col min="14617" max="14617" width="5.7109375" style="16" customWidth="1"/>
    <col min="14618" max="14618" width="8.5703125" style="16" customWidth="1"/>
    <col min="14619" max="14624" width="0" style="16" hidden="1" customWidth="1"/>
    <col min="14625" max="14625" width="14.140625" style="16" customWidth="1"/>
    <col min="14626" max="14846" width="9.140625" style="16"/>
    <col min="14847" max="14847" width="4.28515625" style="16" customWidth="1"/>
    <col min="14848" max="14848" width="21.85546875" style="16" bestFit="1" customWidth="1"/>
    <col min="14849" max="14849" width="7" style="16" bestFit="1" customWidth="1"/>
    <col min="14850" max="14851" width="4.5703125" style="16" customWidth="1"/>
    <col min="14852" max="14852" width="7.28515625" style="16" customWidth="1"/>
    <col min="14853" max="14854" width="0" style="16" hidden="1" customWidth="1"/>
    <col min="14855" max="14855" width="8.5703125" style="16" customWidth="1"/>
    <col min="14856" max="14856" width="7.85546875" style="16" customWidth="1"/>
    <col min="14857" max="14859" width="0" style="16" hidden="1" customWidth="1"/>
    <col min="14860" max="14861" width="5.28515625" style="16" customWidth="1"/>
    <col min="14862" max="14862" width="5.5703125" style="16" customWidth="1"/>
    <col min="14863" max="14863" width="8.140625" style="16" customWidth="1"/>
    <col min="14864" max="14864" width="4.5703125" style="16" customWidth="1"/>
    <col min="14865" max="14870" width="0" style="16" hidden="1" customWidth="1"/>
    <col min="14871" max="14871" width="13.140625" style="16" bestFit="1" customWidth="1"/>
    <col min="14872" max="14872" width="7.28515625" style="16" customWidth="1"/>
    <col min="14873" max="14873" width="5.7109375" style="16" customWidth="1"/>
    <col min="14874" max="14874" width="8.5703125" style="16" customWidth="1"/>
    <col min="14875" max="14880" width="0" style="16" hidden="1" customWidth="1"/>
    <col min="14881" max="14881" width="14.140625" style="16" customWidth="1"/>
    <col min="14882" max="15102" width="9.140625" style="16"/>
    <col min="15103" max="15103" width="4.28515625" style="16" customWidth="1"/>
    <col min="15104" max="15104" width="21.85546875" style="16" bestFit="1" customWidth="1"/>
    <col min="15105" max="15105" width="7" style="16" bestFit="1" customWidth="1"/>
    <col min="15106" max="15107" width="4.5703125" style="16" customWidth="1"/>
    <col min="15108" max="15108" width="7.28515625" style="16" customWidth="1"/>
    <col min="15109" max="15110" width="0" style="16" hidden="1" customWidth="1"/>
    <col min="15111" max="15111" width="8.5703125" style="16" customWidth="1"/>
    <col min="15112" max="15112" width="7.85546875" style="16" customWidth="1"/>
    <col min="15113" max="15115" width="0" style="16" hidden="1" customWidth="1"/>
    <col min="15116" max="15117" width="5.28515625" style="16" customWidth="1"/>
    <col min="15118" max="15118" width="5.5703125" style="16" customWidth="1"/>
    <col min="15119" max="15119" width="8.140625" style="16" customWidth="1"/>
    <col min="15120" max="15120" width="4.5703125" style="16" customWidth="1"/>
    <col min="15121" max="15126" width="0" style="16" hidden="1" customWidth="1"/>
    <col min="15127" max="15127" width="13.140625" style="16" bestFit="1" customWidth="1"/>
    <col min="15128" max="15128" width="7.28515625" style="16" customWidth="1"/>
    <col min="15129" max="15129" width="5.7109375" style="16" customWidth="1"/>
    <col min="15130" max="15130" width="8.5703125" style="16" customWidth="1"/>
    <col min="15131" max="15136" width="0" style="16" hidden="1" customWidth="1"/>
    <col min="15137" max="15137" width="14.140625" style="16" customWidth="1"/>
    <col min="15138" max="15358" width="9.140625" style="16"/>
    <col min="15359" max="15359" width="4.28515625" style="16" customWidth="1"/>
    <col min="15360" max="15360" width="21.85546875" style="16" bestFit="1" customWidth="1"/>
    <col min="15361" max="15361" width="7" style="16" bestFit="1" customWidth="1"/>
    <col min="15362" max="15363" width="4.5703125" style="16" customWidth="1"/>
    <col min="15364" max="15364" width="7.28515625" style="16" customWidth="1"/>
    <col min="15365" max="15366" width="0" style="16" hidden="1" customWidth="1"/>
    <col min="15367" max="15367" width="8.5703125" style="16" customWidth="1"/>
    <col min="15368" max="15368" width="7.85546875" style="16" customWidth="1"/>
    <col min="15369" max="15371" width="0" style="16" hidden="1" customWidth="1"/>
    <col min="15372" max="15373" width="5.28515625" style="16" customWidth="1"/>
    <col min="15374" max="15374" width="5.5703125" style="16" customWidth="1"/>
    <col min="15375" max="15375" width="8.140625" style="16" customWidth="1"/>
    <col min="15376" max="15376" width="4.5703125" style="16" customWidth="1"/>
    <col min="15377" max="15382" width="0" style="16" hidden="1" customWidth="1"/>
    <col min="15383" max="15383" width="13.140625" style="16" bestFit="1" customWidth="1"/>
    <col min="15384" max="15384" width="7.28515625" style="16" customWidth="1"/>
    <col min="15385" max="15385" width="5.7109375" style="16" customWidth="1"/>
    <col min="15386" max="15386" width="8.5703125" style="16" customWidth="1"/>
    <col min="15387" max="15392" width="0" style="16" hidden="1" customWidth="1"/>
    <col min="15393" max="15393" width="14.140625" style="16" customWidth="1"/>
    <col min="15394" max="15614" width="9.140625" style="16"/>
    <col min="15615" max="15615" width="4.28515625" style="16" customWidth="1"/>
    <col min="15616" max="15616" width="21.85546875" style="16" bestFit="1" customWidth="1"/>
    <col min="15617" max="15617" width="7" style="16" bestFit="1" customWidth="1"/>
    <col min="15618" max="15619" width="4.5703125" style="16" customWidth="1"/>
    <col min="15620" max="15620" width="7.28515625" style="16" customWidth="1"/>
    <col min="15621" max="15622" width="0" style="16" hidden="1" customWidth="1"/>
    <col min="15623" max="15623" width="8.5703125" style="16" customWidth="1"/>
    <col min="15624" max="15624" width="7.85546875" style="16" customWidth="1"/>
    <col min="15625" max="15627" width="0" style="16" hidden="1" customWidth="1"/>
    <col min="15628" max="15629" width="5.28515625" style="16" customWidth="1"/>
    <col min="15630" max="15630" width="5.5703125" style="16" customWidth="1"/>
    <col min="15631" max="15631" width="8.140625" style="16" customWidth="1"/>
    <col min="15632" max="15632" width="4.5703125" style="16" customWidth="1"/>
    <col min="15633" max="15638" width="0" style="16" hidden="1" customWidth="1"/>
    <col min="15639" max="15639" width="13.140625" style="16" bestFit="1" customWidth="1"/>
    <col min="15640" max="15640" width="7.28515625" style="16" customWidth="1"/>
    <col min="15641" max="15641" width="5.7109375" style="16" customWidth="1"/>
    <col min="15642" max="15642" width="8.5703125" style="16" customWidth="1"/>
    <col min="15643" max="15648" width="0" style="16" hidden="1" customWidth="1"/>
    <col min="15649" max="15649" width="14.140625" style="16" customWidth="1"/>
    <col min="15650" max="15870" width="9.140625" style="16"/>
    <col min="15871" max="15871" width="4.28515625" style="16" customWidth="1"/>
    <col min="15872" max="15872" width="21.85546875" style="16" bestFit="1" customWidth="1"/>
    <col min="15873" max="15873" width="7" style="16" bestFit="1" customWidth="1"/>
    <col min="15874" max="15875" width="4.5703125" style="16" customWidth="1"/>
    <col min="15876" max="15876" width="7.28515625" style="16" customWidth="1"/>
    <col min="15877" max="15878" width="0" style="16" hidden="1" customWidth="1"/>
    <col min="15879" max="15879" width="8.5703125" style="16" customWidth="1"/>
    <col min="15880" max="15880" width="7.85546875" style="16" customWidth="1"/>
    <col min="15881" max="15883" width="0" style="16" hidden="1" customWidth="1"/>
    <col min="15884" max="15885" width="5.28515625" style="16" customWidth="1"/>
    <col min="15886" max="15886" width="5.5703125" style="16" customWidth="1"/>
    <col min="15887" max="15887" width="8.140625" style="16" customWidth="1"/>
    <col min="15888" max="15888" width="4.5703125" style="16" customWidth="1"/>
    <col min="15889" max="15894" width="0" style="16" hidden="1" customWidth="1"/>
    <col min="15895" max="15895" width="13.140625" style="16" bestFit="1" customWidth="1"/>
    <col min="15896" max="15896" width="7.28515625" style="16" customWidth="1"/>
    <col min="15897" max="15897" width="5.7109375" style="16" customWidth="1"/>
    <col min="15898" max="15898" width="8.5703125" style="16" customWidth="1"/>
    <col min="15899" max="15904" width="0" style="16" hidden="1" customWidth="1"/>
    <col min="15905" max="15905" width="14.140625" style="16" customWidth="1"/>
    <col min="15906" max="16126" width="9.140625" style="16"/>
    <col min="16127" max="16127" width="4.28515625" style="16" customWidth="1"/>
    <col min="16128" max="16128" width="21.85546875" style="16" bestFit="1" customWidth="1"/>
    <col min="16129" max="16129" width="7" style="16" bestFit="1" customWidth="1"/>
    <col min="16130" max="16131" width="4.5703125" style="16" customWidth="1"/>
    <col min="16132" max="16132" width="7.28515625" style="16" customWidth="1"/>
    <col min="16133" max="16134" width="0" style="16" hidden="1" customWidth="1"/>
    <col min="16135" max="16135" width="8.5703125" style="16" customWidth="1"/>
    <col min="16136" max="16136" width="7.85546875" style="16" customWidth="1"/>
    <col min="16137" max="16139" width="0" style="16" hidden="1" customWidth="1"/>
    <col min="16140" max="16141" width="5.28515625" style="16" customWidth="1"/>
    <col min="16142" max="16142" width="5.5703125" style="16" customWidth="1"/>
    <col min="16143" max="16143" width="8.140625" style="16" customWidth="1"/>
    <col min="16144" max="16144" width="4.5703125" style="16" customWidth="1"/>
    <col min="16145" max="16150" width="0" style="16" hidden="1" customWidth="1"/>
    <col min="16151" max="16151" width="13.140625" style="16" bestFit="1" customWidth="1"/>
    <col min="16152" max="16152" width="7.28515625" style="16" customWidth="1"/>
    <col min="16153" max="16153" width="5.7109375" style="16" customWidth="1"/>
    <col min="16154" max="16154" width="8.5703125" style="16" customWidth="1"/>
    <col min="16155" max="16160" width="0" style="16" hidden="1" customWidth="1"/>
    <col min="16161" max="16161" width="14.140625" style="16" customWidth="1"/>
    <col min="16162" max="16381" width="9.140625" style="16"/>
    <col min="16382" max="16384" width="9.140625" style="16" customWidth="1"/>
  </cols>
  <sheetData>
    <row r="1" spans="1:36" ht="17.100000000000001" customHeight="1">
      <c r="A1" s="11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2"/>
      <c r="S1" s="12"/>
      <c r="T1" s="12"/>
      <c r="U1" s="12"/>
      <c r="V1" s="12"/>
      <c r="W1" s="12"/>
      <c r="X1" s="12"/>
      <c r="Y1" s="12"/>
      <c r="Z1" s="13"/>
      <c r="AA1" s="12"/>
      <c r="AB1" s="12"/>
      <c r="AC1" s="13"/>
    </row>
    <row r="2" spans="1:36" ht="17.100000000000001" hidden="1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2"/>
      <c r="S2" s="12"/>
      <c r="T2" s="12"/>
      <c r="U2" s="12"/>
      <c r="V2" s="12"/>
      <c r="W2" s="12"/>
      <c r="X2" s="12"/>
      <c r="Y2" s="12"/>
      <c r="Z2" s="13"/>
      <c r="AA2" s="12"/>
      <c r="AB2" s="12"/>
      <c r="AC2" s="13"/>
    </row>
    <row r="3" spans="1:36" s="185" customFormat="1" ht="24" customHeight="1">
      <c r="A3" s="179" t="s">
        <v>23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80"/>
      <c r="N3" s="179"/>
      <c r="O3" s="181" t="s">
        <v>24</v>
      </c>
      <c r="P3" s="179"/>
      <c r="Q3" s="179"/>
      <c r="R3" s="179"/>
      <c r="S3" s="179"/>
      <c r="T3" s="179"/>
      <c r="U3" s="180"/>
      <c r="V3" s="180"/>
      <c r="W3" s="180"/>
      <c r="X3" s="180"/>
      <c r="Y3" s="179"/>
      <c r="Z3" s="180"/>
      <c r="AA3" s="179"/>
      <c r="AB3" s="179"/>
      <c r="AC3" s="182"/>
      <c r="AD3" s="183"/>
      <c r="AE3" s="184"/>
      <c r="AF3" s="183"/>
      <c r="AH3" s="183"/>
    </row>
    <row r="4" spans="1:36" s="185" customFormat="1" ht="17.100000000000001" customHeight="1">
      <c r="A4" s="179"/>
      <c r="B4" s="179"/>
      <c r="C4" s="179"/>
      <c r="D4" s="179"/>
      <c r="E4" s="179"/>
      <c r="F4" s="179" t="s">
        <v>194</v>
      </c>
      <c r="G4" s="179"/>
      <c r="H4" s="186"/>
      <c r="I4" s="179">
        <v>1</v>
      </c>
      <c r="J4" s="179"/>
      <c r="K4" s="179"/>
      <c r="L4" s="179"/>
      <c r="M4" s="180"/>
      <c r="N4" s="179"/>
      <c r="O4" s="181" t="s">
        <v>209</v>
      </c>
      <c r="P4" s="179"/>
      <c r="Q4" s="179"/>
      <c r="R4" s="179"/>
      <c r="S4" s="179"/>
      <c r="T4" s="179"/>
      <c r="U4" s="180"/>
      <c r="V4" s="180"/>
      <c r="W4" s="180"/>
      <c r="X4" s="180"/>
      <c r="Y4" s="187"/>
      <c r="Z4" s="186"/>
      <c r="AA4" s="186"/>
      <c r="AB4" s="186"/>
      <c r="AC4" s="188"/>
      <c r="AD4" s="183"/>
      <c r="AE4" s="184"/>
      <c r="AF4" s="183"/>
      <c r="AH4" s="183"/>
    </row>
    <row r="5" spans="1:36" ht="6.95" customHeight="1">
      <c r="A5" s="18"/>
      <c r="B5" s="20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19"/>
      <c r="R5" s="18"/>
      <c r="S5" s="18"/>
      <c r="T5" s="18"/>
      <c r="U5" s="18"/>
      <c r="V5" s="18"/>
      <c r="W5" s="18"/>
      <c r="X5" s="18"/>
      <c r="Y5" s="18"/>
      <c r="Z5" s="21"/>
      <c r="AA5" s="18"/>
      <c r="AB5" s="18"/>
      <c r="AC5" s="19"/>
    </row>
    <row r="6" spans="1:36" ht="17.100000000000001" customHeight="1">
      <c r="A6" s="222" t="s">
        <v>25</v>
      </c>
      <c r="B6" s="222" t="s">
        <v>3</v>
      </c>
      <c r="C6" s="222" t="s">
        <v>26</v>
      </c>
      <c r="D6" s="231" t="s">
        <v>27</v>
      </c>
      <c r="E6" s="232"/>
      <c r="F6" s="22"/>
      <c r="G6" s="22"/>
      <c r="H6" s="22"/>
      <c r="I6" s="242" t="s">
        <v>203</v>
      </c>
      <c r="J6" s="243"/>
      <c r="K6" s="243"/>
      <c r="L6" s="243"/>
      <c r="M6" s="243"/>
      <c r="N6" s="244"/>
      <c r="O6" s="242" t="s">
        <v>204</v>
      </c>
      <c r="P6" s="243"/>
      <c r="Q6" s="243"/>
      <c r="R6" s="243"/>
      <c r="S6" s="243"/>
      <c r="T6" s="243"/>
      <c r="U6" s="244"/>
      <c r="V6" s="22"/>
      <c r="W6" s="22"/>
      <c r="X6" s="218" t="s">
        <v>206</v>
      </c>
      <c r="Y6" s="256" t="s">
        <v>189</v>
      </c>
      <c r="Z6" s="254" t="s">
        <v>29</v>
      </c>
      <c r="AA6" s="222" t="s">
        <v>195</v>
      </c>
      <c r="AB6" s="222"/>
      <c r="AC6" s="254" t="s">
        <v>30</v>
      </c>
      <c r="AD6" s="255" t="s">
        <v>9</v>
      </c>
      <c r="AE6" s="245" t="s">
        <v>210</v>
      </c>
      <c r="AF6" s="246" t="s">
        <v>211</v>
      </c>
      <c r="AG6" s="247" t="s">
        <v>208</v>
      </c>
      <c r="AH6" s="250" t="s">
        <v>212</v>
      </c>
      <c r="AI6" s="247" t="s">
        <v>31</v>
      </c>
      <c r="AJ6" s="265" t="s">
        <v>174</v>
      </c>
    </row>
    <row r="7" spans="1:36" s="23" customFormat="1" ht="52.5" customHeight="1">
      <c r="A7" s="222"/>
      <c r="B7" s="222"/>
      <c r="C7" s="222"/>
      <c r="D7" s="233"/>
      <c r="E7" s="234"/>
      <c r="F7" s="218" t="s">
        <v>37</v>
      </c>
      <c r="G7" s="22"/>
      <c r="H7" s="22"/>
      <c r="I7" s="218" t="s">
        <v>32</v>
      </c>
      <c r="J7" s="218" t="s">
        <v>17</v>
      </c>
      <c r="K7" s="218" t="s">
        <v>13</v>
      </c>
      <c r="L7" s="218" t="s">
        <v>188</v>
      </c>
      <c r="M7" s="218" t="s">
        <v>198</v>
      </c>
      <c r="N7" s="218" t="s">
        <v>199</v>
      </c>
      <c r="O7" s="222" t="s">
        <v>200</v>
      </c>
      <c r="P7" s="223" t="s">
        <v>201</v>
      </c>
      <c r="Q7" s="223" t="s">
        <v>183</v>
      </c>
      <c r="R7" s="218" t="s">
        <v>33</v>
      </c>
      <c r="S7" s="240" t="s">
        <v>182</v>
      </c>
      <c r="T7" s="218" t="s">
        <v>202</v>
      </c>
      <c r="U7" s="218" t="s">
        <v>190</v>
      </c>
      <c r="V7" s="218" t="s">
        <v>34</v>
      </c>
      <c r="W7" s="218" t="s">
        <v>35</v>
      </c>
      <c r="X7" s="253"/>
      <c r="Y7" s="257"/>
      <c r="Z7" s="254"/>
      <c r="AA7" s="218" t="s">
        <v>36</v>
      </c>
      <c r="AB7" s="218" t="s">
        <v>196</v>
      </c>
      <c r="AC7" s="254"/>
      <c r="AD7" s="255"/>
      <c r="AE7" s="245"/>
      <c r="AF7" s="246"/>
      <c r="AG7" s="248"/>
      <c r="AH7" s="251"/>
      <c r="AI7" s="248"/>
      <c r="AJ7" s="266"/>
    </row>
    <row r="8" spans="1:36" s="23" customFormat="1" ht="33.75" customHeight="1">
      <c r="A8" s="222"/>
      <c r="B8" s="222"/>
      <c r="C8" s="222"/>
      <c r="D8" s="235"/>
      <c r="E8" s="236"/>
      <c r="F8" s="230"/>
      <c r="G8" s="237" t="s">
        <v>28</v>
      </c>
      <c r="H8" s="238"/>
      <c r="I8" s="230"/>
      <c r="J8" s="230"/>
      <c r="K8" s="230"/>
      <c r="L8" s="230"/>
      <c r="M8" s="230"/>
      <c r="N8" s="230"/>
      <c r="O8" s="222"/>
      <c r="P8" s="239"/>
      <c r="Q8" s="224"/>
      <c r="R8" s="219"/>
      <c r="S8" s="241"/>
      <c r="T8" s="230"/>
      <c r="U8" s="230"/>
      <c r="V8" s="219"/>
      <c r="W8" s="219"/>
      <c r="X8" s="219"/>
      <c r="Y8" s="258"/>
      <c r="Z8" s="254"/>
      <c r="AA8" s="219"/>
      <c r="AB8" s="219"/>
      <c r="AC8" s="254"/>
      <c r="AD8" s="255"/>
      <c r="AE8" s="245"/>
      <c r="AF8" s="246"/>
      <c r="AG8" s="249"/>
      <c r="AH8" s="252"/>
      <c r="AI8" s="249"/>
      <c r="AJ8" s="267"/>
    </row>
    <row r="9" spans="1:36" ht="20.25" customHeight="1">
      <c r="A9" s="24">
        <v>1</v>
      </c>
      <c r="B9" s="24">
        <v>2</v>
      </c>
      <c r="C9" s="24">
        <v>3</v>
      </c>
      <c r="D9" s="220">
        <v>4</v>
      </c>
      <c r="E9" s="221"/>
      <c r="F9" s="24"/>
      <c r="G9" s="24"/>
      <c r="H9" s="24"/>
      <c r="I9" s="24">
        <v>5</v>
      </c>
      <c r="J9" s="24">
        <v>6</v>
      </c>
      <c r="K9" s="24">
        <v>7</v>
      </c>
      <c r="L9" s="24">
        <v>8</v>
      </c>
      <c r="M9" s="24">
        <v>9</v>
      </c>
      <c r="N9" s="24">
        <v>10</v>
      </c>
      <c r="O9" s="24">
        <v>11</v>
      </c>
      <c r="P9" s="25">
        <v>12</v>
      </c>
      <c r="Q9" s="25">
        <v>13</v>
      </c>
      <c r="R9" s="24">
        <v>14</v>
      </c>
      <c r="S9" s="24">
        <v>15</v>
      </c>
      <c r="T9" s="24">
        <v>16</v>
      </c>
      <c r="U9" s="24">
        <v>17</v>
      </c>
      <c r="V9" s="24"/>
      <c r="W9" s="24"/>
      <c r="X9" s="24">
        <v>18</v>
      </c>
      <c r="Y9" s="26">
        <v>19</v>
      </c>
      <c r="Z9" s="27">
        <v>20</v>
      </c>
      <c r="AA9" s="24">
        <v>21</v>
      </c>
      <c r="AB9" s="24">
        <v>22</v>
      </c>
      <c r="AC9" s="27">
        <v>23</v>
      </c>
      <c r="AD9" s="28">
        <v>24</v>
      </c>
      <c r="AE9" s="189">
        <v>25</v>
      </c>
      <c r="AF9" s="161">
        <v>26</v>
      </c>
      <c r="AG9" s="167" t="s">
        <v>38</v>
      </c>
      <c r="AH9" s="161" t="s">
        <v>180</v>
      </c>
      <c r="AI9" s="168" t="s">
        <v>181</v>
      </c>
      <c r="AJ9" s="172" t="s">
        <v>191</v>
      </c>
    </row>
    <row r="10" spans="1:36" ht="18" customHeight="1">
      <c r="A10" s="259">
        <v>1</v>
      </c>
      <c r="B10" s="261">
        <f>'Bang TH nop'!B9</f>
        <v>0</v>
      </c>
      <c r="C10" s="263">
        <f>'Bang TH nop'!C9</f>
        <v>0</v>
      </c>
      <c r="D10" s="264">
        <f>'Bang TH nop'!H9</f>
        <v>0</v>
      </c>
      <c r="E10" s="227"/>
      <c r="F10" s="29"/>
      <c r="G10" s="30"/>
      <c r="H10" s="30"/>
      <c r="I10" s="31">
        <f>'Bang TH nop'!J9</f>
        <v>0</v>
      </c>
      <c r="J10" s="31">
        <f>+'Bang TH nop'!O9</f>
        <v>0</v>
      </c>
      <c r="K10" s="31">
        <f>+'Bang TH nop'!K9</f>
        <v>0</v>
      </c>
      <c r="L10" s="32">
        <f>+'Bang TH nop'!L9</f>
        <v>0</v>
      </c>
      <c r="M10" s="31">
        <f>+'Bang TH nop'!N9</f>
        <v>0</v>
      </c>
      <c r="N10" s="31">
        <f>+'Bang TH nop'!U9</f>
        <v>0</v>
      </c>
      <c r="O10" s="31"/>
      <c r="P10" s="33"/>
      <c r="Q10" s="33"/>
      <c r="R10" s="31"/>
      <c r="S10" s="32"/>
      <c r="T10" s="31"/>
      <c r="U10" s="30"/>
      <c r="V10" s="30"/>
      <c r="W10" s="30"/>
      <c r="X10" s="30"/>
      <c r="Y10" s="30">
        <f>+'Bang TH nop'!S9</f>
        <v>0</v>
      </c>
      <c r="Z10" s="34"/>
      <c r="AA10" s="34"/>
      <c r="AB10" s="30"/>
      <c r="AC10" s="34"/>
      <c r="AD10" s="35"/>
      <c r="AE10" s="190"/>
      <c r="AF10" s="163"/>
      <c r="AG10" s="164"/>
      <c r="AH10" s="165"/>
      <c r="AI10" s="164"/>
      <c r="AJ10" s="99"/>
    </row>
    <row r="11" spans="1:36" ht="18" customHeight="1">
      <c r="A11" s="260"/>
      <c r="B11" s="262"/>
      <c r="C11" s="260"/>
      <c r="D11" s="228">
        <f>'Bang TH nop'!I9</f>
        <v>0</v>
      </c>
      <c r="E11" s="229"/>
      <c r="F11" s="38">
        <f>'Bang TH nop'!F9</f>
        <v>0</v>
      </c>
      <c r="G11" s="39">
        <f t="shared" ref="G11" si="0">D11*I10/26</f>
        <v>0</v>
      </c>
      <c r="H11" s="39">
        <f t="shared" ref="H11" si="1">D11*J10*150%/(26*8)</f>
        <v>0</v>
      </c>
      <c r="I11" s="39" t="e">
        <f t="shared" ref="I11" si="2">F11*680*(((I10-M10)*8+M10*7))/(((I10-M10)*8+M10*7+J10))*$I$4</f>
        <v>#DIV/0!</v>
      </c>
      <c r="J11" s="40" t="e">
        <f t="shared" ref="J11" si="3">+F11*680*J10*150%/(((I10-M10)*8+M10*7+J10))*$I$4</f>
        <v>#DIV/0!</v>
      </c>
      <c r="K11" s="40">
        <f t="shared" ref="K11" si="4">ROUND(D11/26*K10,)</f>
        <v>0</v>
      </c>
      <c r="L11" s="40">
        <f t="shared" ref="L11" si="5">ROUND(D11/26*L10,)</f>
        <v>0</v>
      </c>
      <c r="M11" s="40">
        <f t="shared" ref="M11" si="6">+D11*M10/(26*8)</f>
        <v>0</v>
      </c>
      <c r="N11" s="40">
        <f t="shared" ref="N11" si="7">ROUND(D11/(26*8)*N10,)</f>
        <v>0</v>
      </c>
      <c r="O11" s="39">
        <f>'Bang TH nop'!Q9</f>
        <v>0</v>
      </c>
      <c r="P11" s="177">
        <f>+'Bang TH nop'!W9</f>
        <v>0</v>
      </c>
      <c r="Q11" s="40"/>
      <c r="R11" s="39">
        <f>'Bang TH nop'!R9</f>
        <v>0</v>
      </c>
      <c r="S11" s="40"/>
      <c r="T11" s="39"/>
      <c r="U11" s="39"/>
      <c r="V11" s="39" t="e">
        <f>+IF(G11-I11&lt;0,0,G11-I11)</f>
        <v>#DIV/0!</v>
      </c>
      <c r="W11" s="39" t="e">
        <f>+IF(H11-J11&lt;0,0,H11-J11)</f>
        <v>#DIV/0!</v>
      </c>
      <c r="X11" s="39"/>
      <c r="Y11" s="39">
        <f>+'Bang TH nop'!Y9</f>
        <v>0</v>
      </c>
      <c r="Z11" s="40" t="e">
        <f>SUM(I11:U11)+X11+Y11</f>
        <v>#DIV/0!</v>
      </c>
      <c r="AA11" s="39">
        <f>+IF((26-(I10+K10+L10))&gt;12,0,D11*10.5%)</f>
        <v>0</v>
      </c>
      <c r="AB11" s="39">
        <f>+ROUND(IF(D11=4939000,D11*0.5%,0),-2)</f>
        <v>0</v>
      </c>
      <c r="AC11" s="40" t="e">
        <f t="shared" ref="AC11" si="8">ROUND(Z11-AA11-AB11,-2)</f>
        <v>#DIV/0!</v>
      </c>
      <c r="AD11" s="41">
        <f>+'Bang TH nop'!J9+'Bang TH nop'!V9</f>
        <v>0</v>
      </c>
      <c r="AE11" s="190"/>
      <c r="AF11" s="42"/>
      <c r="AG11" s="170" t="e">
        <f>+AF11/AE11</f>
        <v>#DIV/0!</v>
      </c>
      <c r="AH11" s="170" t="e">
        <f>AJ11/AD11</f>
        <v>#DIV/0!</v>
      </c>
      <c r="AI11" s="45" t="e">
        <f>+AH11/AG11</f>
        <v>#DIV/0!</v>
      </c>
      <c r="AJ11" s="100" t="e">
        <f>+Z11-L11</f>
        <v>#DIV/0!</v>
      </c>
    </row>
    <row r="12" spans="1:36" ht="18" customHeight="1">
      <c r="A12" s="259">
        <v>2</v>
      </c>
      <c r="B12" s="261">
        <f>'Bang TH nop'!B11</f>
        <v>0</v>
      </c>
      <c r="C12" s="263">
        <f>'Bang TH nop'!C11</f>
        <v>0</v>
      </c>
      <c r="D12" s="264">
        <f>'Bang TH nop'!H11</f>
        <v>0</v>
      </c>
      <c r="E12" s="227"/>
      <c r="F12" s="29"/>
      <c r="G12" s="30"/>
      <c r="H12" s="30"/>
      <c r="I12" s="31">
        <f>'Bang TH nop'!J11</f>
        <v>0</v>
      </c>
      <c r="J12" s="31">
        <f>+'Bang TH nop'!O11</f>
        <v>0</v>
      </c>
      <c r="K12" s="31">
        <f>+'Bang TH nop'!K11</f>
        <v>0</v>
      </c>
      <c r="L12" s="32">
        <f>+'Bang TH nop'!L11</f>
        <v>0</v>
      </c>
      <c r="M12" s="31">
        <f>+'Bang TH nop'!N11</f>
        <v>0</v>
      </c>
      <c r="N12" s="31">
        <f>+'Bang TH nop'!U11</f>
        <v>0</v>
      </c>
      <c r="O12" s="31"/>
      <c r="P12" s="33"/>
      <c r="Q12" s="33"/>
      <c r="R12" s="31"/>
      <c r="S12" s="32"/>
      <c r="T12" s="31"/>
      <c r="U12" s="30"/>
      <c r="V12" s="30"/>
      <c r="W12" s="30"/>
      <c r="X12" s="30"/>
      <c r="Y12" s="30">
        <f>+'Bang TH nop'!S11</f>
        <v>0</v>
      </c>
      <c r="Z12" s="34"/>
      <c r="AA12" s="34"/>
      <c r="AB12" s="30"/>
      <c r="AC12" s="34"/>
      <c r="AD12" s="35"/>
      <c r="AE12" s="190"/>
      <c r="AF12" s="163"/>
      <c r="AG12" s="164"/>
      <c r="AH12" s="165"/>
      <c r="AI12" s="164"/>
      <c r="AJ12" s="99"/>
    </row>
    <row r="13" spans="1:36" ht="18" customHeight="1">
      <c r="A13" s="260"/>
      <c r="B13" s="262"/>
      <c r="C13" s="260"/>
      <c r="D13" s="228">
        <f>'Bang TH nop'!I11</f>
        <v>0</v>
      </c>
      <c r="E13" s="229"/>
      <c r="F13" s="38">
        <f>'Bang TH nop'!F11</f>
        <v>0</v>
      </c>
      <c r="G13" s="39">
        <f t="shared" ref="G13" si="9">D13*I12/26</f>
        <v>0</v>
      </c>
      <c r="H13" s="39">
        <f t="shared" ref="H13" si="10">D13*J12*150%/(26*8)</f>
        <v>0</v>
      </c>
      <c r="I13" s="39" t="e">
        <f t="shared" ref="I13" si="11">F13*680*(((I12-M12)*8+M12*7))/(((I12-M12)*8+M12*7+J12))*$I$4</f>
        <v>#DIV/0!</v>
      </c>
      <c r="J13" s="40" t="e">
        <f t="shared" ref="J13" si="12">+F13*680*J12*150%/(((I12-M12)*8+M12*7+J12))*$I$4</f>
        <v>#DIV/0!</v>
      </c>
      <c r="K13" s="40">
        <f t="shared" ref="K13" si="13">ROUND(D13/26*K12,)</f>
        <v>0</v>
      </c>
      <c r="L13" s="40">
        <f t="shared" ref="L13" si="14">ROUND(D13/26*L12,)</f>
        <v>0</v>
      </c>
      <c r="M13" s="40">
        <f t="shared" ref="M13" si="15">+D13*M12/(26*8)</f>
        <v>0</v>
      </c>
      <c r="N13" s="40">
        <f t="shared" ref="N13" si="16">ROUND(D13/(26*8)*N12,)</f>
        <v>0</v>
      </c>
      <c r="O13" s="39">
        <f>'Bang TH nop'!Q11</f>
        <v>0</v>
      </c>
      <c r="P13" s="177">
        <f>+'Bang TH nop'!W11</f>
        <v>0</v>
      </c>
      <c r="Q13" s="40"/>
      <c r="R13" s="39">
        <f>'Bang TH nop'!R11</f>
        <v>0</v>
      </c>
      <c r="S13" s="40"/>
      <c r="T13" s="39"/>
      <c r="U13" s="39"/>
      <c r="V13" s="39" t="e">
        <f>+IF(G13-I13&lt;0,0,G13-I13)</f>
        <v>#DIV/0!</v>
      </c>
      <c r="W13" s="39" t="e">
        <f>+IF(H13-J13&lt;0,0,H13-J13)</f>
        <v>#DIV/0!</v>
      </c>
      <c r="X13" s="39"/>
      <c r="Y13" s="39">
        <f>+'Bang TH nop'!Y11</f>
        <v>0</v>
      </c>
      <c r="Z13" s="40" t="e">
        <f t="shared" ref="Z13" si="17">SUM(I13:U13)+X13+Y13</f>
        <v>#DIV/0!</v>
      </c>
      <c r="AA13" s="39">
        <f>+IF((26-(I12+K12+L12))&gt;12,0,D13*10.5%)</f>
        <v>0</v>
      </c>
      <c r="AB13" s="39">
        <f t="shared" ref="AB13" si="18">+ROUND(IF(D13=4939000,D13*0.5%,0),-2)</f>
        <v>0</v>
      </c>
      <c r="AC13" s="40" t="e">
        <f t="shared" ref="AC13" si="19">ROUND(Z13-AA13-AB13,-2)</f>
        <v>#DIV/0!</v>
      </c>
      <c r="AD13" s="41">
        <f>+'Bang TH nop'!J11+'Bang TH nop'!V11</f>
        <v>0</v>
      </c>
      <c r="AE13" s="190"/>
      <c r="AF13" s="42"/>
      <c r="AG13" s="170" t="e">
        <f t="shared" ref="AG13" si="20">+AF13/AE13</f>
        <v>#DIV/0!</v>
      </c>
      <c r="AH13" s="170" t="e">
        <f t="shared" ref="AH13" si="21">AJ13/AD13</f>
        <v>#DIV/0!</v>
      </c>
      <c r="AI13" s="45" t="e">
        <f t="shared" ref="AI13" si="22">+AH13/AG13</f>
        <v>#DIV/0!</v>
      </c>
      <c r="AJ13" s="100" t="e">
        <f>+Z13-L13</f>
        <v>#DIV/0!</v>
      </c>
    </row>
    <row r="14" spans="1:36" ht="18" customHeight="1">
      <c r="A14" s="259">
        <v>3</v>
      </c>
      <c r="B14" s="261">
        <f>'Bang TH nop'!B13</f>
        <v>0</v>
      </c>
      <c r="C14" s="263">
        <f>'Bang TH nop'!C13</f>
        <v>0</v>
      </c>
      <c r="D14" s="264">
        <f>'Bang TH nop'!H13</f>
        <v>0</v>
      </c>
      <c r="E14" s="227"/>
      <c r="F14" s="29"/>
      <c r="G14" s="30"/>
      <c r="H14" s="30"/>
      <c r="I14" s="31">
        <f>'Bang TH nop'!J13</f>
        <v>0</v>
      </c>
      <c r="J14" s="31">
        <f>+'Bang TH nop'!O13</f>
        <v>0</v>
      </c>
      <c r="K14" s="31">
        <f>+'Bang TH nop'!K13</f>
        <v>0</v>
      </c>
      <c r="L14" s="32">
        <f>+'Bang TH nop'!L13</f>
        <v>0</v>
      </c>
      <c r="M14" s="31">
        <f>+'Bang TH nop'!N13</f>
        <v>0</v>
      </c>
      <c r="N14" s="31">
        <f>+'Bang TH nop'!U13</f>
        <v>0</v>
      </c>
      <c r="O14" s="31"/>
      <c r="P14" s="33"/>
      <c r="Q14" s="33"/>
      <c r="R14" s="31"/>
      <c r="S14" s="32"/>
      <c r="T14" s="31"/>
      <c r="U14" s="30"/>
      <c r="V14" s="30"/>
      <c r="W14" s="30"/>
      <c r="X14" s="30"/>
      <c r="Y14" s="30">
        <f>+'Bang TH nop'!S13</f>
        <v>0</v>
      </c>
      <c r="Z14" s="34"/>
      <c r="AA14" s="34"/>
      <c r="AB14" s="30"/>
      <c r="AC14" s="34"/>
      <c r="AD14" s="35"/>
      <c r="AE14" s="190"/>
      <c r="AF14" s="163"/>
      <c r="AG14" s="164"/>
      <c r="AH14" s="165"/>
      <c r="AI14" s="164"/>
      <c r="AJ14" s="99"/>
    </row>
    <row r="15" spans="1:36" ht="18" customHeight="1">
      <c r="A15" s="260"/>
      <c r="B15" s="262"/>
      <c r="C15" s="260"/>
      <c r="D15" s="228">
        <f>'Bang TH nop'!I13</f>
        <v>0</v>
      </c>
      <c r="E15" s="229"/>
      <c r="F15" s="38">
        <f>'Bang TH nop'!F13</f>
        <v>0</v>
      </c>
      <c r="G15" s="39">
        <f t="shared" ref="G15" si="23">D15*I14/26</f>
        <v>0</v>
      </c>
      <c r="H15" s="39">
        <f t="shared" ref="H15" si="24">D15*J14*150%/(26*8)</f>
        <v>0</v>
      </c>
      <c r="I15" s="39" t="e">
        <f t="shared" ref="I15" si="25">F15*680*(((I14-M14)*8+M14*7))/(((I14-M14)*8+M14*7+J14))*$I$4</f>
        <v>#DIV/0!</v>
      </c>
      <c r="J15" s="40" t="e">
        <f t="shared" ref="J15" si="26">+F15*680*J14*150%/(((I14-M14)*8+M14*7+J14))*$I$4</f>
        <v>#DIV/0!</v>
      </c>
      <c r="K15" s="40">
        <f t="shared" ref="K15" si="27">ROUND(D15/26*K14,)</f>
        <v>0</v>
      </c>
      <c r="L15" s="40">
        <f t="shared" ref="L15" si="28">ROUND(D15/26*L14,)</f>
        <v>0</v>
      </c>
      <c r="M15" s="40">
        <f t="shared" ref="M15" si="29">+D15*M14/(26*8)</f>
        <v>0</v>
      </c>
      <c r="N15" s="40">
        <f t="shared" ref="N15" si="30">ROUND(D15/(26*8)*N14,)</f>
        <v>0</v>
      </c>
      <c r="O15" s="39">
        <f>'Bang TH nop'!Q13</f>
        <v>0</v>
      </c>
      <c r="P15" s="177">
        <f>+'Bang TH nop'!W13</f>
        <v>0</v>
      </c>
      <c r="Q15" s="40"/>
      <c r="R15" s="39">
        <f>'Bang TH nop'!R13</f>
        <v>0</v>
      </c>
      <c r="S15" s="40"/>
      <c r="T15" s="39"/>
      <c r="U15" s="39"/>
      <c r="V15" s="39" t="e">
        <f>+IF(G15-I15&lt;0,0,G15-I15)</f>
        <v>#DIV/0!</v>
      </c>
      <c r="W15" s="39" t="e">
        <f>+IF(H15-J15&lt;0,0,H15-J15)</f>
        <v>#DIV/0!</v>
      </c>
      <c r="X15" s="39"/>
      <c r="Y15" s="39">
        <f>+'Bang TH nop'!Y13</f>
        <v>0</v>
      </c>
      <c r="Z15" s="40" t="e">
        <f t="shared" ref="Z15" si="31">SUM(I15:U15)+X15+Y15</f>
        <v>#DIV/0!</v>
      </c>
      <c r="AA15" s="39">
        <f>+IF((26-(I14+K14+L14))&gt;12,0,D15*10.5%)</f>
        <v>0</v>
      </c>
      <c r="AB15" s="39">
        <f t="shared" ref="AB15" si="32">+ROUND(IF(D15=4939000,D15*0.5%,0),-2)</f>
        <v>0</v>
      </c>
      <c r="AC15" s="40" t="e">
        <f t="shared" ref="AC15" si="33">ROUND(Z15-AA15-AB15,-2)</f>
        <v>#DIV/0!</v>
      </c>
      <c r="AD15" s="41">
        <f>+'Bang TH nop'!J13+'Bang TH nop'!V13</f>
        <v>0</v>
      </c>
      <c r="AE15" s="190"/>
      <c r="AF15" s="42"/>
      <c r="AG15" s="170" t="e">
        <f t="shared" ref="AG15" si="34">+AF15/AE15</f>
        <v>#DIV/0!</v>
      </c>
      <c r="AH15" s="170" t="e">
        <f t="shared" ref="AH15" si="35">AJ15/AD15</f>
        <v>#DIV/0!</v>
      </c>
      <c r="AI15" s="45" t="e">
        <f t="shared" ref="AI15" si="36">+AH15/AG15</f>
        <v>#DIV/0!</v>
      </c>
      <c r="AJ15" s="100" t="e">
        <f>+Z15-L15</f>
        <v>#DIV/0!</v>
      </c>
    </row>
    <row r="16" spans="1:36" ht="18" customHeight="1">
      <c r="A16" s="259">
        <v>4</v>
      </c>
      <c r="B16" s="261">
        <f>'Bang TH nop'!B15</f>
        <v>0</v>
      </c>
      <c r="C16" s="263">
        <f>'Bang TH nop'!C15</f>
        <v>0</v>
      </c>
      <c r="D16" s="264">
        <f>'Bang TH nop'!H15</f>
        <v>0</v>
      </c>
      <c r="E16" s="227"/>
      <c r="F16" s="29"/>
      <c r="G16" s="30"/>
      <c r="H16" s="30"/>
      <c r="I16" s="31">
        <f>'Bang TH nop'!J15</f>
        <v>0</v>
      </c>
      <c r="J16" s="31">
        <f>+'Bang TH nop'!O15</f>
        <v>0</v>
      </c>
      <c r="K16" s="31">
        <f>+'Bang TH nop'!K15</f>
        <v>0</v>
      </c>
      <c r="L16" s="32">
        <f>+'Bang TH nop'!L15</f>
        <v>0</v>
      </c>
      <c r="M16" s="31">
        <f>+'Bang TH nop'!N15</f>
        <v>0</v>
      </c>
      <c r="N16" s="31">
        <f>+'Bang TH nop'!U15</f>
        <v>0</v>
      </c>
      <c r="O16" s="31"/>
      <c r="P16" s="33"/>
      <c r="Q16" s="33"/>
      <c r="R16" s="31"/>
      <c r="S16" s="32"/>
      <c r="T16" s="31"/>
      <c r="U16" s="30"/>
      <c r="V16" s="30"/>
      <c r="W16" s="30"/>
      <c r="X16" s="30"/>
      <c r="Y16" s="30">
        <f>+'Bang TH nop'!S15</f>
        <v>0</v>
      </c>
      <c r="Z16" s="34"/>
      <c r="AA16" s="34"/>
      <c r="AB16" s="30"/>
      <c r="AC16" s="34"/>
      <c r="AD16" s="35"/>
      <c r="AE16" s="190"/>
      <c r="AF16" s="163"/>
      <c r="AG16" s="164"/>
      <c r="AH16" s="165"/>
      <c r="AI16" s="164"/>
      <c r="AJ16" s="99"/>
    </row>
    <row r="17" spans="1:36" ht="18" customHeight="1">
      <c r="A17" s="260"/>
      <c r="B17" s="262"/>
      <c r="C17" s="260"/>
      <c r="D17" s="228">
        <f>'Bang TH nop'!I15</f>
        <v>0</v>
      </c>
      <c r="E17" s="229"/>
      <c r="F17" s="38">
        <f>'Bang TH nop'!F15</f>
        <v>0</v>
      </c>
      <c r="G17" s="39">
        <f t="shared" ref="G17" si="37">D17*I16/26</f>
        <v>0</v>
      </c>
      <c r="H17" s="39">
        <f t="shared" ref="H17" si="38">D17*J16*150%/(26*8)</f>
        <v>0</v>
      </c>
      <c r="I17" s="39" t="e">
        <f t="shared" ref="I17" si="39">F17*680*(((I16-M16)*8+M16*7))/(((I16-M16)*8+M16*7+J16))*$I$4</f>
        <v>#DIV/0!</v>
      </c>
      <c r="J17" s="40" t="e">
        <f t="shared" ref="J17" si="40">+F17*680*J16*150%/(((I16-M16)*8+M16*7+J16))*$I$4</f>
        <v>#DIV/0!</v>
      </c>
      <c r="K17" s="40">
        <f t="shared" ref="K17" si="41">ROUND(D17/26*K16,)</f>
        <v>0</v>
      </c>
      <c r="L17" s="40">
        <f t="shared" ref="L17" si="42">ROUND(D17/26*L16,)</f>
        <v>0</v>
      </c>
      <c r="M17" s="40">
        <f t="shared" ref="M17" si="43">+D17*M16/(26*8)</f>
        <v>0</v>
      </c>
      <c r="N17" s="40">
        <f t="shared" ref="N17" si="44">ROUND(D17/(26*8)*N16,)</f>
        <v>0</v>
      </c>
      <c r="O17" s="39">
        <f>'Bang TH nop'!Q15</f>
        <v>0</v>
      </c>
      <c r="P17" s="177">
        <f>+'Bang TH nop'!W15</f>
        <v>0</v>
      </c>
      <c r="Q17" s="40"/>
      <c r="R17" s="39">
        <f>'Bang TH nop'!R15</f>
        <v>0</v>
      </c>
      <c r="S17" s="40"/>
      <c r="T17" s="39"/>
      <c r="U17" s="39"/>
      <c r="V17" s="39" t="e">
        <f>+IF(G17-I17&lt;0,0,G17-I17)</f>
        <v>#DIV/0!</v>
      </c>
      <c r="W17" s="39" t="e">
        <f>+IF(H17-J17&lt;0,0,H17-J17)</f>
        <v>#DIV/0!</v>
      </c>
      <c r="X17" s="39"/>
      <c r="Y17" s="39">
        <f>+'Bang TH nop'!Y15</f>
        <v>0</v>
      </c>
      <c r="Z17" s="40" t="e">
        <f t="shared" ref="Z17" si="45">SUM(I17:U17)+X17+Y17</f>
        <v>#DIV/0!</v>
      </c>
      <c r="AA17" s="39">
        <f>+IF((26-(I16+K16+L16))&gt;12,0,D17*10.5%)</f>
        <v>0</v>
      </c>
      <c r="AB17" s="39">
        <f t="shared" ref="AB17" si="46">+ROUND(IF(D17=4939000,D17*0.5%,0),-2)</f>
        <v>0</v>
      </c>
      <c r="AC17" s="40" t="e">
        <f t="shared" ref="AC17" si="47">ROUND(Z17-AA17-AB17,-2)</f>
        <v>#DIV/0!</v>
      </c>
      <c r="AD17" s="41">
        <f>+'Bang TH nop'!J15+'Bang TH nop'!V15</f>
        <v>0</v>
      </c>
      <c r="AE17" s="190"/>
      <c r="AF17" s="42"/>
      <c r="AG17" s="170" t="e">
        <f t="shared" ref="AG17" si="48">+AF17/AE17</f>
        <v>#DIV/0!</v>
      </c>
      <c r="AH17" s="170" t="e">
        <f t="shared" ref="AH17" si="49">AJ17/AD17</f>
        <v>#DIV/0!</v>
      </c>
      <c r="AI17" s="45" t="e">
        <f t="shared" ref="AI17" si="50">+AH17/AG17</f>
        <v>#DIV/0!</v>
      </c>
      <c r="AJ17" s="100" t="e">
        <f>+Z17-L17</f>
        <v>#DIV/0!</v>
      </c>
    </row>
    <row r="18" spans="1:36" ht="18" customHeight="1">
      <c r="A18" s="259">
        <v>5</v>
      </c>
      <c r="B18" s="261">
        <f>'Bang TH nop'!B17</f>
        <v>0</v>
      </c>
      <c r="C18" s="263">
        <f>'Bang TH nop'!C17</f>
        <v>0</v>
      </c>
      <c r="D18" s="264">
        <f>'Bang TH nop'!H17</f>
        <v>0</v>
      </c>
      <c r="E18" s="227"/>
      <c r="F18" s="29"/>
      <c r="G18" s="30"/>
      <c r="H18" s="30"/>
      <c r="I18" s="31">
        <f>'Bang TH nop'!J17</f>
        <v>0</v>
      </c>
      <c r="J18" s="31">
        <f>+'Bang TH nop'!O17</f>
        <v>0</v>
      </c>
      <c r="K18" s="31">
        <f>+'Bang TH nop'!K17</f>
        <v>0</v>
      </c>
      <c r="L18" s="32">
        <f>+'Bang TH nop'!L17</f>
        <v>0</v>
      </c>
      <c r="M18" s="31">
        <f>+'Bang TH nop'!N17</f>
        <v>0</v>
      </c>
      <c r="N18" s="31">
        <f>+'Bang TH nop'!U17</f>
        <v>0</v>
      </c>
      <c r="O18" s="31"/>
      <c r="P18" s="33"/>
      <c r="Q18" s="33"/>
      <c r="R18" s="31"/>
      <c r="S18" s="32"/>
      <c r="T18" s="31"/>
      <c r="U18" s="30"/>
      <c r="V18" s="30"/>
      <c r="W18" s="30"/>
      <c r="X18" s="30"/>
      <c r="Y18" s="30">
        <f>+'Bang TH nop'!S17</f>
        <v>0</v>
      </c>
      <c r="Z18" s="34"/>
      <c r="AA18" s="34"/>
      <c r="AB18" s="30"/>
      <c r="AC18" s="34"/>
      <c r="AD18" s="35"/>
      <c r="AE18" s="190"/>
      <c r="AF18" s="163"/>
      <c r="AG18" s="164"/>
      <c r="AH18" s="165"/>
      <c r="AI18" s="164"/>
      <c r="AJ18" s="99"/>
    </row>
    <row r="19" spans="1:36" ht="18" customHeight="1">
      <c r="A19" s="260"/>
      <c r="B19" s="262"/>
      <c r="C19" s="260"/>
      <c r="D19" s="228">
        <f>'Bang TH nop'!I17</f>
        <v>0</v>
      </c>
      <c r="E19" s="229"/>
      <c r="F19" s="38">
        <f>'Bang TH nop'!F17</f>
        <v>0</v>
      </c>
      <c r="G19" s="39">
        <f t="shared" ref="G19" si="51">D19*I18/26</f>
        <v>0</v>
      </c>
      <c r="H19" s="39">
        <f t="shared" ref="H19" si="52">D19*J18*150%/(26*8)</f>
        <v>0</v>
      </c>
      <c r="I19" s="39" t="e">
        <f t="shared" ref="I19" si="53">F19*680*(((I18-M18)*8+M18*7))/(((I18-M18)*8+M18*7+J18))*$I$4</f>
        <v>#DIV/0!</v>
      </c>
      <c r="J19" s="40" t="e">
        <f t="shared" ref="J19" si="54">+F19*680*J18*150%/(((I18-M18)*8+M18*7+J18))*$I$4</f>
        <v>#DIV/0!</v>
      </c>
      <c r="K19" s="40">
        <f t="shared" ref="K19" si="55">ROUND(D19/26*K18,)</f>
        <v>0</v>
      </c>
      <c r="L19" s="40">
        <f t="shared" ref="L19" si="56">ROUND(D19/26*L18,)</f>
        <v>0</v>
      </c>
      <c r="M19" s="40">
        <f t="shared" ref="M19" si="57">+D19*M18/(26*8)</f>
        <v>0</v>
      </c>
      <c r="N19" s="40">
        <f t="shared" ref="N19" si="58">ROUND(D19/(26*8)*N18,)</f>
        <v>0</v>
      </c>
      <c r="O19" s="39">
        <f>'Bang TH nop'!Q17</f>
        <v>0</v>
      </c>
      <c r="P19" s="177">
        <f>+'Bang TH nop'!W17</f>
        <v>0</v>
      </c>
      <c r="Q19" s="40"/>
      <c r="R19" s="39">
        <f>'Bang TH nop'!R17</f>
        <v>0</v>
      </c>
      <c r="S19" s="40"/>
      <c r="T19" s="39"/>
      <c r="U19" s="39"/>
      <c r="V19" s="39" t="e">
        <f>+IF(G19-I19&lt;0,0,G19-I19)</f>
        <v>#DIV/0!</v>
      </c>
      <c r="W19" s="39" t="e">
        <f>+IF(H19-J19&lt;0,0,H19-J19)</f>
        <v>#DIV/0!</v>
      </c>
      <c r="X19" s="39"/>
      <c r="Y19" s="39">
        <f>+'Bang TH nop'!Y17</f>
        <v>0</v>
      </c>
      <c r="Z19" s="40" t="e">
        <f t="shared" ref="Z19" si="59">SUM(I19:U19)+X19+Y19</f>
        <v>#DIV/0!</v>
      </c>
      <c r="AA19" s="39">
        <f>+IF((26-(I18+K18+L18))&gt;12,0,D19*10.5%)</f>
        <v>0</v>
      </c>
      <c r="AB19" s="39">
        <f t="shared" ref="AB19" si="60">+ROUND(IF(D19=4939000,D19*0.5%,0),-2)</f>
        <v>0</v>
      </c>
      <c r="AC19" s="40" t="e">
        <f t="shared" ref="AC19" si="61">ROUND(Z19-AA19-AB19,-2)</f>
        <v>#DIV/0!</v>
      </c>
      <c r="AD19" s="41">
        <f>+'Bang TH nop'!J17+'Bang TH nop'!V17</f>
        <v>0</v>
      </c>
      <c r="AE19" s="190"/>
      <c r="AF19" s="42"/>
      <c r="AG19" s="170" t="e">
        <f t="shared" ref="AG19" si="62">+AF19/AE19</f>
        <v>#DIV/0!</v>
      </c>
      <c r="AH19" s="170" t="e">
        <f t="shared" ref="AH19" si="63">AJ19/AD19</f>
        <v>#DIV/0!</v>
      </c>
      <c r="AI19" s="45" t="e">
        <f t="shared" ref="AI19" si="64">+AH19/AG19</f>
        <v>#DIV/0!</v>
      </c>
      <c r="AJ19" s="100" t="e">
        <f>+Z19-L19</f>
        <v>#DIV/0!</v>
      </c>
    </row>
    <row r="20" spans="1:36" ht="18" customHeight="1">
      <c r="A20" s="259">
        <v>6</v>
      </c>
      <c r="B20" s="261">
        <f>'Bang TH nop'!B19</f>
        <v>0</v>
      </c>
      <c r="C20" s="263">
        <f>'Bang TH nop'!C19</f>
        <v>0</v>
      </c>
      <c r="D20" s="264">
        <f>'Bang TH nop'!H19</f>
        <v>0</v>
      </c>
      <c r="E20" s="227"/>
      <c r="F20" s="29"/>
      <c r="G20" s="30"/>
      <c r="H20" s="30"/>
      <c r="I20" s="31">
        <f>'Bang TH nop'!J19</f>
        <v>0</v>
      </c>
      <c r="J20" s="31">
        <f>+'Bang TH nop'!O19</f>
        <v>0</v>
      </c>
      <c r="K20" s="31">
        <f>+'Bang TH nop'!K19</f>
        <v>0</v>
      </c>
      <c r="L20" s="32">
        <f>+'Bang TH nop'!L19</f>
        <v>0</v>
      </c>
      <c r="M20" s="31">
        <f>+'Bang TH nop'!N19</f>
        <v>0</v>
      </c>
      <c r="N20" s="31">
        <f>+'Bang TH nop'!U19</f>
        <v>0</v>
      </c>
      <c r="O20" s="31"/>
      <c r="P20" s="33"/>
      <c r="Q20" s="33"/>
      <c r="R20" s="31"/>
      <c r="S20" s="32"/>
      <c r="T20" s="31"/>
      <c r="U20" s="30"/>
      <c r="V20" s="30"/>
      <c r="W20" s="30"/>
      <c r="X20" s="30"/>
      <c r="Y20" s="30">
        <f>+'Bang TH nop'!S19</f>
        <v>0</v>
      </c>
      <c r="Z20" s="34"/>
      <c r="AA20" s="34"/>
      <c r="AB20" s="30"/>
      <c r="AC20" s="34"/>
      <c r="AD20" s="35"/>
      <c r="AE20" s="190"/>
      <c r="AF20" s="163"/>
      <c r="AG20" s="164"/>
      <c r="AH20" s="165"/>
      <c r="AI20" s="164"/>
      <c r="AJ20" s="99"/>
    </row>
    <row r="21" spans="1:36" ht="18" customHeight="1">
      <c r="A21" s="260"/>
      <c r="B21" s="262"/>
      <c r="C21" s="260"/>
      <c r="D21" s="228">
        <f>'Bang TH nop'!I19</f>
        <v>0</v>
      </c>
      <c r="E21" s="229"/>
      <c r="F21" s="38">
        <f>'Bang TH nop'!F19</f>
        <v>0</v>
      </c>
      <c r="G21" s="39">
        <f t="shared" ref="G21" si="65">D21*I20/26</f>
        <v>0</v>
      </c>
      <c r="H21" s="39">
        <f t="shared" ref="H21" si="66">D21*J20*150%/(26*8)</f>
        <v>0</v>
      </c>
      <c r="I21" s="39" t="e">
        <f t="shared" ref="I21" si="67">F21*680*(((I20-M20)*8+M20*7))/(((I20-M20)*8+M20*7+J20))*$I$4</f>
        <v>#DIV/0!</v>
      </c>
      <c r="J21" s="40" t="e">
        <f t="shared" ref="J21" si="68">+F21*680*J20*150%/(((I20-M20)*8+M20*7+J20))*$I$4</f>
        <v>#DIV/0!</v>
      </c>
      <c r="K21" s="40">
        <f t="shared" ref="K21" si="69">ROUND(D21/26*K20,)</f>
        <v>0</v>
      </c>
      <c r="L21" s="40">
        <f t="shared" ref="L21" si="70">ROUND(D21/26*L20,)</f>
        <v>0</v>
      </c>
      <c r="M21" s="40">
        <f t="shared" ref="M21" si="71">+D21*M20/(26*8)</f>
        <v>0</v>
      </c>
      <c r="N21" s="40">
        <f t="shared" ref="N21" si="72">ROUND(D21/(26*8)*N20,)</f>
        <v>0</v>
      </c>
      <c r="O21" s="39">
        <f>'Bang TH nop'!Q19</f>
        <v>0</v>
      </c>
      <c r="P21" s="177">
        <f>+'Bang TH nop'!W19</f>
        <v>0</v>
      </c>
      <c r="Q21" s="40"/>
      <c r="R21" s="39">
        <f>'Bang TH nop'!R19</f>
        <v>0</v>
      </c>
      <c r="S21" s="40"/>
      <c r="T21" s="39"/>
      <c r="U21" s="39"/>
      <c r="V21" s="39" t="e">
        <f>+IF(G21-I21&lt;0,0,G21-I21)</f>
        <v>#DIV/0!</v>
      </c>
      <c r="W21" s="39" t="e">
        <f>+IF(H21-J21&lt;0,0,H21-J21)</f>
        <v>#DIV/0!</v>
      </c>
      <c r="X21" s="39"/>
      <c r="Y21" s="39">
        <f>+'Bang TH nop'!Y19</f>
        <v>0</v>
      </c>
      <c r="Z21" s="40" t="e">
        <f t="shared" ref="Z21" si="73">SUM(I21:U21)+X21+Y21</f>
        <v>#DIV/0!</v>
      </c>
      <c r="AA21" s="39">
        <f>+IF((26-(I20+K20+L20))&gt;12,0,D21*10.5%)</f>
        <v>0</v>
      </c>
      <c r="AB21" s="39">
        <f t="shared" ref="AB21" si="74">+ROUND(IF(D21=4939000,D21*0.5%,0),-2)</f>
        <v>0</v>
      </c>
      <c r="AC21" s="40" t="e">
        <f t="shared" ref="AC21" si="75">ROUND(Z21-AA21-AB21,-2)</f>
        <v>#DIV/0!</v>
      </c>
      <c r="AD21" s="41">
        <f>+'Bang TH nop'!J19+'Bang TH nop'!V19</f>
        <v>0</v>
      </c>
      <c r="AE21" s="190"/>
      <c r="AF21" s="42"/>
      <c r="AG21" s="170" t="e">
        <f t="shared" ref="AG21" si="76">+AF21/AE21</f>
        <v>#DIV/0!</v>
      </c>
      <c r="AH21" s="170" t="e">
        <f t="shared" ref="AH21" si="77">AJ21/AD21</f>
        <v>#DIV/0!</v>
      </c>
      <c r="AI21" s="45" t="e">
        <f t="shared" ref="AI21" si="78">+AH21/AG21</f>
        <v>#DIV/0!</v>
      </c>
      <c r="AJ21" s="100" t="e">
        <f>+Z21-L21</f>
        <v>#DIV/0!</v>
      </c>
    </row>
    <row r="22" spans="1:36" ht="18" hidden="1" customHeight="1">
      <c r="A22" s="259"/>
      <c r="B22" s="261"/>
      <c r="C22" s="263"/>
      <c r="D22" s="264"/>
      <c r="E22" s="227"/>
      <c r="F22" s="29"/>
      <c r="G22" s="30"/>
      <c r="H22" s="30"/>
      <c r="I22" s="31"/>
      <c r="J22" s="31"/>
      <c r="K22" s="31"/>
      <c r="L22" s="32"/>
      <c r="M22" s="31"/>
      <c r="N22" s="31"/>
      <c r="O22" s="31"/>
      <c r="P22" s="33"/>
      <c r="Q22" s="33"/>
      <c r="R22" s="31"/>
      <c r="S22" s="32"/>
      <c r="T22" s="31"/>
      <c r="U22" s="30"/>
      <c r="V22" s="30"/>
      <c r="W22" s="30"/>
      <c r="X22" s="30"/>
      <c r="Y22" s="30"/>
      <c r="Z22" s="34"/>
      <c r="AA22" s="34"/>
      <c r="AB22" s="30"/>
      <c r="AC22" s="34"/>
      <c r="AD22" s="35"/>
      <c r="AE22" s="190"/>
      <c r="AF22" s="163"/>
      <c r="AG22" s="164"/>
      <c r="AH22" s="165"/>
      <c r="AI22" s="164"/>
      <c r="AJ22" s="99"/>
    </row>
    <row r="23" spans="1:36" ht="18" hidden="1" customHeight="1">
      <c r="A23" s="260"/>
      <c r="B23" s="262"/>
      <c r="C23" s="260"/>
      <c r="D23" s="228"/>
      <c r="E23" s="229"/>
      <c r="F23" s="38"/>
      <c r="G23" s="39"/>
      <c r="H23" s="39"/>
      <c r="I23" s="39"/>
      <c r="J23" s="40"/>
      <c r="K23" s="40"/>
      <c r="L23" s="40"/>
      <c r="M23" s="40"/>
      <c r="N23" s="40"/>
      <c r="O23" s="39"/>
      <c r="P23" s="177"/>
      <c r="Q23" s="40"/>
      <c r="R23" s="39"/>
      <c r="S23" s="40"/>
      <c r="T23" s="39"/>
      <c r="U23" s="39"/>
      <c r="V23" s="39"/>
      <c r="W23" s="39"/>
      <c r="X23" s="39"/>
      <c r="Y23" s="39"/>
      <c r="Z23" s="40"/>
      <c r="AA23" s="39"/>
      <c r="AB23" s="39"/>
      <c r="AC23" s="40"/>
      <c r="AD23" s="41"/>
      <c r="AE23" s="191"/>
      <c r="AF23" s="42"/>
      <c r="AG23" s="169"/>
      <c r="AH23" s="170"/>
      <c r="AI23" s="45"/>
      <c r="AJ23" s="100"/>
    </row>
    <row r="24" spans="1:36" ht="18" hidden="1" customHeight="1">
      <c r="A24" s="259"/>
      <c r="B24" s="261"/>
      <c r="C24" s="263"/>
      <c r="D24" s="264"/>
      <c r="E24" s="227"/>
      <c r="F24" s="29"/>
      <c r="G24" s="30"/>
      <c r="H24" s="30"/>
      <c r="I24" s="31"/>
      <c r="J24" s="31"/>
      <c r="K24" s="31"/>
      <c r="L24" s="32"/>
      <c r="M24" s="31"/>
      <c r="N24" s="31"/>
      <c r="O24" s="31"/>
      <c r="P24" s="33"/>
      <c r="Q24" s="33"/>
      <c r="R24" s="32"/>
      <c r="S24" s="31"/>
      <c r="T24" s="31"/>
      <c r="U24" s="30"/>
      <c r="V24" s="30"/>
      <c r="W24" s="30"/>
      <c r="X24" s="30"/>
      <c r="Y24" s="30"/>
      <c r="Z24" s="34"/>
      <c r="AA24" s="34"/>
      <c r="AB24" s="30"/>
      <c r="AC24" s="34"/>
      <c r="AD24" s="35"/>
      <c r="AE24" s="162"/>
      <c r="AF24" s="163"/>
      <c r="AG24" s="164"/>
      <c r="AH24" s="165"/>
      <c r="AI24" s="164"/>
      <c r="AJ24" s="99"/>
    </row>
    <row r="25" spans="1:36" ht="18" hidden="1" customHeight="1">
      <c r="A25" s="260"/>
      <c r="B25" s="262"/>
      <c r="C25" s="260"/>
      <c r="D25" s="228"/>
      <c r="E25" s="229"/>
      <c r="F25" s="38"/>
      <c r="G25" s="39"/>
      <c r="H25" s="39"/>
      <c r="I25" s="39"/>
      <c r="J25" s="40"/>
      <c r="K25" s="40"/>
      <c r="L25" s="40"/>
      <c r="M25" s="40"/>
      <c r="N25" s="40"/>
      <c r="O25" s="39"/>
      <c r="P25" s="40"/>
      <c r="Q25" s="177"/>
      <c r="R25" s="40"/>
      <c r="S25" s="39"/>
      <c r="T25" s="39"/>
      <c r="U25" s="39"/>
      <c r="V25" s="39"/>
      <c r="W25" s="39"/>
      <c r="X25" s="39"/>
      <c r="Y25" s="39"/>
      <c r="Z25" s="40"/>
      <c r="AA25" s="39"/>
      <c r="AB25" s="39"/>
      <c r="AC25" s="40"/>
      <c r="AD25" s="41"/>
      <c r="AE25" s="42"/>
      <c r="AF25" s="42"/>
      <c r="AG25" s="169"/>
      <c r="AH25" s="170"/>
      <c r="AI25" s="45"/>
      <c r="AJ25" s="100"/>
    </row>
    <row r="26" spans="1:36" ht="18" hidden="1" customHeight="1">
      <c r="A26" s="259"/>
      <c r="B26" s="261"/>
      <c r="C26" s="263"/>
      <c r="D26" s="264"/>
      <c r="E26" s="227"/>
      <c r="F26" s="29"/>
      <c r="G26" s="30"/>
      <c r="H26" s="30"/>
      <c r="I26" s="31"/>
      <c r="J26" s="31"/>
      <c r="K26" s="31"/>
      <c r="L26" s="32"/>
      <c r="M26" s="31"/>
      <c r="N26" s="31"/>
      <c r="O26" s="31"/>
      <c r="P26" s="33"/>
      <c r="Q26" s="33"/>
      <c r="R26" s="32"/>
      <c r="S26" s="31"/>
      <c r="T26" s="31"/>
      <c r="U26" s="30"/>
      <c r="V26" s="30"/>
      <c r="W26" s="30"/>
      <c r="X26" s="30"/>
      <c r="Y26" s="30"/>
      <c r="Z26" s="34"/>
      <c r="AA26" s="34"/>
      <c r="AB26" s="30"/>
      <c r="AC26" s="34"/>
      <c r="AD26" s="35"/>
      <c r="AE26" s="162"/>
      <c r="AF26" s="163"/>
      <c r="AG26" s="36"/>
      <c r="AH26" s="37"/>
      <c r="AI26" s="36"/>
    </row>
    <row r="27" spans="1:36" ht="18" hidden="1" customHeight="1">
      <c r="A27" s="260"/>
      <c r="B27" s="262"/>
      <c r="C27" s="260"/>
      <c r="D27" s="228"/>
      <c r="E27" s="229"/>
      <c r="F27" s="38"/>
      <c r="G27" s="39"/>
      <c r="H27" s="39"/>
      <c r="I27" s="39"/>
      <c r="J27" s="40"/>
      <c r="K27" s="40"/>
      <c r="L27" s="40"/>
      <c r="M27" s="40"/>
      <c r="N27" s="40"/>
      <c r="O27" s="39"/>
      <c r="P27" s="40"/>
      <c r="Q27" s="177"/>
      <c r="R27" s="40"/>
      <c r="S27" s="39"/>
      <c r="T27" s="39"/>
      <c r="U27" s="39"/>
      <c r="V27" s="39"/>
      <c r="W27" s="39"/>
      <c r="X27" s="39"/>
      <c r="Y27" s="39"/>
      <c r="Z27" s="40"/>
      <c r="AA27" s="39"/>
      <c r="AB27" s="39"/>
      <c r="AC27" s="40"/>
      <c r="AD27" s="41"/>
      <c r="AE27" s="42"/>
      <c r="AF27" s="42"/>
      <c r="AG27" s="43"/>
      <c r="AH27" s="44"/>
      <c r="AI27" s="45"/>
    </row>
    <row r="28" spans="1:36" ht="18" hidden="1" customHeight="1">
      <c r="A28" s="259"/>
      <c r="B28" s="261"/>
      <c r="C28" s="263"/>
      <c r="D28" s="264"/>
      <c r="E28" s="227"/>
      <c r="F28" s="29"/>
      <c r="G28" s="30"/>
      <c r="H28" s="30"/>
      <c r="I28" s="31"/>
      <c r="J28" s="31"/>
      <c r="K28" s="31"/>
      <c r="L28" s="32"/>
      <c r="M28" s="31"/>
      <c r="N28" s="31"/>
      <c r="O28" s="31"/>
      <c r="P28" s="33"/>
      <c r="Q28" s="33"/>
      <c r="R28" s="32"/>
      <c r="S28" s="31"/>
      <c r="T28" s="31"/>
      <c r="U28" s="30"/>
      <c r="V28" s="30"/>
      <c r="W28" s="30"/>
      <c r="X28" s="30"/>
      <c r="Y28" s="30"/>
      <c r="Z28" s="34"/>
      <c r="AA28" s="34"/>
      <c r="AB28" s="30"/>
      <c r="AC28" s="34"/>
      <c r="AD28" s="35"/>
      <c r="AE28" s="162"/>
      <c r="AF28" s="163"/>
      <c r="AG28" s="36"/>
      <c r="AH28" s="37"/>
      <c r="AI28" s="36"/>
    </row>
    <row r="29" spans="1:36" ht="18" hidden="1" customHeight="1">
      <c r="A29" s="260"/>
      <c r="B29" s="262"/>
      <c r="C29" s="260"/>
      <c r="D29" s="228"/>
      <c r="E29" s="229"/>
      <c r="F29" s="38"/>
      <c r="G29" s="39"/>
      <c r="H29" s="39"/>
      <c r="I29" s="39"/>
      <c r="J29" s="40"/>
      <c r="K29" s="40"/>
      <c r="L29" s="40"/>
      <c r="M29" s="40"/>
      <c r="N29" s="40"/>
      <c r="O29" s="39"/>
      <c r="P29" s="40"/>
      <c r="Q29" s="177"/>
      <c r="R29" s="40"/>
      <c r="S29" s="39"/>
      <c r="T29" s="39"/>
      <c r="U29" s="39"/>
      <c r="V29" s="39"/>
      <c r="W29" s="39"/>
      <c r="X29" s="39"/>
      <c r="Y29" s="39"/>
      <c r="Z29" s="40"/>
      <c r="AA29" s="39"/>
      <c r="AB29" s="39"/>
      <c r="AC29" s="40"/>
      <c r="AD29" s="41"/>
      <c r="AE29" s="42"/>
      <c r="AF29" s="42"/>
      <c r="AG29" s="43"/>
      <c r="AH29" s="44"/>
      <c r="AI29" s="45"/>
    </row>
    <row r="30" spans="1:36" ht="14.25" hidden="1" customHeight="1">
      <c r="A30" s="259"/>
      <c r="B30" s="261"/>
      <c r="C30" s="263"/>
      <c r="D30" s="264"/>
      <c r="E30" s="227"/>
      <c r="F30" s="29"/>
      <c r="G30" s="30"/>
      <c r="H30" s="30"/>
      <c r="I30" s="31"/>
      <c r="J30" s="31"/>
      <c r="K30" s="31"/>
      <c r="L30" s="32"/>
      <c r="M30" s="31"/>
      <c r="N30" s="31"/>
      <c r="O30" s="31"/>
      <c r="P30" s="33"/>
      <c r="Q30" s="33"/>
      <c r="R30" s="32"/>
      <c r="S30" s="31"/>
      <c r="T30" s="31"/>
      <c r="U30" s="30"/>
      <c r="V30" s="30"/>
      <c r="W30" s="30"/>
      <c r="X30" s="30"/>
      <c r="Y30" s="30"/>
      <c r="Z30" s="34"/>
      <c r="AA30" s="34"/>
      <c r="AB30" s="30"/>
      <c r="AC30" s="34"/>
      <c r="AD30" s="35"/>
      <c r="AE30" s="162"/>
      <c r="AF30" s="163"/>
      <c r="AG30" s="36"/>
      <c r="AH30" s="37"/>
      <c r="AI30" s="36"/>
    </row>
    <row r="31" spans="1:36" ht="14.25" hidden="1" customHeight="1">
      <c r="A31" s="260"/>
      <c r="B31" s="262"/>
      <c r="C31" s="260"/>
      <c r="D31" s="228"/>
      <c r="E31" s="229"/>
      <c r="F31" s="38"/>
      <c r="G31" s="39"/>
      <c r="H31" s="39"/>
      <c r="I31" s="39"/>
      <c r="J31" s="40"/>
      <c r="K31" s="40"/>
      <c r="L31" s="40"/>
      <c r="M31" s="40"/>
      <c r="N31" s="40"/>
      <c r="O31" s="39"/>
      <c r="P31" s="40"/>
      <c r="Q31" s="177"/>
      <c r="R31" s="40"/>
      <c r="S31" s="39"/>
      <c r="T31" s="39"/>
      <c r="U31" s="39"/>
      <c r="V31" s="39"/>
      <c r="W31" s="39"/>
      <c r="X31" s="39"/>
      <c r="Y31" s="39"/>
      <c r="Z31" s="40"/>
      <c r="AA31" s="39"/>
      <c r="AB31" s="39"/>
      <c r="AC31" s="40"/>
      <c r="AD31" s="41"/>
      <c r="AE31" s="42"/>
      <c r="AF31" s="42"/>
      <c r="AG31" s="43"/>
      <c r="AH31" s="44"/>
      <c r="AI31" s="45"/>
    </row>
    <row r="32" spans="1:36" ht="14.25" hidden="1" customHeight="1">
      <c r="A32" s="259"/>
      <c r="B32" s="261"/>
      <c r="C32" s="263"/>
      <c r="D32" s="264"/>
      <c r="E32" s="227"/>
      <c r="F32" s="29"/>
      <c r="G32" s="30"/>
      <c r="H32" s="30"/>
      <c r="I32" s="31"/>
      <c r="J32" s="31"/>
      <c r="K32" s="31"/>
      <c r="L32" s="32"/>
      <c r="M32" s="31"/>
      <c r="N32" s="31"/>
      <c r="O32" s="31"/>
      <c r="P32" s="33"/>
      <c r="Q32" s="33"/>
      <c r="R32" s="32"/>
      <c r="S32" s="31"/>
      <c r="T32" s="31"/>
      <c r="U32" s="30"/>
      <c r="V32" s="30"/>
      <c r="W32" s="30"/>
      <c r="X32" s="30"/>
      <c r="Y32" s="30"/>
      <c r="Z32" s="34"/>
      <c r="AA32" s="34"/>
      <c r="AB32" s="30"/>
      <c r="AC32" s="34"/>
      <c r="AD32" s="35"/>
      <c r="AE32" s="162"/>
      <c r="AF32" s="163"/>
      <c r="AG32" s="36"/>
      <c r="AH32" s="37"/>
      <c r="AI32" s="36"/>
    </row>
    <row r="33" spans="1:35" ht="14.25" hidden="1" customHeight="1">
      <c r="A33" s="260"/>
      <c r="B33" s="262"/>
      <c r="C33" s="260"/>
      <c r="D33" s="228"/>
      <c r="E33" s="229"/>
      <c r="F33" s="38"/>
      <c r="G33" s="39"/>
      <c r="H33" s="39"/>
      <c r="I33" s="39"/>
      <c r="J33" s="40"/>
      <c r="K33" s="40"/>
      <c r="L33" s="40"/>
      <c r="M33" s="40"/>
      <c r="N33" s="40"/>
      <c r="O33" s="39"/>
      <c r="P33" s="40"/>
      <c r="Q33" s="177"/>
      <c r="R33" s="40"/>
      <c r="S33" s="39"/>
      <c r="T33" s="39"/>
      <c r="U33" s="39"/>
      <c r="V33" s="39"/>
      <c r="W33" s="39"/>
      <c r="X33" s="39"/>
      <c r="Y33" s="39"/>
      <c r="Z33" s="40"/>
      <c r="AA33" s="39"/>
      <c r="AB33" s="39"/>
      <c r="AC33" s="40"/>
      <c r="AD33" s="41"/>
      <c r="AE33" s="42"/>
      <c r="AF33" s="42"/>
      <c r="AG33" s="43"/>
      <c r="AH33" s="44"/>
      <c r="AI33" s="45"/>
    </row>
    <row r="34" spans="1:35" ht="14.25" hidden="1" customHeight="1">
      <c r="A34" s="259"/>
      <c r="B34" s="261"/>
      <c r="C34" s="263"/>
      <c r="D34" s="264"/>
      <c r="E34" s="227"/>
      <c r="F34" s="29"/>
      <c r="G34" s="30"/>
      <c r="H34" s="30"/>
      <c r="I34" s="31"/>
      <c r="J34" s="31"/>
      <c r="K34" s="31"/>
      <c r="L34" s="32"/>
      <c r="M34" s="31"/>
      <c r="N34" s="31"/>
      <c r="O34" s="31"/>
      <c r="P34" s="33"/>
      <c r="Q34" s="33"/>
      <c r="R34" s="32"/>
      <c r="S34" s="31"/>
      <c r="T34" s="31"/>
      <c r="U34" s="30"/>
      <c r="V34" s="30"/>
      <c r="W34" s="30"/>
      <c r="X34" s="30"/>
      <c r="Y34" s="30"/>
      <c r="Z34" s="34"/>
      <c r="AA34" s="34"/>
      <c r="AB34" s="30"/>
      <c r="AC34" s="34"/>
      <c r="AD34" s="35"/>
      <c r="AE34" s="162"/>
      <c r="AF34" s="163"/>
      <c r="AG34" s="36"/>
      <c r="AH34" s="37"/>
      <c r="AI34" s="36"/>
    </row>
    <row r="35" spans="1:35" ht="14.25" hidden="1" customHeight="1">
      <c r="A35" s="260"/>
      <c r="B35" s="262"/>
      <c r="C35" s="260"/>
      <c r="D35" s="228"/>
      <c r="E35" s="229"/>
      <c r="F35" s="38"/>
      <c r="G35" s="39"/>
      <c r="H35" s="39"/>
      <c r="I35" s="39"/>
      <c r="J35" s="40"/>
      <c r="K35" s="40"/>
      <c r="L35" s="40"/>
      <c r="M35" s="40"/>
      <c r="N35" s="40"/>
      <c r="O35" s="39"/>
      <c r="P35" s="40"/>
      <c r="Q35" s="177"/>
      <c r="R35" s="40"/>
      <c r="S35" s="39"/>
      <c r="T35" s="39"/>
      <c r="U35" s="39"/>
      <c r="V35" s="39"/>
      <c r="W35" s="39"/>
      <c r="X35" s="39"/>
      <c r="Y35" s="39"/>
      <c r="Z35" s="40"/>
      <c r="AA35" s="39"/>
      <c r="AB35" s="39"/>
      <c r="AC35" s="40"/>
      <c r="AD35" s="41"/>
      <c r="AE35" s="42"/>
      <c r="AF35" s="42"/>
      <c r="AG35" s="43"/>
      <c r="AH35" s="44"/>
      <c r="AI35" s="45"/>
    </row>
    <row r="36" spans="1:35" ht="14.25" hidden="1" customHeight="1">
      <c r="A36" s="259"/>
      <c r="B36" s="261"/>
      <c r="C36" s="263"/>
      <c r="D36" s="264"/>
      <c r="E36" s="227"/>
      <c r="F36" s="29"/>
      <c r="G36" s="30"/>
      <c r="H36" s="30"/>
      <c r="I36" s="31"/>
      <c r="J36" s="31"/>
      <c r="K36" s="31"/>
      <c r="L36" s="32"/>
      <c r="M36" s="31"/>
      <c r="N36" s="31"/>
      <c r="O36" s="31"/>
      <c r="P36" s="33"/>
      <c r="Q36" s="33"/>
      <c r="R36" s="32"/>
      <c r="S36" s="31"/>
      <c r="T36" s="31"/>
      <c r="U36" s="30"/>
      <c r="V36" s="30"/>
      <c r="W36" s="30"/>
      <c r="X36" s="30"/>
      <c r="Y36" s="30"/>
      <c r="Z36" s="34"/>
      <c r="AA36" s="34"/>
      <c r="AB36" s="30"/>
      <c r="AC36" s="34"/>
      <c r="AD36" s="35"/>
      <c r="AE36" s="162"/>
      <c r="AF36" s="163"/>
      <c r="AG36" s="36"/>
      <c r="AH36" s="37"/>
      <c r="AI36" s="36"/>
    </row>
    <row r="37" spans="1:35" ht="14.25" hidden="1" customHeight="1">
      <c r="A37" s="260"/>
      <c r="B37" s="262"/>
      <c r="C37" s="260"/>
      <c r="D37" s="228"/>
      <c r="E37" s="229"/>
      <c r="F37" s="38"/>
      <c r="G37" s="39"/>
      <c r="H37" s="39"/>
      <c r="I37" s="39"/>
      <c r="J37" s="40"/>
      <c r="K37" s="40"/>
      <c r="L37" s="40"/>
      <c r="M37" s="40"/>
      <c r="N37" s="40"/>
      <c r="O37" s="39"/>
      <c r="P37" s="40"/>
      <c r="Q37" s="177"/>
      <c r="R37" s="40"/>
      <c r="S37" s="39"/>
      <c r="T37" s="39"/>
      <c r="U37" s="39"/>
      <c r="V37" s="39"/>
      <c r="W37" s="39"/>
      <c r="X37" s="39"/>
      <c r="Y37" s="39"/>
      <c r="Z37" s="40"/>
      <c r="AA37" s="39"/>
      <c r="AB37" s="39"/>
      <c r="AC37" s="40"/>
      <c r="AD37" s="41"/>
      <c r="AE37" s="42"/>
      <c r="AF37" s="42"/>
      <c r="AG37" s="43"/>
      <c r="AH37" s="44"/>
      <c r="AI37" s="45"/>
    </row>
    <row r="38" spans="1:35" ht="14.25" hidden="1" customHeight="1">
      <c r="A38" s="259"/>
      <c r="B38" s="261"/>
      <c r="C38" s="263"/>
      <c r="D38" s="264"/>
      <c r="E38" s="227"/>
      <c r="F38" s="29"/>
      <c r="G38" s="30"/>
      <c r="H38" s="30"/>
      <c r="I38" s="31"/>
      <c r="J38" s="31"/>
      <c r="K38" s="31"/>
      <c r="L38" s="32"/>
      <c r="M38" s="31"/>
      <c r="N38" s="31"/>
      <c r="O38" s="31"/>
      <c r="P38" s="33"/>
      <c r="Q38" s="33"/>
      <c r="R38" s="32"/>
      <c r="S38" s="31"/>
      <c r="T38" s="31"/>
      <c r="U38" s="30"/>
      <c r="V38" s="30"/>
      <c r="W38" s="30"/>
      <c r="X38" s="30"/>
      <c r="Y38" s="30"/>
      <c r="Z38" s="34"/>
      <c r="AA38" s="34"/>
      <c r="AB38" s="30"/>
      <c r="AC38" s="34"/>
      <c r="AD38" s="35"/>
      <c r="AE38" s="162"/>
      <c r="AF38" s="163"/>
      <c r="AG38" s="36"/>
      <c r="AH38" s="37"/>
      <c r="AI38" s="36"/>
    </row>
    <row r="39" spans="1:35" ht="14.25" hidden="1" customHeight="1">
      <c r="A39" s="260"/>
      <c r="B39" s="262"/>
      <c r="C39" s="260"/>
      <c r="D39" s="228"/>
      <c r="E39" s="229"/>
      <c r="F39" s="38"/>
      <c r="G39" s="39"/>
      <c r="H39" s="39"/>
      <c r="I39" s="39"/>
      <c r="J39" s="40"/>
      <c r="K39" s="40"/>
      <c r="L39" s="40"/>
      <c r="M39" s="40"/>
      <c r="N39" s="40"/>
      <c r="O39" s="39"/>
      <c r="P39" s="40"/>
      <c r="Q39" s="177"/>
      <c r="R39" s="40"/>
      <c r="S39" s="39"/>
      <c r="T39" s="39"/>
      <c r="U39" s="39"/>
      <c r="V39" s="39"/>
      <c r="W39" s="39"/>
      <c r="X39" s="39"/>
      <c r="Y39" s="39"/>
      <c r="Z39" s="40"/>
      <c r="AA39" s="39"/>
      <c r="AB39" s="39"/>
      <c r="AC39" s="40"/>
      <c r="AD39" s="41"/>
      <c r="AE39" s="42"/>
      <c r="AF39" s="42"/>
      <c r="AG39" s="43"/>
      <c r="AH39" s="44"/>
      <c r="AI39" s="45"/>
    </row>
    <row r="40" spans="1:35" ht="14.25" hidden="1" customHeight="1">
      <c r="A40" s="259"/>
      <c r="B40" s="261"/>
      <c r="C40" s="263"/>
      <c r="D40" s="264"/>
      <c r="E40" s="227"/>
      <c r="F40" s="29"/>
      <c r="G40" s="30"/>
      <c r="H40" s="30"/>
      <c r="I40" s="31"/>
      <c r="J40" s="31"/>
      <c r="K40" s="31"/>
      <c r="L40" s="32"/>
      <c r="M40" s="31"/>
      <c r="N40" s="31"/>
      <c r="O40" s="31"/>
      <c r="P40" s="33"/>
      <c r="Q40" s="33"/>
      <c r="R40" s="32"/>
      <c r="S40" s="31"/>
      <c r="T40" s="31"/>
      <c r="U40" s="30"/>
      <c r="V40" s="30"/>
      <c r="W40" s="30"/>
      <c r="X40" s="30"/>
      <c r="Y40" s="30"/>
      <c r="Z40" s="34"/>
      <c r="AA40" s="34"/>
      <c r="AB40" s="30"/>
      <c r="AC40" s="34"/>
      <c r="AD40" s="35"/>
      <c r="AE40" s="162"/>
      <c r="AF40" s="163"/>
      <c r="AG40" s="36"/>
      <c r="AH40" s="37"/>
      <c r="AI40" s="36"/>
    </row>
    <row r="41" spans="1:35" ht="14.25" hidden="1" customHeight="1">
      <c r="A41" s="260"/>
      <c r="B41" s="262"/>
      <c r="C41" s="260"/>
      <c r="D41" s="228"/>
      <c r="E41" s="229"/>
      <c r="F41" s="38"/>
      <c r="G41" s="39"/>
      <c r="H41" s="39"/>
      <c r="I41" s="39"/>
      <c r="J41" s="40"/>
      <c r="K41" s="40"/>
      <c r="L41" s="40"/>
      <c r="M41" s="40"/>
      <c r="N41" s="40"/>
      <c r="O41" s="39"/>
      <c r="P41" s="40"/>
      <c r="Q41" s="177"/>
      <c r="R41" s="40"/>
      <c r="S41" s="39"/>
      <c r="T41" s="39"/>
      <c r="U41" s="39"/>
      <c r="V41" s="39"/>
      <c r="W41" s="39"/>
      <c r="X41" s="39"/>
      <c r="Y41" s="39"/>
      <c r="Z41" s="40"/>
      <c r="AA41" s="39"/>
      <c r="AB41" s="39"/>
      <c r="AC41" s="40"/>
      <c r="AD41" s="41"/>
      <c r="AE41" s="42"/>
      <c r="AF41" s="42"/>
      <c r="AG41" s="43"/>
      <c r="AH41" s="44"/>
      <c r="AI41" s="45"/>
    </row>
    <row r="42" spans="1:35" ht="14.25" hidden="1" customHeight="1">
      <c r="A42" s="259"/>
      <c r="B42" s="261"/>
      <c r="C42" s="263"/>
      <c r="D42" s="264"/>
      <c r="E42" s="227"/>
      <c r="F42" s="29"/>
      <c r="G42" s="30"/>
      <c r="H42" s="30"/>
      <c r="I42" s="31"/>
      <c r="J42" s="31"/>
      <c r="K42" s="31"/>
      <c r="L42" s="32"/>
      <c r="M42" s="31"/>
      <c r="N42" s="31"/>
      <c r="O42" s="31"/>
      <c r="P42" s="33"/>
      <c r="Q42" s="33"/>
      <c r="R42" s="32"/>
      <c r="S42" s="31"/>
      <c r="T42" s="31"/>
      <c r="U42" s="30"/>
      <c r="V42" s="30"/>
      <c r="W42" s="30"/>
      <c r="X42" s="30"/>
      <c r="Y42" s="30"/>
      <c r="Z42" s="34"/>
      <c r="AA42" s="34"/>
      <c r="AB42" s="30"/>
      <c r="AC42" s="34"/>
      <c r="AD42" s="35"/>
      <c r="AE42" s="162"/>
      <c r="AF42" s="163"/>
      <c r="AG42" s="36"/>
      <c r="AH42" s="37"/>
      <c r="AI42" s="36"/>
    </row>
    <row r="43" spans="1:35" ht="14.25" hidden="1" customHeight="1">
      <c r="A43" s="260"/>
      <c r="B43" s="262"/>
      <c r="C43" s="260"/>
      <c r="D43" s="228"/>
      <c r="E43" s="229"/>
      <c r="F43" s="38"/>
      <c r="G43" s="39"/>
      <c r="H43" s="39"/>
      <c r="I43" s="39"/>
      <c r="J43" s="40"/>
      <c r="K43" s="40"/>
      <c r="L43" s="40"/>
      <c r="M43" s="40"/>
      <c r="N43" s="40"/>
      <c r="O43" s="39"/>
      <c r="P43" s="40"/>
      <c r="Q43" s="177"/>
      <c r="R43" s="40"/>
      <c r="S43" s="39"/>
      <c r="T43" s="39"/>
      <c r="U43" s="39"/>
      <c r="V43" s="39"/>
      <c r="W43" s="39"/>
      <c r="X43" s="39"/>
      <c r="Y43" s="39"/>
      <c r="Z43" s="40"/>
      <c r="AA43" s="39"/>
      <c r="AB43" s="39"/>
      <c r="AC43" s="40"/>
      <c r="AD43" s="41"/>
      <c r="AE43" s="42"/>
      <c r="AF43" s="42"/>
      <c r="AG43" s="43"/>
      <c r="AH43" s="44"/>
      <c r="AI43" s="45"/>
    </row>
    <row r="44" spans="1:35" ht="14.25" hidden="1" customHeight="1">
      <c r="A44" s="259"/>
      <c r="B44" s="261"/>
      <c r="C44" s="263"/>
      <c r="D44" s="264"/>
      <c r="E44" s="227"/>
      <c r="F44" s="29"/>
      <c r="G44" s="30"/>
      <c r="H44" s="30"/>
      <c r="I44" s="31"/>
      <c r="J44" s="31"/>
      <c r="K44" s="31"/>
      <c r="L44" s="32"/>
      <c r="M44" s="31"/>
      <c r="N44" s="31"/>
      <c r="O44" s="31"/>
      <c r="P44" s="33"/>
      <c r="Q44" s="33"/>
      <c r="R44" s="32"/>
      <c r="S44" s="31"/>
      <c r="T44" s="31"/>
      <c r="U44" s="30"/>
      <c r="V44" s="30"/>
      <c r="W44" s="30"/>
      <c r="X44" s="30"/>
      <c r="Y44" s="30"/>
      <c r="Z44" s="34"/>
      <c r="AA44" s="34"/>
      <c r="AB44" s="30"/>
      <c r="AC44" s="34"/>
      <c r="AD44" s="35"/>
      <c r="AE44" s="162"/>
      <c r="AF44" s="163"/>
      <c r="AG44" s="36"/>
      <c r="AH44" s="37"/>
      <c r="AI44" s="36"/>
    </row>
    <row r="45" spans="1:35" ht="14.25" hidden="1" customHeight="1">
      <c r="A45" s="260"/>
      <c r="B45" s="262"/>
      <c r="C45" s="260"/>
      <c r="D45" s="228"/>
      <c r="E45" s="229"/>
      <c r="F45" s="38"/>
      <c r="G45" s="39"/>
      <c r="H45" s="39"/>
      <c r="I45" s="39"/>
      <c r="J45" s="40"/>
      <c r="K45" s="40"/>
      <c r="L45" s="40"/>
      <c r="M45" s="40"/>
      <c r="N45" s="40"/>
      <c r="O45" s="39"/>
      <c r="P45" s="40"/>
      <c r="Q45" s="177"/>
      <c r="R45" s="40"/>
      <c r="S45" s="39"/>
      <c r="T45" s="39"/>
      <c r="U45" s="39"/>
      <c r="V45" s="39"/>
      <c r="W45" s="39"/>
      <c r="X45" s="39"/>
      <c r="Y45" s="39"/>
      <c r="Z45" s="40"/>
      <c r="AA45" s="39"/>
      <c r="AB45" s="39"/>
      <c r="AC45" s="40"/>
      <c r="AD45" s="41"/>
      <c r="AE45" s="42"/>
      <c r="AF45" s="42"/>
      <c r="AG45" s="43"/>
      <c r="AH45" s="44"/>
      <c r="AI45" s="45"/>
    </row>
    <row r="46" spans="1:35" ht="14.25" hidden="1" customHeight="1">
      <c r="A46" s="259"/>
      <c r="B46" s="261"/>
      <c r="C46" s="263"/>
      <c r="D46" s="264"/>
      <c r="E46" s="227"/>
      <c r="F46" s="29"/>
      <c r="G46" s="30"/>
      <c r="H46" s="30"/>
      <c r="I46" s="31"/>
      <c r="J46" s="31"/>
      <c r="K46" s="31"/>
      <c r="L46" s="32"/>
      <c r="M46" s="31"/>
      <c r="N46" s="31"/>
      <c r="O46" s="31"/>
      <c r="P46" s="33"/>
      <c r="Q46" s="33"/>
      <c r="R46" s="32"/>
      <c r="S46" s="31"/>
      <c r="T46" s="31"/>
      <c r="U46" s="30"/>
      <c r="V46" s="30"/>
      <c r="W46" s="30"/>
      <c r="X46" s="30"/>
      <c r="Y46" s="30"/>
      <c r="Z46" s="34"/>
      <c r="AA46" s="34"/>
      <c r="AB46" s="30"/>
      <c r="AC46" s="34"/>
      <c r="AD46" s="35"/>
      <c r="AE46" s="162"/>
      <c r="AF46" s="163"/>
      <c r="AG46" s="36"/>
      <c r="AH46" s="37"/>
      <c r="AI46" s="36"/>
    </row>
    <row r="47" spans="1:35" ht="14.25" hidden="1" customHeight="1">
      <c r="A47" s="260"/>
      <c r="B47" s="262"/>
      <c r="C47" s="260"/>
      <c r="D47" s="228"/>
      <c r="E47" s="229"/>
      <c r="F47" s="38"/>
      <c r="G47" s="39"/>
      <c r="H47" s="39"/>
      <c r="I47" s="39"/>
      <c r="J47" s="40"/>
      <c r="K47" s="40"/>
      <c r="L47" s="40"/>
      <c r="M47" s="40"/>
      <c r="N47" s="40"/>
      <c r="O47" s="39"/>
      <c r="P47" s="40"/>
      <c r="Q47" s="177"/>
      <c r="R47" s="40"/>
      <c r="S47" s="39"/>
      <c r="T47" s="39"/>
      <c r="U47" s="39"/>
      <c r="V47" s="39"/>
      <c r="W47" s="39"/>
      <c r="X47" s="39"/>
      <c r="Y47" s="39"/>
      <c r="Z47" s="40"/>
      <c r="AA47" s="39"/>
      <c r="AB47" s="39"/>
      <c r="AC47" s="40"/>
      <c r="AD47" s="41"/>
      <c r="AE47" s="42"/>
      <c r="AF47" s="42"/>
      <c r="AG47" s="43"/>
      <c r="AH47" s="44"/>
      <c r="AI47" s="45"/>
    </row>
    <row r="48" spans="1:35" ht="14.25" hidden="1" customHeight="1">
      <c r="A48" s="259"/>
      <c r="B48" s="261"/>
      <c r="C48" s="263"/>
      <c r="D48" s="264"/>
      <c r="E48" s="227"/>
      <c r="F48" s="29"/>
      <c r="G48" s="30"/>
      <c r="H48" s="30"/>
      <c r="I48" s="31"/>
      <c r="J48" s="31"/>
      <c r="K48" s="31"/>
      <c r="L48" s="32"/>
      <c r="M48" s="31"/>
      <c r="N48" s="31"/>
      <c r="O48" s="31"/>
      <c r="P48" s="33"/>
      <c r="Q48" s="33"/>
      <c r="R48" s="32"/>
      <c r="S48" s="31"/>
      <c r="T48" s="31"/>
      <c r="U48" s="30"/>
      <c r="V48" s="30"/>
      <c r="W48" s="30"/>
      <c r="X48" s="30"/>
      <c r="Y48" s="30"/>
      <c r="Z48" s="34"/>
      <c r="AA48" s="34"/>
      <c r="AB48" s="30"/>
      <c r="AC48" s="34"/>
      <c r="AD48" s="35"/>
      <c r="AE48" s="162"/>
      <c r="AF48" s="163"/>
      <c r="AG48" s="36"/>
      <c r="AH48" s="37"/>
      <c r="AI48" s="36"/>
    </row>
    <row r="49" spans="1:35" ht="14.25" hidden="1" customHeight="1">
      <c r="A49" s="260"/>
      <c r="B49" s="262"/>
      <c r="C49" s="260"/>
      <c r="D49" s="228"/>
      <c r="E49" s="229"/>
      <c r="F49" s="38"/>
      <c r="G49" s="39"/>
      <c r="H49" s="39"/>
      <c r="I49" s="39"/>
      <c r="J49" s="40"/>
      <c r="K49" s="40"/>
      <c r="L49" s="40"/>
      <c r="M49" s="40"/>
      <c r="N49" s="40"/>
      <c r="O49" s="39"/>
      <c r="P49" s="40"/>
      <c r="Q49" s="177"/>
      <c r="R49" s="40"/>
      <c r="S49" s="39"/>
      <c r="T49" s="39"/>
      <c r="U49" s="39"/>
      <c r="V49" s="39"/>
      <c r="W49" s="39"/>
      <c r="X49" s="39"/>
      <c r="Y49" s="39"/>
      <c r="Z49" s="40"/>
      <c r="AA49" s="39"/>
      <c r="AB49" s="39"/>
      <c r="AC49" s="40"/>
      <c r="AD49" s="41"/>
      <c r="AE49" s="42"/>
      <c r="AF49" s="42"/>
      <c r="AG49" s="43"/>
      <c r="AH49" s="44"/>
      <c r="AI49" s="45"/>
    </row>
    <row r="50" spans="1:35" ht="14.25" hidden="1" customHeight="1">
      <c r="A50" s="259"/>
      <c r="B50" s="261"/>
      <c r="C50" s="263"/>
      <c r="D50" s="264"/>
      <c r="E50" s="227"/>
      <c r="F50" s="29"/>
      <c r="G50" s="30"/>
      <c r="H50" s="30"/>
      <c r="I50" s="31"/>
      <c r="J50" s="31"/>
      <c r="K50" s="31"/>
      <c r="L50" s="32"/>
      <c r="M50" s="31"/>
      <c r="N50" s="31"/>
      <c r="O50" s="31"/>
      <c r="P50" s="33"/>
      <c r="Q50" s="33"/>
      <c r="R50" s="32"/>
      <c r="S50" s="31"/>
      <c r="T50" s="31"/>
      <c r="U50" s="30"/>
      <c r="V50" s="30"/>
      <c r="W50" s="30"/>
      <c r="X50" s="30"/>
      <c r="Y50" s="30"/>
      <c r="Z50" s="34"/>
      <c r="AA50" s="34"/>
      <c r="AB50" s="30"/>
      <c r="AC50" s="34"/>
      <c r="AD50" s="35"/>
      <c r="AE50" s="162"/>
      <c r="AF50" s="163"/>
      <c r="AG50" s="36"/>
      <c r="AH50" s="37"/>
      <c r="AI50" s="36"/>
    </row>
    <row r="51" spans="1:35" ht="14.25" hidden="1" customHeight="1">
      <c r="A51" s="260"/>
      <c r="B51" s="262"/>
      <c r="C51" s="260"/>
      <c r="D51" s="228"/>
      <c r="E51" s="229"/>
      <c r="F51" s="38"/>
      <c r="G51" s="39"/>
      <c r="H51" s="39"/>
      <c r="I51" s="39"/>
      <c r="J51" s="40"/>
      <c r="K51" s="40"/>
      <c r="L51" s="40"/>
      <c r="M51" s="40"/>
      <c r="N51" s="40"/>
      <c r="O51" s="39"/>
      <c r="P51" s="40"/>
      <c r="Q51" s="177"/>
      <c r="R51" s="40"/>
      <c r="S51" s="39"/>
      <c r="T51" s="39"/>
      <c r="U51" s="39"/>
      <c r="V51" s="39"/>
      <c r="W51" s="39"/>
      <c r="X51" s="39"/>
      <c r="Y51" s="39"/>
      <c r="Z51" s="40"/>
      <c r="AA51" s="39"/>
      <c r="AB51" s="39"/>
      <c r="AC51" s="40"/>
      <c r="AD51" s="41"/>
      <c r="AE51" s="42"/>
      <c r="AF51" s="42"/>
      <c r="AG51" s="43"/>
      <c r="AH51" s="44"/>
      <c r="AI51" s="45"/>
    </row>
    <row r="52" spans="1:35" ht="17.25" hidden="1" customHeight="1">
      <c r="A52" s="259"/>
      <c r="B52" s="261"/>
      <c r="C52" s="263"/>
      <c r="D52" s="264"/>
      <c r="E52" s="227"/>
      <c r="F52" s="29"/>
      <c r="G52" s="30"/>
      <c r="H52" s="30"/>
      <c r="I52" s="31"/>
      <c r="J52" s="31"/>
      <c r="K52" s="31"/>
      <c r="L52" s="32"/>
      <c r="M52" s="31"/>
      <c r="N52" s="31"/>
      <c r="O52" s="31"/>
      <c r="P52" s="33"/>
      <c r="Q52" s="33"/>
      <c r="R52" s="32"/>
      <c r="S52" s="31"/>
      <c r="T52" s="31"/>
      <c r="U52" s="30"/>
      <c r="V52" s="30"/>
      <c r="W52" s="30"/>
      <c r="X52" s="30"/>
      <c r="Y52" s="30"/>
      <c r="Z52" s="34"/>
      <c r="AA52" s="34"/>
      <c r="AB52" s="30"/>
      <c r="AC52" s="34"/>
      <c r="AD52" s="35"/>
      <c r="AE52" s="162"/>
      <c r="AF52" s="163"/>
      <c r="AG52" s="36"/>
      <c r="AH52" s="37"/>
      <c r="AI52" s="36"/>
    </row>
    <row r="53" spans="1:35" ht="17.25" hidden="1" customHeight="1">
      <c r="A53" s="260"/>
      <c r="B53" s="262"/>
      <c r="C53" s="260"/>
      <c r="D53" s="228"/>
      <c r="E53" s="229"/>
      <c r="F53" s="38"/>
      <c r="G53" s="39"/>
      <c r="H53" s="39"/>
      <c r="I53" s="39"/>
      <c r="J53" s="40"/>
      <c r="K53" s="40"/>
      <c r="L53" s="40"/>
      <c r="M53" s="40"/>
      <c r="N53" s="40"/>
      <c r="O53" s="39"/>
      <c r="P53" s="40"/>
      <c r="Q53" s="177"/>
      <c r="R53" s="40"/>
      <c r="S53" s="39"/>
      <c r="T53" s="39"/>
      <c r="U53" s="39"/>
      <c r="V53" s="39"/>
      <c r="W53" s="39"/>
      <c r="X53" s="39"/>
      <c r="Y53" s="39"/>
      <c r="Z53" s="40"/>
      <c r="AA53" s="39"/>
      <c r="AB53" s="39"/>
      <c r="AC53" s="40"/>
      <c r="AD53" s="41"/>
      <c r="AE53" s="42"/>
      <c r="AF53" s="42"/>
      <c r="AG53" s="43"/>
      <c r="AH53" s="44"/>
      <c r="AI53" s="45"/>
    </row>
    <row r="54" spans="1:35" ht="17.25" hidden="1" customHeight="1">
      <c r="A54" s="259"/>
      <c r="B54" s="261"/>
      <c r="C54" s="263"/>
      <c r="D54" s="264"/>
      <c r="E54" s="227"/>
      <c r="F54" s="29"/>
      <c r="G54" s="30"/>
      <c r="H54" s="30"/>
      <c r="I54" s="31"/>
      <c r="J54" s="31"/>
      <c r="K54" s="31"/>
      <c r="L54" s="32"/>
      <c r="M54" s="31"/>
      <c r="N54" s="31"/>
      <c r="O54" s="31"/>
      <c r="P54" s="33"/>
      <c r="Q54" s="33"/>
      <c r="R54" s="32"/>
      <c r="S54" s="31"/>
      <c r="T54" s="31"/>
      <c r="U54" s="30"/>
      <c r="V54" s="30"/>
      <c r="W54" s="30"/>
      <c r="X54" s="30"/>
      <c r="Y54" s="30"/>
      <c r="Z54" s="34"/>
      <c r="AA54" s="34"/>
      <c r="AB54" s="30"/>
      <c r="AC54" s="34"/>
      <c r="AD54" s="35"/>
      <c r="AE54" s="162"/>
      <c r="AF54" s="163"/>
      <c r="AG54" s="36"/>
      <c r="AH54" s="37"/>
      <c r="AI54" s="36"/>
    </row>
    <row r="55" spans="1:35" ht="17.25" hidden="1" customHeight="1">
      <c r="A55" s="260"/>
      <c r="B55" s="262"/>
      <c r="C55" s="260"/>
      <c r="D55" s="228"/>
      <c r="E55" s="229"/>
      <c r="F55" s="38"/>
      <c r="G55" s="39"/>
      <c r="H55" s="39"/>
      <c r="I55" s="39"/>
      <c r="J55" s="40"/>
      <c r="K55" s="40"/>
      <c r="L55" s="40"/>
      <c r="M55" s="40"/>
      <c r="N55" s="40"/>
      <c r="O55" s="39"/>
      <c r="P55" s="40"/>
      <c r="Q55" s="177"/>
      <c r="R55" s="40"/>
      <c r="S55" s="39"/>
      <c r="T55" s="39"/>
      <c r="U55" s="39"/>
      <c r="V55" s="39"/>
      <c r="W55" s="39"/>
      <c r="X55" s="39"/>
      <c r="Y55" s="39"/>
      <c r="Z55" s="40"/>
      <c r="AA55" s="39"/>
      <c r="AB55" s="39"/>
      <c r="AC55" s="40"/>
      <c r="AD55" s="41"/>
      <c r="AE55" s="42"/>
      <c r="AF55" s="42"/>
      <c r="AG55" s="43"/>
      <c r="AH55" s="44"/>
      <c r="AI55" s="45"/>
    </row>
    <row r="56" spans="1:35" ht="15.2" hidden="1" customHeight="1">
      <c r="A56" s="259"/>
      <c r="B56" s="261"/>
      <c r="C56" s="263"/>
      <c r="D56" s="264"/>
      <c r="E56" s="227"/>
      <c r="F56" s="29"/>
      <c r="G56" s="30"/>
      <c r="H56" s="30"/>
      <c r="I56" s="31"/>
      <c r="J56" s="31"/>
      <c r="K56" s="31"/>
      <c r="L56" s="32"/>
      <c r="M56" s="31"/>
      <c r="N56" s="31"/>
      <c r="O56" s="31"/>
      <c r="P56" s="33"/>
      <c r="Q56" s="33"/>
      <c r="R56" s="32"/>
      <c r="S56" s="31"/>
      <c r="T56" s="31"/>
      <c r="U56" s="30"/>
      <c r="V56" s="30"/>
      <c r="W56" s="30"/>
      <c r="X56" s="30"/>
      <c r="Y56" s="30"/>
      <c r="Z56" s="34"/>
      <c r="AA56" s="34"/>
      <c r="AB56" s="30"/>
      <c r="AC56" s="34"/>
      <c r="AD56" s="35"/>
      <c r="AE56" s="162"/>
      <c r="AF56" s="163"/>
      <c r="AG56" s="36"/>
      <c r="AH56" s="37"/>
      <c r="AI56" s="36"/>
    </row>
    <row r="57" spans="1:35" ht="15.2" hidden="1" customHeight="1">
      <c r="A57" s="260"/>
      <c r="B57" s="262"/>
      <c r="C57" s="260"/>
      <c r="D57" s="228"/>
      <c r="E57" s="229"/>
      <c r="F57" s="38"/>
      <c r="G57" s="39"/>
      <c r="H57" s="39"/>
      <c r="I57" s="39"/>
      <c r="J57" s="40"/>
      <c r="K57" s="40"/>
      <c r="L57" s="40"/>
      <c r="M57" s="40"/>
      <c r="N57" s="40"/>
      <c r="O57" s="39"/>
      <c r="P57" s="40"/>
      <c r="Q57" s="177"/>
      <c r="R57" s="40"/>
      <c r="S57" s="39"/>
      <c r="T57" s="39"/>
      <c r="U57" s="39"/>
      <c r="V57" s="39"/>
      <c r="W57" s="39"/>
      <c r="X57" s="39"/>
      <c r="Y57" s="39"/>
      <c r="Z57" s="40"/>
      <c r="AA57" s="39"/>
      <c r="AB57" s="39"/>
      <c r="AC57" s="40"/>
      <c r="AD57" s="41"/>
      <c r="AE57" s="42"/>
      <c r="AF57" s="42"/>
      <c r="AG57" s="43"/>
      <c r="AH57" s="44"/>
      <c r="AI57" s="45"/>
    </row>
    <row r="58" spans="1:35" ht="15.2" hidden="1" customHeight="1">
      <c r="A58" s="259"/>
      <c r="B58" s="261"/>
      <c r="C58" s="263"/>
      <c r="D58" s="264"/>
      <c r="E58" s="227"/>
      <c r="F58" s="29"/>
      <c r="G58" s="30"/>
      <c r="H58" s="30"/>
      <c r="I58" s="31"/>
      <c r="J58" s="31"/>
      <c r="K58" s="31"/>
      <c r="L58" s="32"/>
      <c r="M58" s="31"/>
      <c r="N58" s="31"/>
      <c r="O58" s="31"/>
      <c r="P58" s="33"/>
      <c r="Q58" s="33"/>
      <c r="R58" s="32"/>
      <c r="S58" s="31"/>
      <c r="T58" s="31"/>
      <c r="U58" s="30"/>
      <c r="V58" s="30"/>
      <c r="W58" s="30"/>
      <c r="X58" s="30"/>
      <c r="Y58" s="30"/>
      <c r="Z58" s="34"/>
      <c r="AA58" s="34"/>
      <c r="AB58" s="30"/>
      <c r="AC58" s="34"/>
      <c r="AD58" s="35"/>
      <c r="AE58" s="162"/>
      <c r="AF58" s="163"/>
      <c r="AG58" s="36"/>
      <c r="AH58" s="37"/>
      <c r="AI58" s="36"/>
    </row>
    <row r="59" spans="1:35" ht="15.2" hidden="1" customHeight="1">
      <c r="A59" s="260"/>
      <c r="B59" s="262"/>
      <c r="C59" s="260"/>
      <c r="D59" s="228"/>
      <c r="E59" s="229"/>
      <c r="F59" s="38"/>
      <c r="G59" s="39"/>
      <c r="H59" s="39"/>
      <c r="I59" s="39"/>
      <c r="J59" s="40"/>
      <c r="K59" s="40"/>
      <c r="L59" s="40"/>
      <c r="M59" s="40"/>
      <c r="N59" s="40"/>
      <c r="O59" s="39"/>
      <c r="P59" s="40"/>
      <c r="Q59" s="177"/>
      <c r="R59" s="40"/>
      <c r="S59" s="39"/>
      <c r="T59" s="39"/>
      <c r="U59" s="39"/>
      <c r="V59" s="39"/>
      <c r="W59" s="39"/>
      <c r="X59" s="39"/>
      <c r="Y59" s="39"/>
      <c r="Z59" s="40"/>
      <c r="AA59" s="39"/>
      <c r="AB59" s="39"/>
      <c r="AC59" s="40"/>
      <c r="AD59" s="41"/>
      <c r="AE59" s="42"/>
      <c r="AF59" s="42"/>
      <c r="AG59" s="43"/>
      <c r="AH59" s="44"/>
      <c r="AI59" s="45"/>
    </row>
    <row r="60" spans="1:35" ht="15.75" hidden="1" customHeight="1">
      <c r="A60" s="259"/>
      <c r="B60" s="261"/>
      <c r="C60" s="263"/>
      <c r="D60" s="264"/>
      <c r="E60" s="227"/>
      <c r="F60" s="29"/>
      <c r="G60" s="30"/>
      <c r="H60" s="30"/>
      <c r="I60" s="31"/>
      <c r="J60" s="31"/>
      <c r="K60" s="31"/>
      <c r="L60" s="32"/>
      <c r="M60" s="31"/>
      <c r="N60" s="31"/>
      <c r="O60" s="31"/>
      <c r="P60" s="33"/>
      <c r="Q60" s="33"/>
      <c r="R60" s="32"/>
      <c r="S60" s="31"/>
      <c r="T60" s="31"/>
      <c r="U60" s="30"/>
      <c r="V60" s="30"/>
      <c r="W60" s="30"/>
      <c r="X60" s="30"/>
      <c r="Y60" s="30"/>
      <c r="Z60" s="34"/>
      <c r="AA60" s="34"/>
      <c r="AB60" s="30"/>
      <c r="AC60" s="34"/>
      <c r="AD60" s="35"/>
      <c r="AE60" s="162"/>
      <c r="AF60" s="163"/>
      <c r="AG60" s="36"/>
      <c r="AH60" s="37"/>
      <c r="AI60" s="36"/>
    </row>
    <row r="61" spans="1:35" ht="15.75" hidden="1" customHeight="1">
      <c r="A61" s="260"/>
      <c r="B61" s="262"/>
      <c r="C61" s="260"/>
      <c r="D61" s="228"/>
      <c r="E61" s="229"/>
      <c r="F61" s="38"/>
      <c r="G61" s="39"/>
      <c r="H61" s="39"/>
      <c r="I61" s="39"/>
      <c r="J61" s="40"/>
      <c r="K61" s="40"/>
      <c r="L61" s="40"/>
      <c r="M61" s="40"/>
      <c r="N61" s="40"/>
      <c r="O61" s="39"/>
      <c r="P61" s="40"/>
      <c r="Q61" s="177"/>
      <c r="R61" s="40"/>
      <c r="S61" s="39"/>
      <c r="T61" s="39"/>
      <c r="U61" s="39"/>
      <c r="V61" s="39"/>
      <c r="W61" s="39"/>
      <c r="X61" s="39"/>
      <c r="Y61" s="39"/>
      <c r="Z61" s="40"/>
      <c r="AA61" s="39"/>
      <c r="AB61" s="39"/>
      <c r="AC61" s="40"/>
      <c r="AD61" s="41"/>
      <c r="AE61" s="42"/>
      <c r="AF61" s="42"/>
      <c r="AG61" s="43"/>
      <c r="AH61" s="44"/>
      <c r="AI61" s="45"/>
    </row>
    <row r="62" spans="1:35" ht="15.75" hidden="1" customHeight="1">
      <c r="A62" s="259"/>
      <c r="B62" s="261"/>
      <c r="C62" s="263"/>
      <c r="D62" s="264"/>
      <c r="E62" s="227"/>
      <c r="F62" s="29"/>
      <c r="G62" s="30"/>
      <c r="H62" s="30"/>
      <c r="I62" s="31"/>
      <c r="J62" s="31"/>
      <c r="K62" s="31"/>
      <c r="L62" s="32"/>
      <c r="M62" s="31"/>
      <c r="N62" s="31"/>
      <c r="O62" s="31"/>
      <c r="P62" s="33"/>
      <c r="Q62" s="33"/>
      <c r="R62" s="32"/>
      <c r="S62" s="31"/>
      <c r="T62" s="31"/>
      <c r="U62" s="30"/>
      <c r="V62" s="30"/>
      <c r="W62" s="30"/>
      <c r="X62" s="30"/>
      <c r="Y62" s="30"/>
      <c r="Z62" s="34"/>
      <c r="AA62" s="34"/>
      <c r="AB62" s="30"/>
      <c r="AC62" s="34"/>
      <c r="AD62" s="35"/>
      <c r="AE62" s="162"/>
      <c r="AF62" s="163"/>
      <c r="AG62" s="36"/>
      <c r="AH62" s="37"/>
      <c r="AI62" s="36"/>
    </row>
    <row r="63" spans="1:35" ht="15.75" hidden="1" customHeight="1">
      <c r="A63" s="260"/>
      <c r="B63" s="262"/>
      <c r="C63" s="260"/>
      <c r="D63" s="228"/>
      <c r="E63" s="229"/>
      <c r="F63" s="38"/>
      <c r="G63" s="39"/>
      <c r="H63" s="39"/>
      <c r="I63" s="39"/>
      <c r="J63" s="40"/>
      <c r="K63" s="40"/>
      <c r="L63" s="40"/>
      <c r="M63" s="40"/>
      <c r="N63" s="40"/>
      <c r="O63" s="39"/>
      <c r="P63" s="40"/>
      <c r="Q63" s="177"/>
      <c r="R63" s="40"/>
      <c r="S63" s="39"/>
      <c r="T63" s="39"/>
      <c r="U63" s="39"/>
      <c r="V63" s="39"/>
      <c r="W63" s="39"/>
      <c r="X63" s="39"/>
      <c r="Y63" s="39"/>
      <c r="Z63" s="40"/>
      <c r="AA63" s="39"/>
      <c r="AB63" s="39"/>
      <c r="AC63" s="40"/>
      <c r="AD63" s="41"/>
      <c r="AE63" s="42"/>
      <c r="AF63" s="42"/>
      <c r="AG63" s="43"/>
      <c r="AH63" s="44"/>
      <c r="AI63" s="45"/>
    </row>
    <row r="64" spans="1:35" ht="14.25" hidden="1" customHeight="1">
      <c r="A64" s="259"/>
      <c r="B64" s="261"/>
      <c r="C64" s="263"/>
      <c r="D64" s="264"/>
      <c r="E64" s="227"/>
      <c r="F64" s="29"/>
      <c r="G64" s="30"/>
      <c r="H64" s="30"/>
      <c r="I64" s="31"/>
      <c r="J64" s="31"/>
      <c r="K64" s="31"/>
      <c r="L64" s="32"/>
      <c r="M64" s="31"/>
      <c r="N64" s="31"/>
      <c r="O64" s="31"/>
      <c r="P64" s="33"/>
      <c r="Q64" s="33"/>
      <c r="R64" s="32"/>
      <c r="S64" s="31"/>
      <c r="T64" s="31"/>
      <c r="U64" s="30"/>
      <c r="V64" s="30"/>
      <c r="W64" s="30"/>
      <c r="X64" s="30"/>
      <c r="Y64" s="30"/>
      <c r="Z64" s="34"/>
      <c r="AA64" s="34"/>
      <c r="AB64" s="30"/>
      <c r="AC64" s="34"/>
      <c r="AD64" s="35"/>
      <c r="AE64" s="162"/>
      <c r="AF64" s="163"/>
      <c r="AG64" s="36"/>
      <c r="AH64" s="37"/>
      <c r="AI64" s="36"/>
    </row>
    <row r="65" spans="1:35" ht="14.25" hidden="1" customHeight="1">
      <c r="A65" s="260"/>
      <c r="B65" s="262"/>
      <c r="C65" s="260"/>
      <c r="D65" s="228"/>
      <c r="E65" s="229"/>
      <c r="F65" s="38"/>
      <c r="G65" s="39"/>
      <c r="H65" s="39"/>
      <c r="I65" s="39"/>
      <c r="J65" s="40"/>
      <c r="K65" s="40"/>
      <c r="L65" s="40"/>
      <c r="M65" s="40"/>
      <c r="N65" s="40"/>
      <c r="O65" s="39"/>
      <c r="P65" s="40"/>
      <c r="Q65" s="177"/>
      <c r="R65" s="40"/>
      <c r="S65" s="39"/>
      <c r="T65" s="39"/>
      <c r="U65" s="39"/>
      <c r="V65" s="39"/>
      <c r="W65" s="39"/>
      <c r="X65" s="39"/>
      <c r="Y65" s="39"/>
      <c r="Z65" s="40"/>
      <c r="AA65" s="39"/>
      <c r="AB65" s="39"/>
      <c r="AC65" s="40"/>
      <c r="AD65" s="41"/>
      <c r="AE65" s="42"/>
      <c r="AF65" s="42"/>
      <c r="AG65" s="43"/>
      <c r="AH65" s="44"/>
      <c r="AI65" s="45"/>
    </row>
    <row r="66" spans="1:35" ht="14.25" hidden="1" customHeight="1">
      <c r="A66" s="259"/>
      <c r="B66" s="261"/>
      <c r="C66" s="263"/>
      <c r="D66" s="264"/>
      <c r="E66" s="227"/>
      <c r="F66" s="29"/>
      <c r="G66" s="30"/>
      <c r="H66" s="30"/>
      <c r="I66" s="31"/>
      <c r="J66" s="31"/>
      <c r="K66" s="31"/>
      <c r="L66" s="32"/>
      <c r="M66" s="31"/>
      <c r="N66" s="31"/>
      <c r="O66" s="31"/>
      <c r="P66" s="33"/>
      <c r="Q66" s="33"/>
      <c r="R66" s="32"/>
      <c r="S66" s="31"/>
      <c r="T66" s="31"/>
      <c r="U66" s="30"/>
      <c r="V66" s="30"/>
      <c r="W66" s="30"/>
      <c r="X66" s="30"/>
      <c r="Y66" s="30"/>
      <c r="Z66" s="34"/>
      <c r="AA66" s="34"/>
      <c r="AB66" s="30"/>
      <c r="AC66" s="34"/>
      <c r="AD66" s="35"/>
      <c r="AE66" s="162"/>
      <c r="AF66" s="163"/>
      <c r="AG66" s="36"/>
      <c r="AH66" s="37"/>
      <c r="AI66" s="36"/>
    </row>
    <row r="67" spans="1:35" ht="14.25" hidden="1" customHeight="1">
      <c r="A67" s="260"/>
      <c r="B67" s="262"/>
      <c r="C67" s="260"/>
      <c r="D67" s="228"/>
      <c r="E67" s="229"/>
      <c r="F67" s="38"/>
      <c r="G67" s="39"/>
      <c r="H67" s="39"/>
      <c r="I67" s="39"/>
      <c r="J67" s="40"/>
      <c r="K67" s="40"/>
      <c r="L67" s="40"/>
      <c r="M67" s="40"/>
      <c r="N67" s="40"/>
      <c r="O67" s="39"/>
      <c r="P67" s="40"/>
      <c r="Q67" s="177"/>
      <c r="R67" s="40"/>
      <c r="S67" s="39"/>
      <c r="T67" s="39"/>
      <c r="U67" s="39"/>
      <c r="V67" s="39"/>
      <c r="W67" s="39"/>
      <c r="X67" s="39"/>
      <c r="Y67" s="39"/>
      <c r="Z67" s="40"/>
      <c r="AA67" s="39"/>
      <c r="AB67" s="39"/>
      <c r="AC67" s="40"/>
      <c r="AD67" s="41"/>
      <c r="AE67" s="42"/>
      <c r="AF67" s="42"/>
      <c r="AG67" s="43"/>
      <c r="AH67" s="44"/>
      <c r="AI67" s="45"/>
    </row>
    <row r="68" spans="1:35" ht="14.25" hidden="1" customHeight="1">
      <c r="A68" s="259"/>
      <c r="B68" s="261"/>
      <c r="C68" s="263"/>
      <c r="D68" s="264"/>
      <c r="E68" s="227"/>
      <c r="F68" s="29"/>
      <c r="G68" s="30"/>
      <c r="H68" s="30"/>
      <c r="I68" s="31"/>
      <c r="J68" s="31"/>
      <c r="K68" s="31"/>
      <c r="L68" s="32"/>
      <c r="M68" s="31"/>
      <c r="N68" s="31"/>
      <c r="O68" s="31"/>
      <c r="P68" s="33"/>
      <c r="Q68" s="33"/>
      <c r="R68" s="32"/>
      <c r="S68" s="31"/>
      <c r="T68" s="31"/>
      <c r="U68" s="30"/>
      <c r="V68" s="30"/>
      <c r="W68" s="30"/>
      <c r="X68" s="30"/>
      <c r="Y68" s="30"/>
      <c r="Z68" s="34"/>
      <c r="AA68" s="34"/>
      <c r="AB68" s="30"/>
      <c r="AC68" s="34"/>
      <c r="AD68" s="35"/>
      <c r="AE68" s="162"/>
      <c r="AF68" s="163"/>
      <c r="AG68" s="36"/>
      <c r="AH68" s="37"/>
      <c r="AI68" s="36"/>
    </row>
    <row r="69" spans="1:35" ht="14.25" hidden="1" customHeight="1">
      <c r="A69" s="260"/>
      <c r="B69" s="262"/>
      <c r="C69" s="260"/>
      <c r="D69" s="228"/>
      <c r="E69" s="229"/>
      <c r="F69" s="38"/>
      <c r="G69" s="39"/>
      <c r="H69" s="39"/>
      <c r="I69" s="39"/>
      <c r="J69" s="40"/>
      <c r="K69" s="40"/>
      <c r="L69" s="40"/>
      <c r="M69" s="40"/>
      <c r="N69" s="40"/>
      <c r="O69" s="39"/>
      <c r="P69" s="40"/>
      <c r="Q69" s="177"/>
      <c r="R69" s="40"/>
      <c r="S69" s="39"/>
      <c r="T69" s="39"/>
      <c r="U69" s="39"/>
      <c r="V69" s="39"/>
      <c r="W69" s="39"/>
      <c r="X69" s="39"/>
      <c r="Y69" s="39"/>
      <c r="Z69" s="40"/>
      <c r="AA69" s="39"/>
      <c r="AB69" s="39"/>
      <c r="AC69" s="40"/>
      <c r="AD69" s="41"/>
      <c r="AE69" s="42"/>
      <c r="AF69" s="42"/>
      <c r="AG69" s="43"/>
      <c r="AH69" s="44"/>
      <c r="AI69" s="45"/>
    </row>
    <row r="70" spans="1:35" ht="14.25" hidden="1" customHeight="1">
      <c r="A70" s="259"/>
      <c r="B70" s="261"/>
      <c r="C70" s="263"/>
      <c r="D70" s="264"/>
      <c r="E70" s="227"/>
      <c r="F70" s="29"/>
      <c r="G70" s="30"/>
      <c r="H70" s="30"/>
      <c r="I70" s="31"/>
      <c r="J70" s="31"/>
      <c r="K70" s="31"/>
      <c r="L70" s="32"/>
      <c r="M70" s="31"/>
      <c r="N70" s="31"/>
      <c r="O70" s="31"/>
      <c r="P70" s="33"/>
      <c r="Q70" s="33"/>
      <c r="R70" s="32"/>
      <c r="S70" s="31"/>
      <c r="T70" s="31"/>
      <c r="U70" s="30"/>
      <c r="V70" s="30"/>
      <c r="W70" s="30"/>
      <c r="X70" s="30"/>
      <c r="Y70" s="30"/>
      <c r="Z70" s="34"/>
      <c r="AA70" s="34"/>
      <c r="AB70" s="30"/>
      <c r="AC70" s="34"/>
      <c r="AD70" s="35"/>
      <c r="AE70" s="162"/>
      <c r="AF70" s="163"/>
      <c r="AG70" s="36"/>
      <c r="AH70" s="37"/>
      <c r="AI70" s="36"/>
    </row>
    <row r="71" spans="1:35" ht="14.25" hidden="1" customHeight="1">
      <c r="A71" s="260"/>
      <c r="B71" s="262"/>
      <c r="C71" s="260"/>
      <c r="D71" s="228"/>
      <c r="E71" s="229"/>
      <c r="F71" s="38"/>
      <c r="G71" s="39"/>
      <c r="H71" s="39"/>
      <c r="I71" s="39"/>
      <c r="J71" s="40"/>
      <c r="K71" s="40"/>
      <c r="L71" s="40"/>
      <c r="M71" s="40"/>
      <c r="N71" s="40"/>
      <c r="O71" s="39"/>
      <c r="P71" s="40"/>
      <c r="Q71" s="177"/>
      <c r="R71" s="40"/>
      <c r="S71" s="39"/>
      <c r="T71" s="39"/>
      <c r="U71" s="39"/>
      <c r="V71" s="39"/>
      <c r="W71" s="39"/>
      <c r="X71" s="39"/>
      <c r="Y71" s="39"/>
      <c r="Z71" s="40"/>
      <c r="AA71" s="39"/>
      <c r="AB71" s="39"/>
      <c r="AC71" s="40"/>
      <c r="AD71" s="41"/>
      <c r="AE71" s="42"/>
      <c r="AF71" s="42"/>
      <c r="AG71" s="43"/>
      <c r="AH71" s="44"/>
      <c r="AI71" s="45"/>
    </row>
    <row r="72" spans="1:35" ht="14.25" hidden="1" customHeight="1">
      <c r="A72" s="259"/>
      <c r="B72" s="261"/>
      <c r="C72" s="263"/>
      <c r="D72" s="264"/>
      <c r="E72" s="227"/>
      <c r="F72" s="29"/>
      <c r="G72" s="30"/>
      <c r="H72" s="30"/>
      <c r="I72" s="31"/>
      <c r="J72" s="31"/>
      <c r="K72" s="31"/>
      <c r="L72" s="32"/>
      <c r="M72" s="31"/>
      <c r="N72" s="31"/>
      <c r="O72" s="31"/>
      <c r="P72" s="33"/>
      <c r="Q72" s="33"/>
      <c r="R72" s="32"/>
      <c r="S72" s="31"/>
      <c r="T72" s="31"/>
      <c r="U72" s="30"/>
      <c r="V72" s="30"/>
      <c r="W72" s="30"/>
      <c r="X72" s="30"/>
      <c r="Y72" s="30"/>
      <c r="Z72" s="34"/>
      <c r="AA72" s="34"/>
      <c r="AB72" s="30"/>
      <c r="AC72" s="34"/>
      <c r="AD72" s="35"/>
      <c r="AE72" s="162"/>
      <c r="AF72" s="163"/>
      <c r="AG72" s="36"/>
      <c r="AH72" s="37"/>
      <c r="AI72" s="36"/>
    </row>
    <row r="73" spans="1:35" ht="14.25" hidden="1" customHeight="1">
      <c r="A73" s="260"/>
      <c r="B73" s="262"/>
      <c r="C73" s="260"/>
      <c r="D73" s="228"/>
      <c r="E73" s="229"/>
      <c r="F73" s="38"/>
      <c r="G73" s="39"/>
      <c r="H73" s="39"/>
      <c r="I73" s="39"/>
      <c r="J73" s="40"/>
      <c r="K73" s="40"/>
      <c r="L73" s="40"/>
      <c r="M73" s="40"/>
      <c r="N73" s="40"/>
      <c r="O73" s="39"/>
      <c r="P73" s="40"/>
      <c r="Q73" s="177"/>
      <c r="R73" s="40"/>
      <c r="S73" s="39"/>
      <c r="T73" s="39"/>
      <c r="U73" s="39"/>
      <c r="V73" s="39"/>
      <c r="W73" s="39"/>
      <c r="X73" s="39"/>
      <c r="Y73" s="39"/>
      <c r="Z73" s="40"/>
      <c r="AA73" s="39"/>
      <c r="AB73" s="39"/>
      <c r="AC73" s="40"/>
      <c r="AD73" s="41"/>
      <c r="AE73" s="42"/>
      <c r="AF73" s="42"/>
      <c r="AG73" s="43"/>
      <c r="AH73" s="44"/>
      <c r="AI73" s="45"/>
    </row>
    <row r="74" spans="1:35" ht="14.25" hidden="1" customHeight="1">
      <c r="A74" s="259"/>
      <c r="B74" s="261"/>
      <c r="C74" s="263"/>
      <c r="D74" s="264"/>
      <c r="E74" s="227"/>
      <c r="F74" s="29"/>
      <c r="G74" s="30"/>
      <c r="H74" s="30"/>
      <c r="I74" s="31"/>
      <c r="J74" s="31"/>
      <c r="K74" s="31"/>
      <c r="L74" s="32"/>
      <c r="M74" s="31"/>
      <c r="N74" s="31"/>
      <c r="O74" s="31"/>
      <c r="P74" s="33"/>
      <c r="Q74" s="33"/>
      <c r="R74" s="32"/>
      <c r="S74" s="31"/>
      <c r="T74" s="31"/>
      <c r="U74" s="30"/>
      <c r="V74" s="30"/>
      <c r="W74" s="30"/>
      <c r="X74" s="30"/>
      <c r="Y74" s="30"/>
      <c r="Z74" s="34"/>
      <c r="AA74" s="34"/>
      <c r="AB74" s="30"/>
      <c r="AC74" s="34"/>
      <c r="AD74" s="35"/>
      <c r="AE74" s="162"/>
      <c r="AF74" s="163"/>
      <c r="AG74" s="36"/>
      <c r="AH74" s="37"/>
      <c r="AI74" s="36"/>
    </row>
    <row r="75" spans="1:35" ht="14.25" hidden="1" customHeight="1">
      <c r="A75" s="260"/>
      <c r="B75" s="262"/>
      <c r="C75" s="260"/>
      <c r="D75" s="228"/>
      <c r="E75" s="229"/>
      <c r="F75" s="38"/>
      <c r="G75" s="39"/>
      <c r="H75" s="39"/>
      <c r="I75" s="39"/>
      <c r="J75" s="40"/>
      <c r="K75" s="40"/>
      <c r="L75" s="40"/>
      <c r="M75" s="40"/>
      <c r="N75" s="40"/>
      <c r="O75" s="39"/>
      <c r="P75" s="40"/>
      <c r="Q75" s="177"/>
      <c r="R75" s="40"/>
      <c r="S75" s="39"/>
      <c r="T75" s="39"/>
      <c r="U75" s="39"/>
      <c r="V75" s="39"/>
      <c r="W75" s="39"/>
      <c r="X75" s="39"/>
      <c r="Y75" s="39"/>
      <c r="Z75" s="40"/>
      <c r="AA75" s="39"/>
      <c r="AB75" s="39"/>
      <c r="AC75" s="40"/>
      <c r="AD75" s="41"/>
      <c r="AE75" s="42"/>
      <c r="AF75" s="42"/>
      <c r="AG75" s="43"/>
      <c r="AH75" s="44"/>
      <c r="AI75" s="45"/>
    </row>
    <row r="76" spans="1:35" ht="14.25" hidden="1" customHeight="1">
      <c r="A76" s="259"/>
      <c r="B76" s="261"/>
      <c r="C76" s="263"/>
      <c r="D76" s="264"/>
      <c r="E76" s="227"/>
      <c r="F76" s="29"/>
      <c r="G76" s="30"/>
      <c r="H76" s="30"/>
      <c r="I76" s="31"/>
      <c r="J76" s="31"/>
      <c r="K76" s="31"/>
      <c r="L76" s="32"/>
      <c r="M76" s="31"/>
      <c r="N76" s="31"/>
      <c r="O76" s="31"/>
      <c r="P76" s="33"/>
      <c r="Q76" s="33"/>
      <c r="R76" s="32"/>
      <c r="S76" s="31"/>
      <c r="T76" s="31"/>
      <c r="U76" s="30"/>
      <c r="V76" s="30"/>
      <c r="W76" s="30"/>
      <c r="X76" s="30"/>
      <c r="Y76" s="30"/>
      <c r="Z76" s="34"/>
      <c r="AA76" s="34"/>
      <c r="AB76" s="30"/>
      <c r="AC76" s="34"/>
      <c r="AD76" s="35"/>
      <c r="AE76" s="162"/>
      <c r="AF76" s="163"/>
      <c r="AG76" s="36"/>
      <c r="AH76" s="37"/>
      <c r="AI76" s="36"/>
    </row>
    <row r="77" spans="1:35" ht="14.25" hidden="1" customHeight="1">
      <c r="A77" s="260"/>
      <c r="B77" s="262"/>
      <c r="C77" s="260"/>
      <c r="D77" s="228"/>
      <c r="E77" s="229"/>
      <c r="F77" s="38"/>
      <c r="G77" s="39"/>
      <c r="H77" s="39"/>
      <c r="I77" s="39"/>
      <c r="J77" s="40"/>
      <c r="K77" s="40"/>
      <c r="L77" s="40"/>
      <c r="M77" s="40"/>
      <c r="N77" s="40"/>
      <c r="O77" s="39"/>
      <c r="P77" s="40"/>
      <c r="Q77" s="177"/>
      <c r="R77" s="40"/>
      <c r="S77" s="39"/>
      <c r="T77" s="39"/>
      <c r="U77" s="39"/>
      <c r="V77" s="39"/>
      <c r="W77" s="39"/>
      <c r="X77" s="39"/>
      <c r="Y77" s="39"/>
      <c r="Z77" s="40"/>
      <c r="AA77" s="39"/>
      <c r="AB77" s="39"/>
      <c r="AC77" s="40"/>
      <c r="AD77" s="41"/>
      <c r="AE77" s="42"/>
      <c r="AF77" s="42"/>
      <c r="AG77" s="43"/>
      <c r="AH77" s="44"/>
      <c r="AI77" s="45"/>
    </row>
    <row r="78" spans="1:35" ht="14.25" hidden="1" customHeight="1">
      <c r="A78" s="259"/>
      <c r="B78" s="261"/>
      <c r="C78" s="263"/>
      <c r="D78" s="264"/>
      <c r="E78" s="227"/>
      <c r="F78" s="29"/>
      <c r="G78" s="30"/>
      <c r="H78" s="30"/>
      <c r="I78" s="31"/>
      <c r="J78" s="31"/>
      <c r="K78" s="31"/>
      <c r="L78" s="32"/>
      <c r="M78" s="31"/>
      <c r="N78" s="31"/>
      <c r="O78" s="31"/>
      <c r="P78" s="33"/>
      <c r="Q78" s="33"/>
      <c r="R78" s="32"/>
      <c r="S78" s="31"/>
      <c r="T78" s="31"/>
      <c r="U78" s="30"/>
      <c r="V78" s="30"/>
      <c r="W78" s="30"/>
      <c r="X78" s="30"/>
      <c r="Y78" s="30"/>
      <c r="Z78" s="34"/>
      <c r="AA78" s="34"/>
      <c r="AB78" s="30"/>
      <c r="AC78" s="34"/>
      <c r="AD78" s="35"/>
      <c r="AE78" s="162"/>
      <c r="AF78" s="163"/>
      <c r="AG78" s="36"/>
      <c r="AH78" s="37"/>
      <c r="AI78" s="36"/>
    </row>
    <row r="79" spans="1:35" ht="14.25" hidden="1" customHeight="1">
      <c r="A79" s="260"/>
      <c r="B79" s="262"/>
      <c r="C79" s="260"/>
      <c r="D79" s="228"/>
      <c r="E79" s="229"/>
      <c r="F79" s="38"/>
      <c r="G79" s="39"/>
      <c r="H79" s="39"/>
      <c r="I79" s="39"/>
      <c r="J79" s="40"/>
      <c r="K79" s="40"/>
      <c r="L79" s="40"/>
      <c r="M79" s="40"/>
      <c r="N79" s="40"/>
      <c r="O79" s="39"/>
      <c r="P79" s="40"/>
      <c r="Q79" s="177"/>
      <c r="R79" s="40"/>
      <c r="S79" s="39"/>
      <c r="T79" s="39"/>
      <c r="U79" s="39"/>
      <c r="V79" s="39"/>
      <c r="W79" s="39"/>
      <c r="X79" s="39"/>
      <c r="Y79" s="39"/>
      <c r="Z79" s="40"/>
      <c r="AA79" s="39"/>
      <c r="AB79" s="39"/>
      <c r="AC79" s="40"/>
      <c r="AD79" s="41"/>
      <c r="AE79" s="42"/>
      <c r="AF79" s="42"/>
      <c r="AG79" s="43"/>
      <c r="AH79" s="44"/>
      <c r="AI79" s="45"/>
    </row>
    <row r="80" spans="1:35" ht="14.25" hidden="1" customHeight="1">
      <c r="A80" s="259"/>
      <c r="B80" s="261"/>
      <c r="C80" s="263"/>
      <c r="D80" s="264"/>
      <c r="E80" s="227"/>
      <c r="F80" s="29"/>
      <c r="G80" s="30"/>
      <c r="H80" s="30"/>
      <c r="I80" s="31"/>
      <c r="J80" s="31"/>
      <c r="K80" s="31"/>
      <c r="L80" s="32"/>
      <c r="M80" s="31"/>
      <c r="N80" s="31"/>
      <c r="O80" s="31"/>
      <c r="P80" s="33"/>
      <c r="Q80" s="33"/>
      <c r="R80" s="32"/>
      <c r="S80" s="31"/>
      <c r="T80" s="31"/>
      <c r="U80" s="30"/>
      <c r="V80" s="30"/>
      <c r="W80" s="30"/>
      <c r="X80" s="30"/>
      <c r="Y80" s="30"/>
      <c r="Z80" s="34"/>
      <c r="AA80" s="34"/>
      <c r="AB80" s="30"/>
      <c r="AC80" s="34"/>
      <c r="AD80" s="35"/>
      <c r="AE80" s="162"/>
      <c r="AF80" s="163"/>
      <c r="AG80" s="36"/>
      <c r="AH80" s="37"/>
      <c r="AI80" s="36"/>
    </row>
    <row r="81" spans="1:35" ht="14.25" hidden="1" customHeight="1">
      <c r="A81" s="260"/>
      <c r="B81" s="262"/>
      <c r="C81" s="260"/>
      <c r="D81" s="228"/>
      <c r="E81" s="229"/>
      <c r="F81" s="38"/>
      <c r="G81" s="39"/>
      <c r="H81" s="39"/>
      <c r="I81" s="39"/>
      <c r="J81" s="40"/>
      <c r="K81" s="40"/>
      <c r="L81" s="40"/>
      <c r="M81" s="40"/>
      <c r="N81" s="40"/>
      <c r="O81" s="39"/>
      <c r="P81" s="40"/>
      <c r="Q81" s="177"/>
      <c r="R81" s="40"/>
      <c r="S81" s="39"/>
      <c r="T81" s="39"/>
      <c r="U81" s="39"/>
      <c r="V81" s="39"/>
      <c r="W81" s="39"/>
      <c r="X81" s="39"/>
      <c r="Y81" s="39"/>
      <c r="Z81" s="40"/>
      <c r="AA81" s="39"/>
      <c r="AB81" s="39"/>
      <c r="AC81" s="40"/>
      <c r="AD81" s="41"/>
      <c r="AE81" s="42"/>
      <c r="AF81" s="42"/>
      <c r="AG81" s="43"/>
      <c r="AH81" s="44"/>
      <c r="AI81" s="45"/>
    </row>
    <row r="82" spans="1:35" ht="14.25" hidden="1" customHeight="1">
      <c r="A82" s="259"/>
      <c r="B82" s="261"/>
      <c r="C82" s="263"/>
      <c r="D82" s="264"/>
      <c r="E82" s="227"/>
      <c r="F82" s="29"/>
      <c r="G82" s="30"/>
      <c r="H82" s="30"/>
      <c r="I82" s="31"/>
      <c r="J82" s="31"/>
      <c r="K82" s="31"/>
      <c r="L82" s="32"/>
      <c r="M82" s="31"/>
      <c r="N82" s="31"/>
      <c r="O82" s="31"/>
      <c r="P82" s="33"/>
      <c r="Q82" s="33"/>
      <c r="R82" s="32"/>
      <c r="S82" s="31"/>
      <c r="T82" s="31"/>
      <c r="U82" s="30"/>
      <c r="V82" s="30"/>
      <c r="W82" s="30"/>
      <c r="X82" s="30"/>
      <c r="Y82" s="30"/>
      <c r="Z82" s="34"/>
      <c r="AA82" s="34"/>
      <c r="AB82" s="30"/>
      <c r="AC82" s="34"/>
      <c r="AD82" s="35"/>
      <c r="AE82" s="162"/>
      <c r="AF82" s="163"/>
      <c r="AG82" s="36"/>
      <c r="AH82" s="37"/>
      <c r="AI82" s="36"/>
    </row>
    <row r="83" spans="1:35" ht="14.25" hidden="1" customHeight="1">
      <c r="A83" s="260"/>
      <c r="B83" s="262"/>
      <c r="C83" s="260"/>
      <c r="D83" s="228"/>
      <c r="E83" s="229"/>
      <c r="F83" s="38"/>
      <c r="G83" s="39"/>
      <c r="H83" s="39"/>
      <c r="I83" s="39"/>
      <c r="J83" s="40"/>
      <c r="K83" s="40"/>
      <c r="L83" s="40"/>
      <c r="M83" s="40"/>
      <c r="N83" s="40"/>
      <c r="O83" s="39"/>
      <c r="P83" s="40"/>
      <c r="Q83" s="177"/>
      <c r="R83" s="40"/>
      <c r="S83" s="39"/>
      <c r="T83" s="39"/>
      <c r="U83" s="39"/>
      <c r="V83" s="39"/>
      <c r="W83" s="39"/>
      <c r="X83" s="39"/>
      <c r="Y83" s="39"/>
      <c r="Z83" s="40"/>
      <c r="AA83" s="39"/>
      <c r="AB83" s="39"/>
      <c r="AC83" s="40"/>
      <c r="AD83" s="41"/>
      <c r="AE83" s="42"/>
      <c r="AF83" s="42"/>
      <c r="AG83" s="43"/>
      <c r="AH83" s="44"/>
      <c r="AI83" s="45"/>
    </row>
    <row r="84" spans="1:35" ht="15.75" hidden="1" customHeight="1">
      <c r="A84" s="259"/>
      <c r="B84" s="261"/>
      <c r="C84" s="263"/>
      <c r="D84" s="264"/>
      <c r="E84" s="227"/>
      <c r="F84" s="29"/>
      <c r="G84" s="30"/>
      <c r="H84" s="30"/>
      <c r="I84" s="31"/>
      <c r="J84" s="31"/>
      <c r="K84" s="31"/>
      <c r="L84" s="32"/>
      <c r="M84" s="31"/>
      <c r="N84" s="31"/>
      <c r="O84" s="31"/>
      <c r="P84" s="33"/>
      <c r="Q84" s="33"/>
      <c r="R84" s="32"/>
      <c r="S84" s="31"/>
      <c r="T84" s="31"/>
      <c r="U84" s="30"/>
      <c r="V84" s="30"/>
      <c r="W84" s="30"/>
      <c r="X84" s="30"/>
      <c r="Y84" s="30"/>
      <c r="Z84" s="34"/>
      <c r="AA84" s="34"/>
      <c r="AB84" s="30"/>
      <c r="AC84" s="34"/>
      <c r="AD84" s="35"/>
      <c r="AE84" s="162"/>
      <c r="AF84" s="163"/>
      <c r="AG84" s="36"/>
      <c r="AH84" s="37"/>
      <c r="AI84" s="36"/>
    </row>
    <row r="85" spans="1:35" ht="15.75" hidden="1" customHeight="1">
      <c r="A85" s="260"/>
      <c r="B85" s="262"/>
      <c r="C85" s="260"/>
      <c r="D85" s="228"/>
      <c r="E85" s="229"/>
      <c r="F85" s="38"/>
      <c r="G85" s="39"/>
      <c r="H85" s="39"/>
      <c r="I85" s="39"/>
      <c r="J85" s="40"/>
      <c r="K85" s="40"/>
      <c r="L85" s="40"/>
      <c r="M85" s="40"/>
      <c r="N85" s="40"/>
      <c r="O85" s="39"/>
      <c r="P85" s="40"/>
      <c r="Q85" s="177"/>
      <c r="R85" s="40"/>
      <c r="S85" s="39"/>
      <c r="T85" s="39"/>
      <c r="U85" s="39"/>
      <c r="V85" s="39"/>
      <c r="W85" s="39"/>
      <c r="X85" s="39"/>
      <c r="Y85" s="39"/>
      <c r="Z85" s="40"/>
      <c r="AA85" s="39"/>
      <c r="AB85" s="39"/>
      <c r="AC85" s="40"/>
      <c r="AD85" s="41"/>
      <c r="AE85" s="42"/>
      <c r="AF85" s="42"/>
      <c r="AG85" s="43"/>
      <c r="AH85" s="44"/>
      <c r="AI85" s="45"/>
    </row>
    <row r="86" spans="1:35" ht="15.75" hidden="1" customHeight="1">
      <c r="A86" s="259"/>
      <c r="B86" s="261"/>
      <c r="C86" s="263"/>
      <c r="D86" s="264"/>
      <c r="E86" s="227"/>
      <c r="F86" s="29"/>
      <c r="G86" s="30"/>
      <c r="H86" s="30"/>
      <c r="I86" s="31"/>
      <c r="J86" s="31"/>
      <c r="K86" s="31"/>
      <c r="L86" s="32"/>
      <c r="M86" s="31"/>
      <c r="N86" s="31"/>
      <c r="O86" s="31"/>
      <c r="P86" s="33"/>
      <c r="Q86" s="33"/>
      <c r="R86" s="32"/>
      <c r="S86" s="31"/>
      <c r="T86" s="31"/>
      <c r="U86" s="30"/>
      <c r="V86" s="30"/>
      <c r="W86" s="30"/>
      <c r="X86" s="30"/>
      <c r="Y86" s="30"/>
      <c r="Z86" s="34"/>
      <c r="AA86" s="34"/>
      <c r="AB86" s="30"/>
      <c r="AC86" s="34"/>
      <c r="AD86" s="35"/>
      <c r="AE86" s="162"/>
      <c r="AF86" s="163"/>
      <c r="AG86" s="36"/>
      <c r="AH86" s="37"/>
      <c r="AI86" s="36"/>
    </row>
    <row r="87" spans="1:35" ht="15.75" hidden="1" customHeight="1">
      <c r="A87" s="260"/>
      <c r="B87" s="262"/>
      <c r="C87" s="260"/>
      <c r="D87" s="228"/>
      <c r="E87" s="229"/>
      <c r="F87" s="38"/>
      <c r="G87" s="39"/>
      <c r="H87" s="39"/>
      <c r="I87" s="39"/>
      <c r="J87" s="40"/>
      <c r="K87" s="40"/>
      <c r="L87" s="40"/>
      <c r="M87" s="40"/>
      <c r="N87" s="40"/>
      <c r="O87" s="39"/>
      <c r="P87" s="40"/>
      <c r="Q87" s="177"/>
      <c r="R87" s="40"/>
      <c r="S87" s="39"/>
      <c r="T87" s="39"/>
      <c r="U87" s="39"/>
      <c r="V87" s="39"/>
      <c r="W87" s="39"/>
      <c r="X87" s="39"/>
      <c r="Y87" s="39"/>
      <c r="Z87" s="40"/>
      <c r="AA87" s="39"/>
      <c r="AB87" s="39"/>
      <c r="AC87" s="40"/>
      <c r="AD87" s="41"/>
      <c r="AE87" s="42"/>
      <c r="AF87" s="42"/>
      <c r="AG87" s="43"/>
      <c r="AH87" s="44"/>
      <c r="AI87" s="45"/>
    </row>
    <row r="88" spans="1:35" ht="16.5" hidden="1" customHeight="1">
      <c r="A88" s="259"/>
      <c r="B88" s="261"/>
      <c r="C88" s="263"/>
      <c r="D88" s="264"/>
      <c r="E88" s="227"/>
      <c r="F88" s="29"/>
      <c r="G88" s="30"/>
      <c r="H88" s="30"/>
      <c r="I88" s="31"/>
      <c r="J88" s="31"/>
      <c r="K88" s="31"/>
      <c r="L88" s="32"/>
      <c r="M88" s="31"/>
      <c r="N88" s="31"/>
      <c r="O88" s="31"/>
      <c r="P88" s="33"/>
      <c r="Q88" s="33"/>
      <c r="R88" s="32"/>
      <c r="S88" s="31"/>
      <c r="T88" s="31"/>
      <c r="U88" s="30"/>
      <c r="V88" s="30"/>
      <c r="W88" s="30"/>
      <c r="X88" s="30"/>
      <c r="Y88" s="30"/>
      <c r="Z88" s="34"/>
      <c r="AA88" s="34"/>
      <c r="AB88" s="30"/>
      <c r="AC88" s="34"/>
      <c r="AD88" s="35"/>
      <c r="AE88" s="162"/>
      <c r="AF88" s="163"/>
      <c r="AG88" s="36"/>
      <c r="AH88" s="37"/>
      <c r="AI88" s="36"/>
    </row>
    <row r="89" spans="1:35" ht="16.5" hidden="1" customHeight="1">
      <c r="A89" s="260"/>
      <c r="B89" s="262"/>
      <c r="C89" s="260"/>
      <c r="D89" s="228"/>
      <c r="E89" s="229"/>
      <c r="F89" s="38"/>
      <c r="G89" s="39"/>
      <c r="H89" s="39"/>
      <c r="I89" s="39"/>
      <c r="J89" s="40"/>
      <c r="K89" s="40"/>
      <c r="L89" s="40"/>
      <c r="M89" s="40"/>
      <c r="N89" s="40"/>
      <c r="O89" s="39"/>
      <c r="P89" s="40"/>
      <c r="Q89" s="177"/>
      <c r="R89" s="40"/>
      <c r="S89" s="39"/>
      <c r="T89" s="39"/>
      <c r="U89" s="39"/>
      <c r="V89" s="39"/>
      <c r="W89" s="39"/>
      <c r="X89" s="39"/>
      <c r="Y89" s="39"/>
      <c r="Z89" s="40"/>
      <c r="AA89" s="39"/>
      <c r="AB89" s="39"/>
      <c r="AC89" s="40"/>
      <c r="AD89" s="41"/>
      <c r="AE89" s="42"/>
      <c r="AF89" s="42"/>
      <c r="AG89" s="43"/>
      <c r="AH89" s="44"/>
      <c r="AI89" s="45"/>
    </row>
    <row r="90" spans="1:35" ht="15.75" hidden="1" customHeight="1">
      <c r="A90" s="259"/>
      <c r="B90" s="261"/>
      <c r="C90" s="263"/>
      <c r="D90" s="264"/>
      <c r="E90" s="227"/>
      <c r="F90" s="29"/>
      <c r="G90" s="30"/>
      <c r="H90" s="30"/>
      <c r="I90" s="31"/>
      <c r="J90" s="31"/>
      <c r="K90" s="31"/>
      <c r="L90" s="32"/>
      <c r="M90" s="31"/>
      <c r="N90" s="31"/>
      <c r="O90" s="31"/>
      <c r="P90" s="33"/>
      <c r="Q90" s="33"/>
      <c r="R90" s="32"/>
      <c r="S90" s="31"/>
      <c r="T90" s="31"/>
      <c r="U90" s="30"/>
      <c r="V90" s="30"/>
      <c r="W90" s="30"/>
      <c r="X90" s="30"/>
      <c r="Y90" s="30"/>
      <c r="Z90" s="34"/>
      <c r="AA90" s="34"/>
      <c r="AB90" s="30"/>
      <c r="AC90" s="34"/>
      <c r="AD90" s="35"/>
      <c r="AE90" s="162"/>
      <c r="AF90" s="163"/>
      <c r="AG90" s="36"/>
      <c r="AH90" s="37"/>
      <c r="AI90" s="36"/>
    </row>
    <row r="91" spans="1:35" ht="15.75" hidden="1" customHeight="1">
      <c r="A91" s="260"/>
      <c r="B91" s="262"/>
      <c r="C91" s="260"/>
      <c r="D91" s="228"/>
      <c r="E91" s="229"/>
      <c r="F91" s="38"/>
      <c r="G91" s="39"/>
      <c r="H91" s="39"/>
      <c r="I91" s="39"/>
      <c r="J91" s="40"/>
      <c r="K91" s="40"/>
      <c r="L91" s="40"/>
      <c r="M91" s="40"/>
      <c r="N91" s="40"/>
      <c r="O91" s="39"/>
      <c r="P91" s="40"/>
      <c r="Q91" s="177"/>
      <c r="R91" s="40"/>
      <c r="S91" s="39"/>
      <c r="T91" s="39"/>
      <c r="U91" s="39"/>
      <c r="V91" s="39"/>
      <c r="W91" s="39"/>
      <c r="X91" s="39"/>
      <c r="Y91" s="39"/>
      <c r="Z91" s="40"/>
      <c r="AA91" s="39"/>
      <c r="AB91" s="39"/>
      <c r="AC91" s="40"/>
      <c r="AD91" s="41"/>
      <c r="AE91" s="42"/>
      <c r="AF91" s="42"/>
      <c r="AG91" s="43"/>
      <c r="AH91" s="44"/>
      <c r="AI91" s="45"/>
    </row>
    <row r="92" spans="1:35" ht="19.5" hidden="1" customHeight="1">
      <c r="A92" s="259"/>
      <c r="B92" s="261"/>
      <c r="C92" s="263"/>
      <c r="D92" s="264"/>
      <c r="E92" s="227"/>
      <c r="F92" s="29"/>
      <c r="G92" s="30"/>
      <c r="H92" s="30"/>
      <c r="I92" s="31"/>
      <c r="J92" s="31"/>
      <c r="K92" s="31"/>
      <c r="L92" s="32"/>
      <c r="M92" s="31"/>
      <c r="N92" s="31"/>
      <c r="O92" s="31"/>
      <c r="P92" s="33"/>
      <c r="Q92" s="33"/>
      <c r="R92" s="32"/>
      <c r="S92" s="31"/>
      <c r="T92" s="31"/>
      <c r="U92" s="30"/>
      <c r="V92" s="30"/>
      <c r="W92" s="30"/>
      <c r="X92" s="30"/>
      <c r="Y92" s="30"/>
      <c r="Z92" s="34"/>
      <c r="AA92" s="34"/>
      <c r="AB92" s="30"/>
      <c r="AC92" s="34"/>
      <c r="AD92" s="35"/>
      <c r="AE92" s="162"/>
      <c r="AF92" s="163"/>
      <c r="AG92" s="36"/>
      <c r="AH92" s="37"/>
      <c r="AI92" s="36"/>
    </row>
    <row r="93" spans="1:35" ht="19.5" hidden="1" customHeight="1">
      <c r="A93" s="260"/>
      <c r="B93" s="262"/>
      <c r="C93" s="260"/>
      <c r="D93" s="228"/>
      <c r="E93" s="229"/>
      <c r="F93" s="38"/>
      <c r="G93" s="39"/>
      <c r="H93" s="39"/>
      <c r="I93" s="39"/>
      <c r="J93" s="40"/>
      <c r="K93" s="40"/>
      <c r="L93" s="40"/>
      <c r="M93" s="40"/>
      <c r="N93" s="40"/>
      <c r="O93" s="39"/>
      <c r="P93" s="40"/>
      <c r="Q93" s="177"/>
      <c r="R93" s="40"/>
      <c r="S93" s="39"/>
      <c r="T93" s="39"/>
      <c r="U93" s="39"/>
      <c r="V93" s="39"/>
      <c r="W93" s="39"/>
      <c r="X93" s="39"/>
      <c r="Y93" s="39"/>
      <c r="Z93" s="40"/>
      <c r="AA93" s="39"/>
      <c r="AB93" s="39"/>
      <c r="AC93" s="40"/>
      <c r="AD93" s="41"/>
      <c r="AE93" s="42"/>
      <c r="AF93" s="42"/>
      <c r="AG93" s="43"/>
      <c r="AH93" s="44"/>
      <c r="AI93" s="45"/>
    </row>
    <row r="94" spans="1:35" ht="16.5" hidden="1" customHeight="1">
      <c r="A94" s="259"/>
      <c r="B94" s="261"/>
      <c r="C94" s="263"/>
      <c r="D94" s="264"/>
      <c r="E94" s="227"/>
      <c r="F94" s="29"/>
      <c r="G94" s="30"/>
      <c r="H94" s="30"/>
      <c r="I94" s="31"/>
      <c r="J94" s="31"/>
      <c r="K94" s="31"/>
      <c r="L94" s="32"/>
      <c r="M94" s="31"/>
      <c r="N94" s="31"/>
      <c r="O94" s="31"/>
      <c r="P94" s="33"/>
      <c r="Q94" s="33"/>
      <c r="R94" s="32"/>
      <c r="S94" s="31"/>
      <c r="T94" s="31"/>
      <c r="U94" s="30"/>
      <c r="V94" s="30"/>
      <c r="W94" s="30"/>
      <c r="X94" s="30"/>
      <c r="Y94" s="30"/>
      <c r="Z94" s="34"/>
      <c r="AA94" s="34"/>
      <c r="AB94" s="30"/>
      <c r="AC94" s="34"/>
      <c r="AD94" s="35"/>
      <c r="AE94" s="162"/>
      <c r="AF94" s="163"/>
      <c r="AG94" s="36"/>
      <c r="AH94" s="37"/>
      <c r="AI94" s="36"/>
    </row>
    <row r="95" spans="1:35" ht="15.75" hidden="1" customHeight="1">
      <c r="A95" s="260"/>
      <c r="B95" s="262"/>
      <c r="C95" s="260"/>
      <c r="D95" s="228"/>
      <c r="E95" s="229"/>
      <c r="F95" s="38"/>
      <c r="G95" s="39"/>
      <c r="H95" s="39"/>
      <c r="I95" s="39"/>
      <c r="J95" s="40"/>
      <c r="K95" s="40"/>
      <c r="L95" s="40"/>
      <c r="M95" s="40"/>
      <c r="N95" s="40"/>
      <c r="O95" s="39"/>
      <c r="P95" s="40"/>
      <c r="Q95" s="177"/>
      <c r="R95" s="40"/>
      <c r="S95" s="39"/>
      <c r="T95" s="39"/>
      <c r="U95" s="39"/>
      <c r="V95" s="39"/>
      <c r="W95" s="39"/>
      <c r="X95" s="39"/>
      <c r="Y95" s="39"/>
      <c r="Z95" s="40"/>
      <c r="AA95" s="39"/>
      <c r="AB95" s="39"/>
      <c r="AC95" s="40"/>
      <c r="AD95" s="41"/>
      <c r="AE95" s="42"/>
      <c r="AF95" s="42"/>
      <c r="AG95" s="43"/>
      <c r="AH95" s="44"/>
      <c r="AI95" s="45"/>
    </row>
    <row r="96" spans="1:35" ht="16.5" hidden="1" customHeight="1">
      <c r="A96" s="259"/>
      <c r="B96" s="261"/>
      <c r="C96" s="263"/>
      <c r="D96" s="226"/>
      <c r="E96" s="227"/>
      <c r="F96" s="29"/>
      <c r="G96" s="30"/>
      <c r="H96" s="30"/>
      <c r="I96" s="31"/>
      <c r="J96" s="31"/>
      <c r="K96" s="31"/>
      <c r="L96" s="32"/>
      <c r="M96" s="31"/>
      <c r="N96" s="31"/>
      <c r="O96" s="31"/>
      <c r="P96" s="33"/>
      <c r="Q96" s="33"/>
      <c r="R96" s="32"/>
      <c r="S96" s="31"/>
      <c r="T96" s="31"/>
      <c r="U96" s="30"/>
      <c r="V96" s="30"/>
      <c r="W96" s="30"/>
      <c r="X96" s="30"/>
      <c r="Y96" s="30"/>
      <c r="Z96" s="34"/>
      <c r="AA96" s="34"/>
      <c r="AB96" s="30"/>
      <c r="AC96" s="34"/>
      <c r="AD96" s="35"/>
      <c r="AE96" s="162"/>
      <c r="AF96" s="163"/>
      <c r="AG96" s="36"/>
      <c r="AH96" s="37"/>
      <c r="AI96" s="36"/>
    </row>
    <row r="97" spans="1:35" ht="16.5" hidden="1" customHeight="1">
      <c r="A97" s="260"/>
      <c r="B97" s="262"/>
      <c r="C97" s="260"/>
      <c r="D97" s="228"/>
      <c r="E97" s="229"/>
      <c r="F97" s="38"/>
      <c r="G97" s="39"/>
      <c r="H97" s="39"/>
      <c r="I97" s="39"/>
      <c r="J97" s="40"/>
      <c r="K97" s="40"/>
      <c r="L97" s="40"/>
      <c r="M97" s="40"/>
      <c r="N97" s="40"/>
      <c r="O97" s="39"/>
      <c r="P97" s="40"/>
      <c r="Q97" s="177"/>
      <c r="R97" s="40"/>
      <c r="S97" s="39"/>
      <c r="T97" s="39"/>
      <c r="U97" s="39"/>
      <c r="V97" s="39"/>
      <c r="W97" s="39"/>
      <c r="X97" s="39"/>
      <c r="Y97" s="39"/>
      <c r="Z97" s="40"/>
      <c r="AA97" s="39"/>
      <c r="AB97" s="39"/>
      <c r="AC97" s="40"/>
      <c r="AD97" s="41"/>
      <c r="AE97" s="42"/>
      <c r="AF97" s="42"/>
      <c r="AG97" s="43"/>
      <c r="AH97" s="44"/>
      <c r="AI97" s="45"/>
    </row>
    <row r="98" spans="1:35" ht="14.25" hidden="1" customHeight="1">
      <c r="A98" s="259"/>
      <c r="B98" s="261"/>
      <c r="C98" s="263"/>
      <c r="D98" s="226"/>
      <c r="E98" s="227"/>
      <c r="F98" s="29"/>
      <c r="G98" s="30"/>
      <c r="H98" s="30"/>
      <c r="I98" s="31"/>
      <c r="J98" s="31"/>
      <c r="K98" s="31"/>
      <c r="L98" s="32"/>
      <c r="M98" s="31"/>
      <c r="N98" s="31"/>
      <c r="O98" s="31"/>
      <c r="P98" s="33"/>
      <c r="Q98" s="33"/>
      <c r="R98" s="32"/>
      <c r="S98" s="31"/>
      <c r="T98" s="31"/>
      <c r="U98" s="30"/>
      <c r="V98" s="30"/>
      <c r="W98" s="30"/>
      <c r="X98" s="30"/>
      <c r="Y98" s="30"/>
      <c r="Z98" s="34"/>
      <c r="AA98" s="34"/>
      <c r="AB98" s="30"/>
      <c r="AC98" s="34"/>
      <c r="AD98" s="35"/>
      <c r="AE98" s="162"/>
      <c r="AF98" s="163"/>
      <c r="AG98" s="36"/>
      <c r="AH98" s="37"/>
      <c r="AI98" s="36"/>
    </row>
    <row r="99" spans="1:35" ht="14.25" hidden="1" customHeight="1">
      <c r="A99" s="260"/>
      <c r="B99" s="262"/>
      <c r="C99" s="260"/>
      <c r="D99" s="228"/>
      <c r="E99" s="229"/>
      <c r="F99" s="38"/>
      <c r="G99" s="39"/>
      <c r="H99" s="39"/>
      <c r="I99" s="39"/>
      <c r="J99" s="40"/>
      <c r="K99" s="40"/>
      <c r="L99" s="40"/>
      <c r="M99" s="40"/>
      <c r="N99" s="40"/>
      <c r="O99" s="39"/>
      <c r="P99" s="40"/>
      <c r="Q99" s="177"/>
      <c r="R99" s="40"/>
      <c r="S99" s="39"/>
      <c r="T99" s="39"/>
      <c r="U99" s="39"/>
      <c r="V99" s="39"/>
      <c r="W99" s="39"/>
      <c r="X99" s="39"/>
      <c r="Y99" s="39"/>
      <c r="Z99" s="40"/>
      <c r="AA99" s="39"/>
      <c r="AB99" s="39"/>
      <c r="AC99" s="40"/>
      <c r="AD99" s="41"/>
      <c r="AE99" s="42"/>
      <c r="AF99" s="42"/>
      <c r="AG99" s="43"/>
      <c r="AH99" s="44"/>
      <c r="AI99" s="45"/>
    </row>
    <row r="100" spans="1:35" ht="14.25" hidden="1" customHeight="1">
      <c r="A100" s="259"/>
      <c r="B100" s="261"/>
      <c r="C100" s="263"/>
      <c r="D100" s="226"/>
      <c r="E100" s="227"/>
      <c r="F100" s="29"/>
      <c r="G100" s="30"/>
      <c r="H100" s="30"/>
      <c r="I100" s="31"/>
      <c r="J100" s="31"/>
      <c r="K100" s="31"/>
      <c r="L100" s="32"/>
      <c r="M100" s="31"/>
      <c r="N100" s="31"/>
      <c r="O100" s="31"/>
      <c r="P100" s="33"/>
      <c r="Q100" s="33"/>
      <c r="R100" s="32"/>
      <c r="S100" s="31"/>
      <c r="T100" s="31"/>
      <c r="U100" s="30"/>
      <c r="V100" s="30"/>
      <c r="W100" s="30"/>
      <c r="X100" s="30"/>
      <c r="Y100" s="30"/>
      <c r="Z100" s="34"/>
      <c r="AA100" s="34"/>
      <c r="AB100" s="30"/>
      <c r="AC100" s="34"/>
      <c r="AD100" s="35"/>
      <c r="AE100" s="162"/>
      <c r="AF100" s="163"/>
      <c r="AG100" s="36"/>
      <c r="AH100" s="37"/>
      <c r="AI100" s="36"/>
    </row>
    <row r="101" spans="1:35" ht="14.25" hidden="1" customHeight="1">
      <c r="A101" s="260"/>
      <c r="B101" s="262"/>
      <c r="C101" s="260"/>
      <c r="D101" s="228"/>
      <c r="E101" s="229"/>
      <c r="F101" s="38"/>
      <c r="G101" s="39"/>
      <c r="H101" s="39"/>
      <c r="I101" s="39"/>
      <c r="J101" s="40"/>
      <c r="K101" s="40"/>
      <c r="L101" s="40"/>
      <c r="M101" s="40"/>
      <c r="N101" s="40"/>
      <c r="O101" s="39"/>
      <c r="P101" s="40"/>
      <c r="Q101" s="177"/>
      <c r="R101" s="40"/>
      <c r="S101" s="39"/>
      <c r="T101" s="39"/>
      <c r="U101" s="39"/>
      <c r="V101" s="39"/>
      <c r="W101" s="39"/>
      <c r="X101" s="39"/>
      <c r="Y101" s="39"/>
      <c r="Z101" s="40"/>
      <c r="AA101" s="39"/>
      <c r="AB101" s="39"/>
      <c r="AC101" s="40"/>
      <c r="AD101" s="41"/>
      <c r="AE101" s="42"/>
      <c r="AF101" s="42"/>
      <c r="AG101" s="43"/>
      <c r="AH101" s="44"/>
      <c r="AI101" s="45"/>
    </row>
    <row r="102" spans="1:35" ht="14.25" hidden="1" customHeight="1">
      <c r="A102" s="259"/>
      <c r="B102" s="261"/>
      <c r="C102" s="263"/>
      <c r="D102" s="226"/>
      <c r="E102" s="227"/>
      <c r="F102" s="29"/>
      <c r="G102" s="30"/>
      <c r="H102" s="30"/>
      <c r="I102" s="31"/>
      <c r="J102" s="31"/>
      <c r="K102" s="31"/>
      <c r="L102" s="32"/>
      <c r="M102" s="31"/>
      <c r="N102" s="31"/>
      <c r="O102" s="31"/>
      <c r="P102" s="33"/>
      <c r="Q102" s="33"/>
      <c r="R102" s="32"/>
      <c r="S102" s="31"/>
      <c r="T102" s="31"/>
      <c r="U102" s="30"/>
      <c r="V102" s="30"/>
      <c r="W102" s="30"/>
      <c r="X102" s="30"/>
      <c r="Y102" s="30"/>
      <c r="Z102" s="34"/>
      <c r="AA102" s="34"/>
      <c r="AB102" s="30"/>
      <c r="AC102" s="34"/>
      <c r="AD102" s="35"/>
      <c r="AE102" s="162"/>
      <c r="AF102" s="163"/>
      <c r="AG102" s="36"/>
      <c r="AH102" s="37"/>
      <c r="AI102" s="36"/>
    </row>
    <row r="103" spans="1:35" ht="14.25" hidden="1" customHeight="1">
      <c r="A103" s="260"/>
      <c r="B103" s="262"/>
      <c r="C103" s="260"/>
      <c r="D103" s="228"/>
      <c r="E103" s="229"/>
      <c r="F103" s="38"/>
      <c r="G103" s="39"/>
      <c r="H103" s="39"/>
      <c r="I103" s="39"/>
      <c r="J103" s="40"/>
      <c r="K103" s="40"/>
      <c r="L103" s="40"/>
      <c r="M103" s="40"/>
      <c r="N103" s="40"/>
      <c r="O103" s="39"/>
      <c r="P103" s="40"/>
      <c r="Q103" s="177"/>
      <c r="R103" s="40"/>
      <c r="S103" s="39"/>
      <c r="T103" s="39"/>
      <c r="U103" s="39"/>
      <c r="V103" s="39"/>
      <c r="W103" s="39"/>
      <c r="X103" s="39"/>
      <c r="Y103" s="39"/>
      <c r="Z103" s="40"/>
      <c r="AA103" s="39"/>
      <c r="AB103" s="39"/>
      <c r="AC103" s="40"/>
      <c r="AD103" s="41"/>
      <c r="AE103" s="42"/>
      <c r="AF103" s="42"/>
      <c r="AG103" s="43"/>
      <c r="AH103" s="44"/>
      <c r="AI103" s="45"/>
    </row>
    <row r="104" spans="1:35" ht="14.25" hidden="1" customHeight="1">
      <c r="A104" s="259"/>
      <c r="B104" s="261"/>
      <c r="C104" s="263"/>
      <c r="D104" s="226"/>
      <c r="E104" s="227"/>
      <c r="F104" s="29"/>
      <c r="G104" s="30"/>
      <c r="H104" s="30"/>
      <c r="I104" s="31"/>
      <c r="J104" s="31"/>
      <c r="K104" s="31"/>
      <c r="L104" s="32"/>
      <c r="M104" s="31"/>
      <c r="N104" s="31"/>
      <c r="O104" s="31"/>
      <c r="P104" s="33"/>
      <c r="Q104" s="33"/>
      <c r="R104" s="32"/>
      <c r="S104" s="31"/>
      <c r="T104" s="31"/>
      <c r="U104" s="30"/>
      <c r="V104" s="30"/>
      <c r="W104" s="30"/>
      <c r="X104" s="30"/>
      <c r="Y104" s="30"/>
      <c r="Z104" s="34"/>
      <c r="AA104" s="34"/>
      <c r="AB104" s="30"/>
      <c r="AC104" s="34"/>
      <c r="AD104" s="35"/>
      <c r="AE104" s="162"/>
      <c r="AF104" s="163"/>
      <c r="AG104" s="36"/>
      <c r="AH104" s="37"/>
      <c r="AI104" s="36"/>
    </row>
    <row r="105" spans="1:35" ht="14.25" hidden="1" customHeight="1">
      <c r="A105" s="260"/>
      <c r="B105" s="262"/>
      <c r="C105" s="260"/>
      <c r="D105" s="228"/>
      <c r="E105" s="229"/>
      <c r="F105" s="38"/>
      <c r="G105" s="39"/>
      <c r="H105" s="39"/>
      <c r="I105" s="39"/>
      <c r="J105" s="40"/>
      <c r="K105" s="40"/>
      <c r="L105" s="40"/>
      <c r="M105" s="40"/>
      <c r="N105" s="40"/>
      <c r="O105" s="39"/>
      <c r="P105" s="40"/>
      <c r="Q105" s="177"/>
      <c r="R105" s="40"/>
      <c r="S105" s="39"/>
      <c r="T105" s="39"/>
      <c r="U105" s="39"/>
      <c r="V105" s="39"/>
      <c r="W105" s="39"/>
      <c r="X105" s="39"/>
      <c r="Y105" s="39"/>
      <c r="Z105" s="40"/>
      <c r="AA105" s="39"/>
      <c r="AB105" s="39"/>
      <c r="AC105" s="40"/>
      <c r="AD105" s="41"/>
      <c r="AE105" s="42"/>
      <c r="AF105" s="42"/>
      <c r="AG105" s="43"/>
      <c r="AH105" s="44"/>
      <c r="AI105" s="45"/>
    </row>
    <row r="106" spans="1:35" ht="14.25" hidden="1" customHeight="1">
      <c r="A106" s="259"/>
      <c r="B106" s="261"/>
      <c r="C106" s="263"/>
      <c r="D106" s="226"/>
      <c r="E106" s="227"/>
      <c r="F106" s="29"/>
      <c r="G106" s="30"/>
      <c r="H106" s="30"/>
      <c r="I106" s="31"/>
      <c r="J106" s="31"/>
      <c r="K106" s="31"/>
      <c r="L106" s="32"/>
      <c r="M106" s="31"/>
      <c r="N106" s="31"/>
      <c r="O106" s="31"/>
      <c r="P106" s="33"/>
      <c r="Q106" s="33"/>
      <c r="R106" s="32"/>
      <c r="S106" s="31"/>
      <c r="T106" s="31"/>
      <c r="U106" s="30"/>
      <c r="V106" s="30"/>
      <c r="W106" s="30"/>
      <c r="X106" s="30"/>
      <c r="Y106" s="30"/>
      <c r="Z106" s="34"/>
      <c r="AA106" s="34"/>
      <c r="AB106" s="30"/>
      <c r="AC106" s="34"/>
      <c r="AD106" s="35"/>
      <c r="AE106" s="162"/>
      <c r="AF106" s="163"/>
      <c r="AG106" s="36"/>
      <c r="AH106" s="37"/>
      <c r="AI106" s="36"/>
    </row>
    <row r="107" spans="1:35" ht="14.25" hidden="1" customHeight="1">
      <c r="A107" s="260"/>
      <c r="B107" s="262"/>
      <c r="C107" s="260"/>
      <c r="D107" s="228"/>
      <c r="E107" s="229"/>
      <c r="F107" s="38"/>
      <c r="G107" s="39"/>
      <c r="H107" s="39"/>
      <c r="I107" s="39"/>
      <c r="J107" s="40"/>
      <c r="K107" s="40"/>
      <c r="L107" s="40"/>
      <c r="M107" s="40"/>
      <c r="N107" s="40"/>
      <c r="O107" s="39"/>
      <c r="P107" s="40"/>
      <c r="Q107" s="177"/>
      <c r="R107" s="40"/>
      <c r="S107" s="39"/>
      <c r="T107" s="39"/>
      <c r="U107" s="39"/>
      <c r="V107" s="39"/>
      <c r="W107" s="39"/>
      <c r="X107" s="39"/>
      <c r="Y107" s="39"/>
      <c r="Z107" s="40"/>
      <c r="AA107" s="39"/>
      <c r="AB107" s="39"/>
      <c r="AC107" s="40"/>
      <c r="AD107" s="41"/>
      <c r="AE107" s="42"/>
      <c r="AF107" s="42"/>
      <c r="AG107" s="43"/>
      <c r="AH107" s="44"/>
      <c r="AI107" s="45"/>
    </row>
    <row r="108" spans="1:35" ht="14.25" hidden="1" customHeight="1">
      <c r="A108" s="259"/>
      <c r="B108" s="261"/>
      <c r="C108" s="263"/>
      <c r="D108" s="226"/>
      <c r="E108" s="227"/>
      <c r="F108" s="29"/>
      <c r="G108" s="30"/>
      <c r="H108" s="30"/>
      <c r="I108" s="31"/>
      <c r="J108" s="31"/>
      <c r="K108" s="31"/>
      <c r="L108" s="32"/>
      <c r="M108" s="31"/>
      <c r="N108" s="31"/>
      <c r="O108" s="31"/>
      <c r="P108" s="33"/>
      <c r="Q108" s="33"/>
      <c r="R108" s="32"/>
      <c r="S108" s="31"/>
      <c r="T108" s="31"/>
      <c r="U108" s="30"/>
      <c r="V108" s="30"/>
      <c r="W108" s="30"/>
      <c r="X108" s="30"/>
      <c r="Y108" s="30"/>
      <c r="Z108" s="34"/>
      <c r="AA108" s="34"/>
      <c r="AB108" s="30"/>
      <c r="AC108" s="34"/>
      <c r="AD108" s="35"/>
      <c r="AE108" s="162"/>
      <c r="AF108" s="163"/>
      <c r="AG108" s="36"/>
      <c r="AH108" s="37"/>
      <c r="AI108" s="36"/>
    </row>
    <row r="109" spans="1:35" ht="14.25" hidden="1" customHeight="1">
      <c r="A109" s="260"/>
      <c r="B109" s="262"/>
      <c r="C109" s="260"/>
      <c r="D109" s="228"/>
      <c r="E109" s="229"/>
      <c r="F109" s="38"/>
      <c r="G109" s="39"/>
      <c r="H109" s="39"/>
      <c r="I109" s="39"/>
      <c r="J109" s="40"/>
      <c r="K109" s="40"/>
      <c r="L109" s="40"/>
      <c r="M109" s="40"/>
      <c r="N109" s="40"/>
      <c r="O109" s="39"/>
      <c r="P109" s="40"/>
      <c r="Q109" s="177"/>
      <c r="R109" s="40"/>
      <c r="S109" s="39"/>
      <c r="T109" s="39"/>
      <c r="U109" s="39"/>
      <c r="V109" s="39"/>
      <c r="W109" s="39"/>
      <c r="X109" s="39"/>
      <c r="Y109" s="39"/>
      <c r="Z109" s="40"/>
      <c r="AA109" s="39"/>
      <c r="AB109" s="39"/>
      <c r="AC109" s="40"/>
      <c r="AD109" s="41"/>
      <c r="AE109" s="42"/>
      <c r="AF109" s="42"/>
      <c r="AG109" s="43"/>
      <c r="AH109" s="44"/>
      <c r="AI109" s="45"/>
    </row>
    <row r="110" spans="1:35" ht="14.25" hidden="1" customHeight="1">
      <c r="A110" s="259"/>
      <c r="B110" s="261"/>
      <c r="C110" s="263"/>
      <c r="D110" s="226"/>
      <c r="E110" s="227"/>
      <c r="F110" s="29"/>
      <c r="G110" s="30"/>
      <c r="H110" s="30"/>
      <c r="I110" s="31"/>
      <c r="J110" s="31"/>
      <c r="K110" s="31"/>
      <c r="L110" s="32"/>
      <c r="M110" s="31"/>
      <c r="N110" s="31"/>
      <c r="O110" s="31"/>
      <c r="P110" s="33"/>
      <c r="Q110" s="33"/>
      <c r="R110" s="32"/>
      <c r="S110" s="31"/>
      <c r="T110" s="31"/>
      <c r="U110" s="30"/>
      <c r="V110" s="30"/>
      <c r="W110" s="30"/>
      <c r="X110" s="30"/>
      <c r="Y110" s="30"/>
      <c r="Z110" s="34"/>
      <c r="AA110" s="34"/>
      <c r="AB110" s="30"/>
      <c r="AC110" s="34"/>
      <c r="AD110" s="35"/>
      <c r="AE110" s="162"/>
      <c r="AF110" s="163"/>
      <c r="AG110" s="36"/>
      <c r="AH110" s="37"/>
      <c r="AI110" s="36"/>
    </row>
    <row r="111" spans="1:35" ht="14.25" hidden="1" customHeight="1">
      <c r="A111" s="260"/>
      <c r="B111" s="262"/>
      <c r="C111" s="260"/>
      <c r="D111" s="228"/>
      <c r="E111" s="229"/>
      <c r="F111" s="38"/>
      <c r="G111" s="39"/>
      <c r="H111" s="39"/>
      <c r="I111" s="39"/>
      <c r="J111" s="40"/>
      <c r="K111" s="40"/>
      <c r="L111" s="40"/>
      <c r="M111" s="40"/>
      <c r="N111" s="40"/>
      <c r="O111" s="39"/>
      <c r="P111" s="40"/>
      <c r="Q111" s="177"/>
      <c r="R111" s="40"/>
      <c r="S111" s="39"/>
      <c r="T111" s="39"/>
      <c r="U111" s="39"/>
      <c r="V111" s="39"/>
      <c r="W111" s="39"/>
      <c r="X111" s="39"/>
      <c r="Y111" s="39"/>
      <c r="Z111" s="40"/>
      <c r="AA111" s="39"/>
      <c r="AB111" s="39"/>
      <c r="AC111" s="40"/>
      <c r="AD111" s="41"/>
      <c r="AE111" s="42"/>
      <c r="AF111" s="42"/>
      <c r="AG111" s="43"/>
      <c r="AH111" s="44"/>
      <c r="AI111" s="45"/>
    </row>
    <row r="112" spans="1:35" ht="14.25" hidden="1" customHeight="1">
      <c r="A112" s="259"/>
      <c r="B112" s="261"/>
      <c r="C112" s="263"/>
      <c r="D112" s="226"/>
      <c r="E112" s="227"/>
      <c r="F112" s="29"/>
      <c r="G112" s="30"/>
      <c r="H112" s="30"/>
      <c r="I112" s="31"/>
      <c r="J112" s="31"/>
      <c r="K112" s="31"/>
      <c r="L112" s="32"/>
      <c r="M112" s="31"/>
      <c r="N112" s="31"/>
      <c r="O112" s="31"/>
      <c r="P112" s="33"/>
      <c r="Q112" s="33"/>
      <c r="R112" s="32"/>
      <c r="S112" s="31"/>
      <c r="T112" s="31"/>
      <c r="U112" s="30"/>
      <c r="V112" s="30"/>
      <c r="W112" s="30"/>
      <c r="X112" s="30"/>
      <c r="Y112" s="30"/>
      <c r="Z112" s="34"/>
      <c r="AA112" s="34"/>
      <c r="AB112" s="30"/>
      <c r="AC112" s="34"/>
      <c r="AD112" s="35"/>
      <c r="AE112" s="162"/>
      <c r="AF112" s="163"/>
      <c r="AG112" s="36"/>
      <c r="AH112" s="37"/>
      <c r="AI112" s="36"/>
    </row>
    <row r="113" spans="1:36" ht="14.25" hidden="1" customHeight="1">
      <c r="A113" s="260"/>
      <c r="B113" s="262"/>
      <c r="C113" s="260"/>
      <c r="D113" s="228"/>
      <c r="E113" s="229"/>
      <c r="F113" s="38"/>
      <c r="G113" s="39"/>
      <c r="H113" s="39"/>
      <c r="I113" s="39"/>
      <c r="J113" s="40"/>
      <c r="K113" s="40"/>
      <c r="L113" s="40"/>
      <c r="M113" s="40"/>
      <c r="N113" s="40"/>
      <c r="O113" s="39"/>
      <c r="P113" s="40"/>
      <c r="Q113" s="177"/>
      <c r="R113" s="40"/>
      <c r="S113" s="39"/>
      <c r="T113" s="39"/>
      <c r="U113" s="39"/>
      <c r="V113" s="39"/>
      <c r="W113" s="39"/>
      <c r="X113" s="39"/>
      <c r="Y113" s="39"/>
      <c r="Z113" s="40"/>
      <c r="AA113" s="39"/>
      <c r="AB113" s="39"/>
      <c r="AC113" s="40"/>
      <c r="AD113" s="41"/>
      <c r="AE113" s="42"/>
      <c r="AF113" s="42"/>
      <c r="AG113" s="43"/>
      <c r="AH113" s="44"/>
      <c r="AI113" s="45"/>
    </row>
    <row r="114" spans="1:36" ht="14.25" hidden="1" customHeight="1">
      <c r="A114" s="259"/>
      <c r="B114" s="261"/>
      <c r="C114" s="263"/>
      <c r="D114" s="226"/>
      <c r="E114" s="227"/>
      <c r="F114" s="29"/>
      <c r="G114" s="30"/>
      <c r="H114" s="30"/>
      <c r="I114" s="31"/>
      <c r="J114" s="31"/>
      <c r="K114" s="31"/>
      <c r="L114" s="32"/>
      <c r="M114" s="31"/>
      <c r="N114" s="31"/>
      <c r="O114" s="31"/>
      <c r="P114" s="33"/>
      <c r="Q114" s="33"/>
      <c r="R114" s="32"/>
      <c r="S114" s="31"/>
      <c r="T114" s="31"/>
      <c r="U114" s="30"/>
      <c r="V114" s="30"/>
      <c r="W114" s="30"/>
      <c r="X114" s="30"/>
      <c r="Y114" s="30"/>
      <c r="Z114" s="34"/>
      <c r="AA114" s="34"/>
      <c r="AB114" s="30"/>
      <c r="AC114" s="34"/>
      <c r="AD114" s="35"/>
      <c r="AE114" s="162"/>
      <c r="AF114" s="163"/>
      <c r="AG114" s="36"/>
      <c r="AH114" s="37"/>
      <c r="AI114" s="36"/>
    </row>
    <row r="115" spans="1:36" ht="14.25" hidden="1" customHeight="1">
      <c r="A115" s="260"/>
      <c r="B115" s="262"/>
      <c r="C115" s="260"/>
      <c r="D115" s="228"/>
      <c r="E115" s="229"/>
      <c r="F115" s="38"/>
      <c r="G115" s="39"/>
      <c r="H115" s="39"/>
      <c r="I115" s="39"/>
      <c r="J115" s="40"/>
      <c r="K115" s="40"/>
      <c r="L115" s="40"/>
      <c r="M115" s="40"/>
      <c r="N115" s="40"/>
      <c r="O115" s="39"/>
      <c r="P115" s="40"/>
      <c r="Q115" s="177"/>
      <c r="R115" s="40"/>
      <c r="S115" s="39"/>
      <c r="T115" s="39"/>
      <c r="U115" s="39"/>
      <c r="V115" s="39"/>
      <c r="W115" s="39"/>
      <c r="X115" s="39"/>
      <c r="Y115" s="39"/>
      <c r="Z115" s="40"/>
      <c r="AA115" s="39"/>
      <c r="AB115" s="39"/>
      <c r="AC115" s="40"/>
      <c r="AD115" s="41"/>
      <c r="AE115" s="42"/>
      <c r="AF115" s="42"/>
      <c r="AG115" s="43"/>
      <c r="AH115" s="44"/>
      <c r="AI115" s="45"/>
    </row>
    <row r="116" spans="1:36" ht="14.25" hidden="1" customHeight="1">
      <c r="A116" s="259"/>
      <c r="B116" s="261"/>
      <c r="C116" s="263"/>
      <c r="D116" s="226"/>
      <c r="E116" s="227"/>
      <c r="F116" s="29"/>
      <c r="G116" s="30"/>
      <c r="H116" s="30"/>
      <c r="I116" s="31"/>
      <c r="J116" s="31"/>
      <c r="K116" s="31"/>
      <c r="L116" s="32"/>
      <c r="M116" s="31"/>
      <c r="N116" s="31"/>
      <c r="O116" s="31"/>
      <c r="P116" s="33"/>
      <c r="Q116" s="33"/>
      <c r="R116" s="32"/>
      <c r="S116" s="31"/>
      <c r="T116" s="31"/>
      <c r="U116" s="30"/>
      <c r="V116" s="30"/>
      <c r="W116" s="30"/>
      <c r="X116" s="30"/>
      <c r="Y116" s="30"/>
      <c r="Z116" s="34"/>
      <c r="AA116" s="34"/>
      <c r="AB116" s="30"/>
      <c r="AC116" s="34"/>
      <c r="AD116" s="35"/>
      <c r="AE116" s="162"/>
      <c r="AF116" s="163"/>
      <c r="AG116" s="36"/>
      <c r="AH116" s="37"/>
      <c r="AI116" s="36"/>
    </row>
    <row r="117" spans="1:36" ht="14.25" hidden="1" customHeight="1">
      <c r="A117" s="260"/>
      <c r="B117" s="262"/>
      <c r="C117" s="260"/>
      <c r="D117" s="228"/>
      <c r="E117" s="229"/>
      <c r="F117" s="38"/>
      <c r="G117" s="39"/>
      <c r="H117" s="39"/>
      <c r="I117" s="39"/>
      <c r="J117" s="40"/>
      <c r="K117" s="40"/>
      <c r="L117" s="40"/>
      <c r="M117" s="40"/>
      <c r="N117" s="40"/>
      <c r="O117" s="39"/>
      <c r="P117" s="40"/>
      <c r="Q117" s="177"/>
      <c r="R117" s="40"/>
      <c r="S117" s="39"/>
      <c r="T117" s="39"/>
      <c r="U117" s="39"/>
      <c r="V117" s="39"/>
      <c r="W117" s="39"/>
      <c r="X117" s="39"/>
      <c r="Y117" s="39"/>
      <c r="Z117" s="40"/>
      <c r="AA117" s="39"/>
      <c r="AB117" s="39"/>
      <c r="AC117" s="40"/>
      <c r="AD117" s="41"/>
      <c r="AE117" s="42"/>
      <c r="AF117" s="42"/>
      <c r="AG117" s="43"/>
      <c r="AH117" s="44"/>
      <c r="AI117" s="45"/>
    </row>
    <row r="118" spans="1:36" ht="14.25" hidden="1" customHeight="1">
      <c r="A118" s="259"/>
      <c r="B118" s="261"/>
      <c r="C118" s="263"/>
      <c r="D118" s="226"/>
      <c r="E118" s="227"/>
      <c r="F118" s="29"/>
      <c r="G118" s="30"/>
      <c r="H118" s="30"/>
      <c r="I118" s="31"/>
      <c r="J118" s="31"/>
      <c r="K118" s="31"/>
      <c r="L118" s="32"/>
      <c r="M118" s="31"/>
      <c r="N118" s="31"/>
      <c r="O118" s="31"/>
      <c r="P118" s="33"/>
      <c r="Q118" s="33"/>
      <c r="R118" s="32"/>
      <c r="S118" s="31"/>
      <c r="T118" s="31"/>
      <c r="U118" s="30"/>
      <c r="V118" s="30"/>
      <c r="W118" s="30"/>
      <c r="X118" s="30"/>
      <c r="Y118" s="30"/>
      <c r="Z118" s="34"/>
      <c r="AA118" s="34"/>
      <c r="AB118" s="30"/>
      <c r="AC118" s="34"/>
      <c r="AD118" s="35"/>
      <c r="AE118" s="162"/>
      <c r="AF118" s="163"/>
      <c r="AG118" s="36"/>
      <c r="AH118" s="37"/>
      <c r="AI118" s="36"/>
    </row>
    <row r="119" spans="1:36" ht="14.25" hidden="1" customHeight="1">
      <c r="A119" s="260"/>
      <c r="B119" s="262"/>
      <c r="C119" s="260"/>
      <c r="D119" s="228"/>
      <c r="E119" s="229"/>
      <c r="F119" s="38"/>
      <c r="G119" s="39"/>
      <c r="H119" s="39"/>
      <c r="I119" s="39"/>
      <c r="J119" s="40"/>
      <c r="K119" s="40"/>
      <c r="L119" s="40"/>
      <c r="M119" s="40"/>
      <c r="N119" s="40"/>
      <c r="O119" s="39"/>
      <c r="P119" s="40"/>
      <c r="Q119" s="177"/>
      <c r="R119" s="40"/>
      <c r="S119" s="39"/>
      <c r="T119" s="39"/>
      <c r="U119" s="39"/>
      <c r="V119" s="39"/>
      <c r="W119" s="39"/>
      <c r="X119" s="39"/>
      <c r="Y119" s="39"/>
      <c r="Z119" s="40"/>
      <c r="AA119" s="39"/>
      <c r="AB119" s="39"/>
      <c r="AC119" s="40"/>
      <c r="AD119" s="41"/>
      <c r="AE119" s="42"/>
      <c r="AF119" s="42"/>
      <c r="AG119" s="43"/>
      <c r="AH119" s="44"/>
      <c r="AI119" s="45"/>
    </row>
    <row r="120" spans="1:36" ht="17.25" hidden="1" customHeight="1">
      <c r="A120" s="259"/>
      <c r="B120" s="261"/>
      <c r="C120" s="263"/>
      <c r="D120" s="226"/>
      <c r="E120" s="227"/>
      <c r="F120" s="29"/>
      <c r="G120" s="30"/>
      <c r="H120" s="30"/>
      <c r="I120" s="31"/>
      <c r="J120" s="31"/>
      <c r="K120" s="31"/>
      <c r="L120" s="32"/>
      <c r="M120" s="31"/>
      <c r="N120" s="31"/>
      <c r="O120" s="31"/>
      <c r="P120" s="33"/>
      <c r="Q120" s="33"/>
      <c r="R120" s="32"/>
      <c r="S120" s="31"/>
      <c r="T120" s="31"/>
      <c r="U120" s="30"/>
      <c r="V120" s="30"/>
      <c r="W120" s="30"/>
      <c r="X120" s="30"/>
      <c r="Y120" s="30"/>
      <c r="Z120" s="34"/>
      <c r="AA120" s="34"/>
      <c r="AB120" s="30"/>
      <c r="AC120" s="34"/>
      <c r="AD120" s="35"/>
      <c r="AE120" s="162"/>
      <c r="AF120" s="163"/>
      <c r="AG120" s="36"/>
      <c r="AH120" s="37"/>
      <c r="AI120" s="36"/>
    </row>
    <row r="121" spans="1:36" ht="17.25" hidden="1" customHeight="1">
      <c r="A121" s="260"/>
      <c r="B121" s="262"/>
      <c r="C121" s="260"/>
      <c r="D121" s="228"/>
      <c r="E121" s="229"/>
      <c r="F121" s="38"/>
      <c r="G121" s="39"/>
      <c r="H121" s="39"/>
      <c r="I121" s="39"/>
      <c r="J121" s="40"/>
      <c r="K121" s="40"/>
      <c r="L121" s="40"/>
      <c r="M121" s="40"/>
      <c r="N121" s="40"/>
      <c r="O121" s="39"/>
      <c r="P121" s="40"/>
      <c r="Q121" s="177"/>
      <c r="R121" s="40"/>
      <c r="S121" s="39"/>
      <c r="T121" s="39"/>
      <c r="U121" s="39"/>
      <c r="V121" s="39"/>
      <c r="W121" s="39"/>
      <c r="X121" s="39"/>
      <c r="Y121" s="39"/>
      <c r="Z121" s="40"/>
      <c r="AA121" s="39"/>
      <c r="AB121" s="39"/>
      <c r="AC121" s="40"/>
      <c r="AD121" s="41"/>
      <c r="AE121" s="42"/>
      <c r="AF121" s="42"/>
      <c r="AG121" s="43"/>
      <c r="AH121" s="44"/>
      <c r="AI121" s="45"/>
    </row>
    <row r="122" spans="1:36" ht="17.25" hidden="1" customHeight="1">
      <c r="A122" s="259"/>
      <c r="B122" s="261"/>
      <c r="C122" s="263"/>
      <c r="D122" s="226"/>
      <c r="E122" s="227"/>
      <c r="F122" s="29"/>
      <c r="G122" s="30"/>
      <c r="H122" s="30"/>
      <c r="I122" s="31"/>
      <c r="J122" s="31"/>
      <c r="K122" s="31"/>
      <c r="L122" s="32"/>
      <c r="M122" s="31"/>
      <c r="N122" s="31"/>
      <c r="O122" s="31"/>
      <c r="P122" s="33"/>
      <c r="Q122" s="33"/>
      <c r="R122" s="32"/>
      <c r="S122" s="31"/>
      <c r="T122" s="31"/>
      <c r="U122" s="30"/>
      <c r="V122" s="30"/>
      <c r="W122" s="30"/>
      <c r="X122" s="30"/>
      <c r="Y122" s="30"/>
      <c r="Z122" s="34"/>
      <c r="AA122" s="34"/>
      <c r="AB122" s="30"/>
      <c r="AC122" s="34"/>
      <c r="AD122" s="35"/>
      <c r="AE122" s="162"/>
      <c r="AF122" s="163"/>
      <c r="AG122" s="36"/>
      <c r="AH122" s="37"/>
      <c r="AI122" s="36"/>
    </row>
    <row r="123" spans="1:36" ht="17.25" hidden="1" customHeight="1">
      <c r="A123" s="260"/>
      <c r="B123" s="262"/>
      <c r="C123" s="260"/>
      <c r="D123" s="228"/>
      <c r="E123" s="229"/>
      <c r="F123" s="38"/>
      <c r="G123" s="39"/>
      <c r="H123" s="39"/>
      <c r="I123" s="39"/>
      <c r="J123" s="40"/>
      <c r="K123" s="40"/>
      <c r="L123" s="40"/>
      <c r="M123" s="40"/>
      <c r="N123" s="40"/>
      <c r="O123" s="39"/>
      <c r="P123" s="40"/>
      <c r="Q123" s="177"/>
      <c r="R123" s="40"/>
      <c r="S123" s="39"/>
      <c r="T123" s="39"/>
      <c r="U123" s="39"/>
      <c r="V123" s="39"/>
      <c r="W123" s="39"/>
      <c r="X123" s="39"/>
      <c r="Y123" s="39"/>
      <c r="Z123" s="40"/>
      <c r="AA123" s="39"/>
      <c r="AB123" s="39"/>
      <c r="AC123" s="40"/>
      <c r="AD123" s="41"/>
      <c r="AE123" s="42"/>
      <c r="AF123" s="42"/>
      <c r="AG123" s="43"/>
      <c r="AH123" s="44"/>
      <c r="AI123" s="45"/>
    </row>
    <row r="124" spans="1:36" ht="17.25" hidden="1" customHeight="1">
      <c r="A124" s="259"/>
      <c r="B124" s="261"/>
      <c r="C124" s="263"/>
      <c r="D124" s="226"/>
      <c r="E124" s="227"/>
      <c r="F124" s="29"/>
      <c r="G124" s="30"/>
      <c r="H124" s="30"/>
      <c r="I124" s="31"/>
      <c r="J124" s="31"/>
      <c r="K124" s="31"/>
      <c r="L124" s="32"/>
      <c r="M124" s="31"/>
      <c r="N124" s="31"/>
      <c r="O124" s="31"/>
      <c r="P124" s="33"/>
      <c r="Q124" s="33"/>
      <c r="R124" s="32"/>
      <c r="S124" s="31"/>
      <c r="T124" s="31"/>
      <c r="U124" s="30"/>
      <c r="V124" s="30"/>
      <c r="W124" s="30"/>
      <c r="X124" s="30"/>
      <c r="Y124" s="30"/>
      <c r="Z124" s="34"/>
      <c r="AA124" s="34"/>
      <c r="AB124" s="30"/>
      <c r="AC124" s="34"/>
      <c r="AD124" s="35"/>
      <c r="AE124" s="162"/>
      <c r="AF124" s="163"/>
      <c r="AG124" s="36"/>
      <c r="AH124" s="37"/>
      <c r="AI124" s="36"/>
    </row>
    <row r="125" spans="1:36" ht="17.25" hidden="1" customHeight="1">
      <c r="A125" s="260"/>
      <c r="B125" s="262"/>
      <c r="C125" s="260"/>
      <c r="D125" s="228"/>
      <c r="E125" s="229"/>
      <c r="F125" s="38"/>
      <c r="G125" s="39"/>
      <c r="H125" s="39"/>
      <c r="I125" s="39"/>
      <c r="J125" s="40"/>
      <c r="K125" s="40"/>
      <c r="L125" s="40"/>
      <c r="M125" s="40"/>
      <c r="N125" s="40"/>
      <c r="O125" s="39"/>
      <c r="P125" s="40"/>
      <c r="Q125" s="177"/>
      <c r="R125" s="40"/>
      <c r="S125" s="39"/>
      <c r="T125" s="39"/>
      <c r="U125" s="39"/>
      <c r="V125" s="39"/>
      <c r="W125" s="39"/>
      <c r="X125" s="39"/>
      <c r="Y125" s="39"/>
      <c r="Z125" s="40"/>
      <c r="AA125" s="39"/>
      <c r="AB125" s="39"/>
      <c r="AC125" s="40"/>
      <c r="AD125" s="41"/>
      <c r="AE125" s="42"/>
      <c r="AF125" s="42"/>
      <c r="AG125" s="43"/>
      <c r="AH125" s="44"/>
      <c r="AI125" s="45"/>
    </row>
    <row r="126" spans="1:36" ht="17.100000000000001" hidden="1" customHeight="1">
      <c r="A126" s="46"/>
      <c r="B126" s="47"/>
      <c r="C126" s="46"/>
      <c r="D126" s="48"/>
      <c r="E126" s="49"/>
      <c r="F126" s="29"/>
      <c r="G126" s="50"/>
      <c r="H126" s="50"/>
      <c r="I126" s="50"/>
      <c r="J126" s="51"/>
      <c r="K126" s="31"/>
      <c r="L126" s="32"/>
      <c r="M126" s="31"/>
      <c r="N126" s="31"/>
      <c r="O126" s="31"/>
      <c r="P126" s="33"/>
      <c r="Q126" s="33"/>
      <c r="R126" s="32"/>
      <c r="S126" s="31"/>
      <c r="T126" s="31"/>
      <c r="U126" s="30"/>
      <c r="V126" s="30"/>
      <c r="W126" s="30"/>
      <c r="X126" s="30"/>
      <c r="Y126" s="30"/>
      <c r="Z126" s="34"/>
      <c r="AA126" s="34"/>
      <c r="AB126" s="30"/>
      <c r="AC126" s="34"/>
      <c r="AD126" s="52"/>
      <c r="AE126" s="162"/>
      <c r="AF126" s="163"/>
      <c r="AG126" s="36"/>
      <c r="AH126" s="37"/>
      <c r="AI126" s="36"/>
    </row>
    <row r="127" spans="1:36" ht="17.100000000000001" customHeight="1">
      <c r="A127" s="268"/>
      <c r="B127" s="270" t="s">
        <v>39</v>
      </c>
      <c r="C127" s="272"/>
      <c r="D127" s="53"/>
      <c r="E127" s="53"/>
      <c r="F127" s="53">
        <f>SUM(F10+F12+F14+F16+F18+F20+F22+F24+F26+F28+F30+F32+F34+F36+F40+F42+F44+F46+F48+F50+F52+F54+F56+F58+F60+F62+F64+F66+F68+F70+F72+F74+F76+F78+F80+F82+F84+F86+F88+F90+F92+F124+F38+F94+F96+F98+F100+F102+F104+F106+F108+F118+F120+F122+F110+F112+F114+F116)</f>
        <v>0</v>
      </c>
      <c r="G127" s="53">
        <f t="shared" ref="G127:O127" si="79">SUM(G10+G12+G14+G16+G18+G20+G22+G24+G26+G28+G30+G32+G34+G36+G40+G42+G44+G46+G48+G50+G52+G54+G56+G58+G60+G62+G64+G66+G68+G70+G72+G74+G76+G78+G80+G82+G84+G86+G88+G90+G92+G124+G38+G94+G96+G98+G100+G102+G104+G106+G108+G118+G120+G122+G110+G112+G114+G116)</f>
        <v>0</v>
      </c>
      <c r="H127" s="53">
        <f t="shared" si="79"/>
        <v>0</v>
      </c>
      <c r="I127" s="53">
        <f t="shared" si="79"/>
        <v>0</v>
      </c>
      <c r="J127" s="53">
        <f t="shared" si="79"/>
        <v>0</v>
      </c>
      <c r="K127" s="53">
        <f t="shared" si="79"/>
        <v>0</v>
      </c>
      <c r="L127" s="53">
        <f t="shared" si="79"/>
        <v>0</v>
      </c>
      <c r="M127" s="53">
        <f t="shared" si="79"/>
        <v>0</v>
      </c>
      <c r="N127" s="53">
        <f t="shared" si="79"/>
        <v>0</v>
      </c>
      <c r="O127" s="53">
        <f t="shared" si="79"/>
        <v>0</v>
      </c>
      <c r="P127" s="53">
        <f>SUM(Q10+Q12+Q14+Q16+Q18+Q20+Q22+P24+P26+P28+P30+P32+P34+P36+P40+P42+P44+P46+P48+P50+P52+P54+P56+P58+P60+P62+P64+P66+P68+P70+P72+P74+P76+P78+P80+P82+P84+P86+P88+P90+P92+P124+P38+P94+P96+P98+P100+P102+P104+P106+P108+P118+P120+P122+P110+P112+P114+P116)</f>
        <v>0</v>
      </c>
      <c r="Q127" s="53">
        <f>SUM(P10+P12+P14+P16+P18+P20+P22+Q24+Q26+Q28+Q30+Q32+Q34+Q36+Q40+Q42+Q44+Q46+Q48+Q50+Q52+Q54+Q56+Q58+Q60+Q62+Q64+Q66+Q68+Q70+Q72+Q74+Q76+Q78+Q80+Q82+Q84+Q86+Q88+Q90+Q92+Q124+Q38+Q94+Q96+Q98+Q100+Q102+Q104+Q106+Q108+Q118+Q120+Q122+Q110+Q112+Q114+Q116)</f>
        <v>0</v>
      </c>
      <c r="R127" s="53">
        <f>SUM(S10+S12+S14+S16+S18+S20+S22+R24+R26+R28+R30+R32+R34+R36+R40+R42+R44+R46+R48+R50+R52+R54+R56+R58+R60+R62+R64+R66+R68+R70+R72+R74+R76+R78+R80+R82+R84+R86+R88+R90+R92+R124+R38+R94+R96+R98+R100+R102+R104+R106+R108+R118+R120+R122+R110+R112+R114+R116)</f>
        <v>0</v>
      </c>
      <c r="S127" s="53">
        <f>SUM(R10+R12+R14+R16+R18+R20+R22+S24+S26+S28+S30+S32+S34+S36+S40+S42+S44+S46+S48+S50+S52+S54+S56+S58+S60+S62+S64+S66+S68+S70+S72+S74+S76+S78+S80+S82+S84+S86+S88+S90+S92+S124+S38+S94+S96+S98+S100+S102+S104+S106+S108+S118+S120+S122+S110+S112+S114+S116)</f>
        <v>0</v>
      </c>
      <c r="T127" s="53">
        <f>SUM(T10+T12+T14+T16+T18+T20+T22+T24+T26+T28+T30+T32+T34+T36+T40+T42+T44+T46+T48+T50+T52+T54+T56+T58+T60+T62+T64+T66+T68+T70+T72+T74+T76+T78+T80+T82+T84+T86+T88+T90+T92+T124+T38+T94+T96+T98+T100+T102+T104+T106+T108+T118+T120+T122+T110+T112+T114+T116)</f>
        <v>0</v>
      </c>
      <c r="U127" s="53">
        <f>SUM(Y10+Y12+Y14+Y16+Y18+Y20+Y22+U24+U26+U28+U30+U32+U34+U36+U40+U42+U44+U46+U48+U50+U52+U54+U56+U58+U60+U62+U64+U66+U68+U70+U72+U74+U76+U78+U80+U82+U84+U86+U88+U90+U92+U124+U38+U94+U96+U98+U100+U102+U104+U106+U108+U118+U120+U122+U110+U112+U114+U116)</f>
        <v>0</v>
      </c>
      <c r="V127" s="53">
        <f t="shared" ref="V127:X128" si="80">SUM(V10+V12+V14+V16+V18+V20+V22+V24+V26+V28+V30+V32+V34+V36+V40+V42+V44+V46+V48+V50+V52+V54+V56+V58+V60+V62+V64+V66+V68+V70+V72+V74+V76+V78+V80+V82+V84+V86+V88+V90+V92+V124+V38+V94+V96+V98+V100+V102+V104+V106+V108+V118+V120+V122+V110+V112+V114+V116)</f>
        <v>0</v>
      </c>
      <c r="W127" s="53">
        <f t="shared" si="80"/>
        <v>0</v>
      </c>
      <c r="X127" s="53">
        <f t="shared" si="80"/>
        <v>0</v>
      </c>
      <c r="Y127" s="53">
        <f>SUM(U10+U12+U14+U16+U18+U20+U22+Y24+Y26+Y28+Y30+Y32+Y34+Y36+Y40+Y42+Y44+Y46+Y48+Y50+Y52+Y54+Y56+Y58+Y60+Y62+Y64+Y66+Y68+Y70+Y72+Y74+Y76+Y78+Y80+Y82+Y84+Y86+Y88+Y90+Y92+Y124+Y38+Y94+Y96+Y98+Y100+Y102+Y104+Y106+Y108+Y118+Y120+Y122+Y110+Y112+Y114+Y116)</f>
        <v>0</v>
      </c>
      <c r="Z127" s="53">
        <f t="shared" ref="Z127:AD128" si="81">SUM(Z10+Z12+Z14+Z16+Z18+Z20+Z22+Z24+Z26+Z28+Z30+Z32+Z34+Z36+Z40+Z42+Z44+Z46+Z48+Z50+Z52+Z54+Z56+Z58+Z60+Z62+Z64+Z66+Z68+Z70+Z72+Z74+Z76+Z78+Z80+Z82+Z84+Z86+Z88+Z90+Z92+Z124+Z38+Z94+Z96+Z98+Z100+Z102+Z104+Z106+Z108+Z118+Z120+Z122+Z110+Z112+Z114+Z116)</f>
        <v>0</v>
      </c>
      <c r="AA127" s="53">
        <f t="shared" si="81"/>
        <v>0</v>
      </c>
      <c r="AB127" s="53">
        <f t="shared" si="81"/>
        <v>0</v>
      </c>
      <c r="AC127" s="53">
        <f t="shared" si="81"/>
        <v>0</v>
      </c>
      <c r="AD127" s="53">
        <f t="shared" si="81"/>
        <v>0</v>
      </c>
    </row>
    <row r="128" spans="1:36" ht="16.5" customHeight="1">
      <c r="A128" s="269"/>
      <c r="B128" s="271"/>
      <c r="C128" s="273"/>
      <c r="D128" s="53"/>
      <c r="E128" s="53"/>
      <c r="F128" s="54">
        <f>SUM(F11+F13+F15+F17+F19+F21+F23+F25+F27+F29+F31+F33+F35+F37+F41+F43+F45+F47+F49+F51+F53+F55+F57+F59+F61+F63+F65+F67+F69+F71+F73+F75+F77+F79+F81+F83+F85+F87+F89+F91+F93+F125+F39+F95+F97+F99+F101+F103+F105+F107+F109+F119+F121+F123+F111+F113+F115+F117)</f>
        <v>0</v>
      </c>
      <c r="G128" s="54">
        <f t="shared" ref="G128:O128" si="82">SUM(G11+G13+G15+G17+G19+G21+G23+G25+G27+G29+G31+G33+G35+G37+G41+G43+G45+G47+G49+G51+G53+G55+G57+G59+G61+G63+G65+G67+G69+G71+G73+G75+G77+G79+G81+G83+G85+G87+G89+G91+G93+G125+G39+G95+G97+G99+G101+G103+G105+G107+G109+G119+G121+G123+G111+G113+G115+G117)</f>
        <v>0</v>
      </c>
      <c r="H128" s="54">
        <f t="shared" si="82"/>
        <v>0</v>
      </c>
      <c r="I128" s="54" t="e">
        <f t="shared" si="82"/>
        <v>#DIV/0!</v>
      </c>
      <c r="J128" s="54" t="e">
        <f t="shared" si="82"/>
        <v>#DIV/0!</v>
      </c>
      <c r="K128" s="54">
        <f t="shared" si="82"/>
        <v>0</v>
      </c>
      <c r="L128" s="54">
        <f t="shared" si="82"/>
        <v>0</v>
      </c>
      <c r="M128" s="54">
        <f t="shared" si="82"/>
        <v>0</v>
      </c>
      <c r="N128" s="54">
        <f t="shared" si="82"/>
        <v>0</v>
      </c>
      <c r="O128" s="54">
        <f t="shared" si="82"/>
        <v>0</v>
      </c>
      <c r="P128" s="54">
        <f>SUM(Q11+Q13+Q15+Q17+Q19+Q21+Q23+P25+P27+P29+P31+P33+P35+P37+P41+P43+P45+P47+P49+P51+P53+P55+P57+P59+P61+P63+P65+P67+P69+P71+P73+P75+P77+P79+P81+P83+P85+P87+P89+P91+P93+P125+P39+P95+P97+P99+P101+P103+P105+P107+P109+P119+P121+P123+P111+P113+P115+P117)</f>
        <v>0</v>
      </c>
      <c r="Q128" s="54">
        <f>SUM(P11+P13+P15+P17+P19+P21+P23+Q25+Q27+Q29+Q31+Q33+Q35+Q37+Q41+Q43+Q45+Q47+Q49+Q51+Q53+Q55+Q57+Q59+Q61+Q63+Q65+Q67+Q69+Q71+Q73+Q75+Q77+Q79+Q81+Q83+Q85+Q87+Q89+Q91+Q93+Q125+Q39+Q95+Q97+Q99+Q101+Q103+Q105+Q107+Q109+Q119+Q121+Q123+Q111+Q113+Q115+Q117)</f>
        <v>0</v>
      </c>
      <c r="R128" s="54">
        <f>SUM(S11+S13+S15+S17+S19+S21+S23+R25+R27+R29+R31+R33+R35+R37+R41+R43+R45+R47+R49+R51+R53+R55+R57+R59+R61+R63+R65+R67+R69+R71+R73+R75+R77+R79+R81+R83+R85+R87+R89+R91+R93+R125+R39+R95+R97+R99+R101+R103+R105+R107+R109+R119+R121+R123+R111+R113+R115+R117)</f>
        <v>0</v>
      </c>
      <c r="S128" s="54">
        <f>SUM(R11+R13+R15+R17+R19+R21+R23+S25+S27+S29+S31+S33+S35+S37+S41+S43+S45+S47+S49+S51+S53+S55+S57+S59+S61+S63+S65+S67+S69+S71+S73+S75+S77+S79+S81+S83+S85+S87+S89+S91+S93+S125+S39+S95+S97+S99+S101+S103+S105+S107+S109+S119+S121+S123+S111+S113+S115+S117)</f>
        <v>0</v>
      </c>
      <c r="T128" s="54">
        <f>SUM(T11+T13+T15+T17+T19+T21+T23+T25+T27+T29+T31+T33+T35+T37+T41+T43+T45+T47+T49+T51+T53+T55+T57+T59+T61+T63+T65+T67+T69+T71+T73+T75+T77+T79+T81+T83+T85+T87+T89+T91+T93+T125+T39+T95+T97+T99+T101+T103+T105+T107+T109+T119+T121+T123+T111+T113+T115+T117)</f>
        <v>0</v>
      </c>
      <c r="U128" s="54">
        <f>SUM(Y11+Y13+Y15+Y17+Y19+Y21+Y23+U25+U27+U29+U31+U33+U35+U37+U41+U43+U45+U47+U49+U51+U53+U55+U57+U59+U61+U63+U65+U67+U69+U71+U73+U75+U77+U79+U81+U83+U85+U87+U89+U91+U93+U125+U39+U95+U97+U99+U101+U103+U105+U107+U109+U119+U121+U123+U111+U113+U115+U117)</f>
        <v>0</v>
      </c>
      <c r="V128" s="54" t="e">
        <f t="shared" si="80"/>
        <v>#DIV/0!</v>
      </c>
      <c r="W128" s="54" t="e">
        <f t="shared" si="80"/>
        <v>#DIV/0!</v>
      </c>
      <c r="X128" s="54">
        <f t="shared" si="80"/>
        <v>0</v>
      </c>
      <c r="Y128" s="54">
        <f>SUM(U11+U13+U15+U17+U19+U21+U23+Y25+Y27+Y29+Y31+Y33+Y35+Y37+Y41+Y43+Y45+Y47+Y49+Y51+Y53+Y55+Y57+Y59+Y61+Y63+Y65+Y67+Y69+Y71+Y73+Y75+Y77+Y79+Y81+Y83+Y85+Y87+Y89+Y91+Y93+Y125+Y39+Y95+Y97+Y99+Y101+Y103+Y105+Y107+Y109+Y119+Y121+Y123+Y111+Y113+Y115+Y117)</f>
        <v>0</v>
      </c>
      <c r="Z128" s="54" t="e">
        <f t="shared" si="81"/>
        <v>#DIV/0!</v>
      </c>
      <c r="AA128" s="54">
        <f t="shared" si="81"/>
        <v>0</v>
      </c>
      <c r="AB128" s="54">
        <f t="shared" si="81"/>
        <v>0</v>
      </c>
      <c r="AC128" s="54" t="e">
        <f t="shared" si="81"/>
        <v>#DIV/0!</v>
      </c>
      <c r="AD128" s="54">
        <f t="shared" si="81"/>
        <v>0</v>
      </c>
      <c r="AE128" s="160" t="e">
        <f>+Z128/(AD128+L127)*(AD129+2)</f>
        <v>#DIV/0!</v>
      </c>
      <c r="AF128" s="160" t="e">
        <f>AJ128/AD128*AD129</f>
        <v>#DIV/0!</v>
      </c>
      <c r="AG128" s="173"/>
      <c r="AH128" s="174"/>
      <c r="AI128" s="55"/>
      <c r="AJ128" s="54" t="e">
        <f>SUM(AJ11+AJ13+AJ15+AJ17+AJ19+AJ21+AJ23+AJ25+AJ27+AJ29+AJ31+AJ33+AJ35+AJ37+AJ41+AJ43+AJ45+AJ47+AJ49+AJ51+AJ53+AJ55+AJ57+AJ59+AJ61+AJ63+AJ65+AJ67+AJ69+AJ71+AJ73+AJ75+AJ77+AJ79+AJ81+AJ83+AJ85+AJ87+AJ89+AJ91+AJ93+AJ125+AJ39+AJ95+AJ97+AJ99+AJ101+AJ103+AJ105+AJ107+AJ109+AJ119+AJ121+AJ123+AJ111+AJ113+AJ115+AJ117)</f>
        <v>#DIV/0!</v>
      </c>
    </row>
    <row r="129" spans="1:34" ht="21" customHeight="1">
      <c r="A129" s="56"/>
      <c r="B129" s="57"/>
      <c r="C129" s="275" t="s">
        <v>173</v>
      </c>
      <c r="D129" s="275"/>
      <c r="E129" s="274" t="e" cm="1">
        <f t="array" aca="1" ref="E129" ca="1">+_xll.VND(AC128)</f>
        <v>#NAME?</v>
      </c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  <c r="AA129" s="274"/>
      <c r="AB129" s="58"/>
      <c r="AC129" s="59"/>
      <c r="AD129" s="60">
        <f>+AVERAGE(AD10:AD21)</f>
        <v>0</v>
      </c>
      <c r="AE129" s="192" t="e">
        <f>+AE128/(AD129+2)</f>
        <v>#DIV/0!</v>
      </c>
      <c r="AF129" s="192" t="e">
        <f>+AF128/AD129</f>
        <v>#DIV/0!</v>
      </c>
      <c r="AG129" s="175"/>
      <c r="AH129" s="176"/>
    </row>
    <row r="130" spans="1:34" ht="17.100000000000001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9"/>
      <c r="Q130" s="19"/>
      <c r="R130" s="18"/>
      <c r="S130" s="18"/>
      <c r="T130" s="18"/>
      <c r="U130" s="18"/>
      <c r="V130" s="18"/>
      <c r="W130" s="18"/>
      <c r="X130" s="18"/>
      <c r="Y130" s="18"/>
      <c r="Z130" s="225" t="s">
        <v>213</v>
      </c>
      <c r="AA130" s="225"/>
      <c r="AB130" s="225"/>
      <c r="AC130" s="225"/>
      <c r="AD130" s="178"/>
    </row>
    <row r="131" spans="1:34" ht="17.100000000000001" customHeight="1">
      <c r="A131" s="12"/>
      <c r="B131" s="157" t="s">
        <v>40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3"/>
      <c r="R131" s="12"/>
      <c r="S131" s="12"/>
      <c r="T131" s="12"/>
      <c r="U131" s="12"/>
      <c r="V131" s="12"/>
      <c r="W131" s="12"/>
      <c r="X131" s="12"/>
      <c r="Y131" s="12"/>
      <c r="Z131" s="216" t="s">
        <v>92</v>
      </c>
      <c r="AA131" s="216"/>
      <c r="AB131" s="216"/>
      <c r="AC131" s="216"/>
    </row>
    <row r="132" spans="1:34" ht="17.100000000000001" customHeight="1">
      <c r="A132" s="18"/>
      <c r="B132" s="15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9"/>
      <c r="Q132" s="19"/>
      <c r="R132" s="18"/>
      <c r="S132" s="18"/>
      <c r="T132" s="18"/>
      <c r="U132" s="18"/>
      <c r="V132" s="18"/>
      <c r="W132" s="18"/>
      <c r="X132" s="18"/>
      <c r="Y132" s="18"/>
      <c r="Z132" s="19"/>
      <c r="AA132" s="18"/>
      <c r="AB132" s="18"/>
      <c r="AC132" s="19"/>
      <c r="AD132" s="61"/>
    </row>
    <row r="133" spans="1:34" ht="11.25" customHeight="1">
      <c r="A133" s="18"/>
      <c r="B133" s="158"/>
      <c r="C133" s="18"/>
      <c r="D133" s="18"/>
      <c r="E133" s="62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9"/>
      <c r="Q133" s="19"/>
      <c r="R133" s="18"/>
      <c r="S133" s="18"/>
      <c r="T133" s="18"/>
      <c r="U133" s="18"/>
      <c r="V133" s="18"/>
      <c r="W133" s="18"/>
      <c r="X133" s="18"/>
      <c r="Y133" s="18"/>
      <c r="Z133" s="19"/>
      <c r="AA133" s="18"/>
      <c r="AB133" s="18"/>
      <c r="AC133" s="19"/>
    </row>
    <row r="134" spans="1:34" ht="17.100000000000001" customHeight="1">
      <c r="A134" s="18"/>
      <c r="B134" s="15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9"/>
      <c r="Q134" s="19"/>
      <c r="R134" s="18"/>
      <c r="S134" s="18"/>
      <c r="T134" s="18"/>
      <c r="U134" s="18"/>
      <c r="V134" s="18"/>
      <c r="W134" s="18"/>
      <c r="X134" s="18"/>
      <c r="Y134" s="18"/>
      <c r="Z134" s="19"/>
      <c r="AA134" s="18"/>
      <c r="AB134" s="18"/>
      <c r="AC134" s="19"/>
    </row>
    <row r="135" spans="1:34" s="68" customFormat="1" ht="17.100000000000001" customHeight="1">
      <c r="A135" s="63"/>
      <c r="B135" s="159" t="s">
        <v>193</v>
      </c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5"/>
      <c r="Q135" s="65"/>
      <c r="R135" s="64"/>
      <c r="S135" s="64"/>
      <c r="T135" s="64"/>
      <c r="U135" s="64"/>
      <c r="V135" s="64"/>
      <c r="W135" s="64"/>
      <c r="X135" s="64"/>
      <c r="Y135" s="64"/>
      <c r="Z135" s="217" t="s">
        <v>197</v>
      </c>
      <c r="AA135" s="217"/>
      <c r="AB135" s="217"/>
      <c r="AC135" s="217"/>
      <c r="AD135" s="66"/>
      <c r="AE135" s="67"/>
      <c r="AF135" s="66"/>
      <c r="AH135" s="66"/>
    </row>
    <row r="136" spans="1:34" ht="17.100000000000001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9"/>
      <c r="Q136" s="19"/>
      <c r="R136" s="18"/>
      <c r="S136" s="18"/>
      <c r="T136" s="18"/>
      <c r="U136" s="18"/>
      <c r="V136" s="18"/>
      <c r="W136" s="18"/>
      <c r="X136" s="18"/>
      <c r="Y136" s="18"/>
      <c r="Z136" s="19"/>
      <c r="AA136" s="18"/>
      <c r="AB136" s="18"/>
      <c r="AC136" s="19"/>
    </row>
    <row r="137" spans="1:34" ht="17.100000000000001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9"/>
      <c r="Q137" s="19"/>
      <c r="R137" s="18"/>
      <c r="S137" s="18"/>
      <c r="T137" s="18"/>
      <c r="U137" s="18"/>
      <c r="V137" s="18"/>
      <c r="W137" s="18"/>
      <c r="X137" s="18"/>
      <c r="Y137" s="18"/>
      <c r="Z137" s="19"/>
      <c r="AA137" s="18"/>
      <c r="AB137" s="18"/>
      <c r="AC137" s="19"/>
    </row>
  </sheetData>
  <mergeCells count="336">
    <mergeCell ref="AJ6:AJ8"/>
    <mergeCell ref="A127:A128"/>
    <mergeCell ref="B127:B128"/>
    <mergeCell ref="C127:C128"/>
    <mergeCell ref="E129:AA129"/>
    <mergeCell ref="A122:A123"/>
    <mergeCell ref="B122:B123"/>
    <mergeCell ref="C122:C123"/>
    <mergeCell ref="D122:E122"/>
    <mergeCell ref="D123:E123"/>
    <mergeCell ref="A124:A125"/>
    <mergeCell ref="B124:B125"/>
    <mergeCell ref="C124:C125"/>
    <mergeCell ref="D124:E124"/>
    <mergeCell ref="D125:E125"/>
    <mergeCell ref="C129:D129"/>
    <mergeCell ref="A118:A119"/>
    <mergeCell ref="B118:B119"/>
    <mergeCell ref="C118:C119"/>
    <mergeCell ref="D118:E118"/>
    <mergeCell ref="D119:E119"/>
    <mergeCell ref="A120:A121"/>
    <mergeCell ref="B120:B121"/>
    <mergeCell ref="C120:C121"/>
    <mergeCell ref="A114:A115"/>
    <mergeCell ref="B114:B115"/>
    <mergeCell ref="C114:C115"/>
    <mergeCell ref="D114:E114"/>
    <mergeCell ref="D115:E115"/>
    <mergeCell ref="A116:A117"/>
    <mergeCell ref="B116:B117"/>
    <mergeCell ref="C116:C117"/>
    <mergeCell ref="D116:E116"/>
    <mergeCell ref="D117:E117"/>
    <mergeCell ref="A110:A111"/>
    <mergeCell ref="B110:B111"/>
    <mergeCell ref="C110:C111"/>
    <mergeCell ref="D110:E110"/>
    <mergeCell ref="D111:E111"/>
    <mergeCell ref="A112:A113"/>
    <mergeCell ref="B112:B113"/>
    <mergeCell ref="C112:C113"/>
    <mergeCell ref="D112:E112"/>
    <mergeCell ref="D113:E113"/>
    <mergeCell ref="A106:A107"/>
    <mergeCell ref="B106:B107"/>
    <mergeCell ref="C106:C107"/>
    <mergeCell ref="D106:E106"/>
    <mergeCell ref="D107:E107"/>
    <mergeCell ref="A108:A109"/>
    <mergeCell ref="B108:B109"/>
    <mergeCell ref="C108:C109"/>
    <mergeCell ref="D108:E108"/>
    <mergeCell ref="D109:E109"/>
    <mergeCell ref="A102:A103"/>
    <mergeCell ref="B102:B103"/>
    <mergeCell ref="C102:C103"/>
    <mergeCell ref="D102:E102"/>
    <mergeCell ref="D103:E103"/>
    <mergeCell ref="A104:A105"/>
    <mergeCell ref="B104:B105"/>
    <mergeCell ref="C104:C105"/>
    <mergeCell ref="D104:E104"/>
    <mergeCell ref="D105:E105"/>
    <mergeCell ref="A98:A99"/>
    <mergeCell ref="B98:B99"/>
    <mergeCell ref="C98:C99"/>
    <mergeCell ref="D98:E98"/>
    <mergeCell ref="D99:E99"/>
    <mergeCell ref="A100:A101"/>
    <mergeCell ref="B100:B101"/>
    <mergeCell ref="C100:C101"/>
    <mergeCell ref="D100:E100"/>
    <mergeCell ref="D101:E101"/>
    <mergeCell ref="A94:A95"/>
    <mergeCell ref="B94:B95"/>
    <mergeCell ref="C94:C95"/>
    <mergeCell ref="D94:E94"/>
    <mergeCell ref="D95:E95"/>
    <mergeCell ref="A96:A97"/>
    <mergeCell ref="B96:B97"/>
    <mergeCell ref="C96:C97"/>
    <mergeCell ref="D96:E96"/>
    <mergeCell ref="D97:E97"/>
    <mergeCell ref="A90:A91"/>
    <mergeCell ref="B90:B91"/>
    <mergeCell ref="C90:C91"/>
    <mergeCell ref="D90:E90"/>
    <mergeCell ref="D91:E91"/>
    <mergeCell ref="A92:A93"/>
    <mergeCell ref="B92:B93"/>
    <mergeCell ref="C92:C93"/>
    <mergeCell ref="D92:E92"/>
    <mergeCell ref="D93:E93"/>
    <mergeCell ref="A86:A87"/>
    <mergeCell ref="B86:B87"/>
    <mergeCell ref="C86:C87"/>
    <mergeCell ref="D86:E86"/>
    <mergeCell ref="D87:E87"/>
    <mergeCell ref="A88:A89"/>
    <mergeCell ref="B88:B89"/>
    <mergeCell ref="C88:C89"/>
    <mergeCell ref="D88:E88"/>
    <mergeCell ref="D89:E89"/>
    <mergeCell ref="A82:A83"/>
    <mergeCell ref="B82:B83"/>
    <mergeCell ref="C82:C83"/>
    <mergeCell ref="D82:E82"/>
    <mergeCell ref="D83:E83"/>
    <mergeCell ref="A84:A85"/>
    <mergeCell ref="B84:B85"/>
    <mergeCell ref="C84:C85"/>
    <mergeCell ref="D84:E84"/>
    <mergeCell ref="D85:E85"/>
    <mergeCell ref="A78:A79"/>
    <mergeCell ref="B78:B79"/>
    <mergeCell ref="C78:C79"/>
    <mergeCell ref="D78:E78"/>
    <mergeCell ref="D79:E79"/>
    <mergeCell ref="A80:A81"/>
    <mergeCell ref="B80:B81"/>
    <mergeCell ref="C80:C81"/>
    <mergeCell ref="D80:E80"/>
    <mergeCell ref="D81:E81"/>
    <mergeCell ref="A74:A75"/>
    <mergeCell ref="B74:B75"/>
    <mergeCell ref="C74:C75"/>
    <mergeCell ref="D74:E74"/>
    <mergeCell ref="D75:E75"/>
    <mergeCell ref="A76:A77"/>
    <mergeCell ref="B76:B77"/>
    <mergeCell ref="C76:C77"/>
    <mergeCell ref="D76:E76"/>
    <mergeCell ref="D77:E77"/>
    <mergeCell ref="A70:A71"/>
    <mergeCell ref="B70:B71"/>
    <mergeCell ref="C70:C71"/>
    <mergeCell ref="D70:E70"/>
    <mergeCell ref="D71:E71"/>
    <mergeCell ref="A72:A73"/>
    <mergeCell ref="B72:B73"/>
    <mergeCell ref="C72:C73"/>
    <mergeCell ref="D72:E72"/>
    <mergeCell ref="D73:E73"/>
    <mergeCell ref="A66:A67"/>
    <mergeCell ref="B66:B67"/>
    <mergeCell ref="C66:C67"/>
    <mergeCell ref="D66:E66"/>
    <mergeCell ref="D67:E67"/>
    <mergeCell ref="A68:A69"/>
    <mergeCell ref="B68:B69"/>
    <mergeCell ref="C68:C69"/>
    <mergeCell ref="D68:E68"/>
    <mergeCell ref="D69:E69"/>
    <mergeCell ref="A62:A63"/>
    <mergeCell ref="B62:B63"/>
    <mergeCell ref="C62:C63"/>
    <mergeCell ref="D62:E62"/>
    <mergeCell ref="D63:E63"/>
    <mergeCell ref="A64:A65"/>
    <mergeCell ref="B64:B65"/>
    <mergeCell ref="C64:C65"/>
    <mergeCell ref="D64:E64"/>
    <mergeCell ref="D65:E65"/>
    <mergeCell ref="A58:A59"/>
    <mergeCell ref="B58:B59"/>
    <mergeCell ref="C58:C59"/>
    <mergeCell ref="D58:E58"/>
    <mergeCell ref="D59:E59"/>
    <mergeCell ref="A60:A61"/>
    <mergeCell ref="B60:B61"/>
    <mergeCell ref="C60:C61"/>
    <mergeCell ref="D60:E60"/>
    <mergeCell ref="D61:E61"/>
    <mergeCell ref="A54:A55"/>
    <mergeCell ref="B54:B55"/>
    <mergeCell ref="C54:C55"/>
    <mergeCell ref="D54:E54"/>
    <mergeCell ref="D55:E55"/>
    <mergeCell ref="A56:A57"/>
    <mergeCell ref="B56:B57"/>
    <mergeCell ref="C56:C57"/>
    <mergeCell ref="D56:E56"/>
    <mergeCell ref="D57:E57"/>
    <mergeCell ref="A50:A51"/>
    <mergeCell ref="B50:B51"/>
    <mergeCell ref="C50:C51"/>
    <mergeCell ref="D50:E50"/>
    <mergeCell ref="D51:E51"/>
    <mergeCell ref="A52:A53"/>
    <mergeCell ref="B52:B53"/>
    <mergeCell ref="C52:C53"/>
    <mergeCell ref="D52:E52"/>
    <mergeCell ref="D53:E53"/>
    <mergeCell ref="A46:A47"/>
    <mergeCell ref="B46:B47"/>
    <mergeCell ref="C46:C47"/>
    <mergeCell ref="D46:E46"/>
    <mergeCell ref="D47:E47"/>
    <mergeCell ref="A48:A49"/>
    <mergeCell ref="B48:B49"/>
    <mergeCell ref="C48:C49"/>
    <mergeCell ref="D48:E48"/>
    <mergeCell ref="D49:E49"/>
    <mergeCell ref="A42:A43"/>
    <mergeCell ref="B42:B43"/>
    <mergeCell ref="C42:C43"/>
    <mergeCell ref="D42:E42"/>
    <mergeCell ref="D43:E43"/>
    <mergeCell ref="A44:A45"/>
    <mergeCell ref="B44:B45"/>
    <mergeCell ref="C44:C45"/>
    <mergeCell ref="D44:E44"/>
    <mergeCell ref="D45:E45"/>
    <mergeCell ref="A38:A39"/>
    <mergeCell ref="B38:B39"/>
    <mergeCell ref="C38:C39"/>
    <mergeCell ref="D38:E38"/>
    <mergeCell ref="D39:E39"/>
    <mergeCell ref="A40:A41"/>
    <mergeCell ref="B40:B41"/>
    <mergeCell ref="C40:C41"/>
    <mergeCell ref="D40:E40"/>
    <mergeCell ref="D41:E41"/>
    <mergeCell ref="A34:A35"/>
    <mergeCell ref="B34:B35"/>
    <mergeCell ref="C34:C35"/>
    <mergeCell ref="D34:E34"/>
    <mergeCell ref="D35:E35"/>
    <mergeCell ref="A36:A37"/>
    <mergeCell ref="B36:B37"/>
    <mergeCell ref="C36:C37"/>
    <mergeCell ref="D36:E36"/>
    <mergeCell ref="D37:E37"/>
    <mergeCell ref="A30:A31"/>
    <mergeCell ref="B30:B31"/>
    <mergeCell ref="C30:C31"/>
    <mergeCell ref="D30:E30"/>
    <mergeCell ref="D31:E31"/>
    <mergeCell ref="A32:A33"/>
    <mergeCell ref="B32:B33"/>
    <mergeCell ref="C32:C33"/>
    <mergeCell ref="D32:E32"/>
    <mergeCell ref="D33:E33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18:A19"/>
    <mergeCell ref="B18:B19"/>
    <mergeCell ref="C18:C19"/>
    <mergeCell ref="D18:E18"/>
    <mergeCell ref="D19:E19"/>
    <mergeCell ref="A20:A21"/>
    <mergeCell ref="B20:B21"/>
    <mergeCell ref="C20:C21"/>
    <mergeCell ref="D20:E20"/>
    <mergeCell ref="D21:E21"/>
    <mergeCell ref="A14:A15"/>
    <mergeCell ref="B14:B15"/>
    <mergeCell ref="C14:C15"/>
    <mergeCell ref="D14:E14"/>
    <mergeCell ref="D15:E15"/>
    <mergeCell ref="A16:A17"/>
    <mergeCell ref="B16:B17"/>
    <mergeCell ref="C16:C17"/>
    <mergeCell ref="D16:E16"/>
    <mergeCell ref="D17:E17"/>
    <mergeCell ref="A10:A11"/>
    <mergeCell ref="B10:B11"/>
    <mergeCell ref="C10:C11"/>
    <mergeCell ref="D10:E10"/>
    <mergeCell ref="D11:E11"/>
    <mergeCell ref="A12:A13"/>
    <mergeCell ref="B12:B13"/>
    <mergeCell ref="C12:C13"/>
    <mergeCell ref="D12:E12"/>
    <mergeCell ref="D13:E13"/>
    <mergeCell ref="AE6:AE8"/>
    <mergeCell ref="AF6:AF8"/>
    <mergeCell ref="AG6:AG8"/>
    <mergeCell ref="AH6:AH8"/>
    <mergeCell ref="AI6:AI8"/>
    <mergeCell ref="X6:X8"/>
    <mergeCell ref="Z6:Z8"/>
    <mergeCell ref="AA6:AB6"/>
    <mergeCell ref="AC6:AC8"/>
    <mergeCell ref="AD6:AD8"/>
    <mergeCell ref="Y6:Y8"/>
    <mergeCell ref="A6:A8"/>
    <mergeCell ref="B6:B8"/>
    <mergeCell ref="C6:C8"/>
    <mergeCell ref="D6:E8"/>
    <mergeCell ref="G8:H8"/>
    <mergeCell ref="T7:T8"/>
    <mergeCell ref="P7:P8"/>
    <mergeCell ref="I7:I8"/>
    <mergeCell ref="J7:J8"/>
    <mergeCell ref="K7:K8"/>
    <mergeCell ref="L7:L8"/>
    <mergeCell ref="M7:M8"/>
    <mergeCell ref="N7:N8"/>
    <mergeCell ref="S7:S8"/>
    <mergeCell ref="I6:N6"/>
    <mergeCell ref="O6:U6"/>
    <mergeCell ref="U7:U8"/>
    <mergeCell ref="Z131:AC131"/>
    <mergeCell ref="Z135:AC135"/>
    <mergeCell ref="V7:V8"/>
    <mergeCell ref="W7:W8"/>
    <mergeCell ref="AA7:AA8"/>
    <mergeCell ref="AB7:AB8"/>
    <mergeCell ref="D9:E9"/>
    <mergeCell ref="O7:O8"/>
    <mergeCell ref="Q7:Q8"/>
    <mergeCell ref="R7:R8"/>
    <mergeCell ref="Z130:AC130"/>
    <mergeCell ref="D120:E120"/>
    <mergeCell ref="D121:E121"/>
    <mergeCell ref="F7:F8"/>
  </mergeCells>
  <pageMargins left="0" right="0" top="0" bottom="0" header="0" footer="0"/>
  <pageSetup paperSize="9" scale="86" orientation="landscape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9FA7-A187-438E-842F-59571C2ABC2B}">
  <dimension ref="A1:X1184"/>
  <sheetViews>
    <sheetView view="pageBreakPreview" topLeftCell="A85" zoomScale="85" zoomScaleNormal="100" workbookViewId="0">
      <selection activeCell="I96" sqref="I96:J96"/>
    </sheetView>
  </sheetViews>
  <sheetFormatPr defaultRowHeight="18.75" customHeight="1"/>
  <cols>
    <col min="1" max="1" width="13.5703125" style="69" customWidth="1"/>
    <col min="2" max="2" width="5.140625" style="69" customWidth="1"/>
    <col min="3" max="3" width="6.85546875" style="69" customWidth="1"/>
    <col min="4" max="4" width="4.7109375" style="69" customWidth="1"/>
    <col min="5" max="9" width="5" style="69" customWidth="1"/>
    <col min="10" max="10" width="6.7109375" style="69" customWidth="1"/>
    <col min="11" max="11" width="20.28515625" style="69" customWidth="1"/>
    <col min="12" max="12" width="11.140625" style="69" customWidth="1"/>
    <col min="13" max="13" width="13.28515625" style="69" customWidth="1"/>
    <col min="14" max="14" width="4.140625" style="69" customWidth="1"/>
    <col min="15" max="15" width="6.28515625" style="69" customWidth="1"/>
    <col min="16" max="18" width="4.140625" style="69" customWidth="1"/>
    <col min="19" max="19" width="10.28515625" style="69" bestFit="1" customWidth="1"/>
    <col min="20" max="20" width="4.42578125" style="69" customWidth="1"/>
    <col min="21" max="22" width="10.28515625" style="69" bestFit="1" customWidth="1"/>
    <col min="23" max="23" width="17" style="69" customWidth="1"/>
    <col min="24" max="256" width="9.140625" style="69"/>
    <col min="257" max="257" width="13.5703125" style="69" customWidth="1"/>
    <col min="258" max="258" width="5.140625" style="69" customWidth="1"/>
    <col min="259" max="259" width="6.85546875" style="69" customWidth="1"/>
    <col min="260" max="260" width="4.7109375" style="69" customWidth="1"/>
    <col min="261" max="265" width="5" style="69" customWidth="1"/>
    <col min="266" max="266" width="6.7109375" style="69" customWidth="1"/>
    <col min="267" max="267" width="20.28515625" style="69" customWidth="1"/>
    <col min="268" max="268" width="11.140625" style="69" customWidth="1"/>
    <col min="269" max="269" width="13.28515625" style="69" customWidth="1"/>
    <col min="270" max="270" width="4.140625" style="69" customWidth="1"/>
    <col min="271" max="271" width="6.28515625" style="69" customWidth="1"/>
    <col min="272" max="274" width="4.140625" style="69" customWidth="1"/>
    <col min="275" max="275" width="10.28515625" style="69" bestFit="1" customWidth="1"/>
    <col min="276" max="276" width="4.42578125" style="69" customWidth="1"/>
    <col min="277" max="278" width="10.28515625" style="69" bestFit="1" customWidth="1"/>
    <col min="279" max="279" width="17" style="69" customWidth="1"/>
    <col min="280" max="512" width="9.140625" style="69"/>
    <col min="513" max="513" width="13.5703125" style="69" customWidth="1"/>
    <col min="514" max="514" width="5.140625" style="69" customWidth="1"/>
    <col min="515" max="515" width="6.85546875" style="69" customWidth="1"/>
    <col min="516" max="516" width="4.7109375" style="69" customWidth="1"/>
    <col min="517" max="521" width="5" style="69" customWidth="1"/>
    <col min="522" max="522" width="6.7109375" style="69" customWidth="1"/>
    <col min="523" max="523" width="20.28515625" style="69" customWidth="1"/>
    <col min="524" max="524" width="11.140625" style="69" customWidth="1"/>
    <col min="525" max="525" width="13.28515625" style="69" customWidth="1"/>
    <col min="526" max="526" width="4.140625" style="69" customWidth="1"/>
    <col min="527" max="527" width="6.28515625" style="69" customWidth="1"/>
    <col min="528" max="530" width="4.140625" style="69" customWidth="1"/>
    <col min="531" max="531" width="10.28515625" style="69" bestFit="1" customWidth="1"/>
    <col min="532" max="532" width="4.42578125" style="69" customWidth="1"/>
    <col min="533" max="534" width="10.28515625" style="69" bestFit="1" customWidth="1"/>
    <col min="535" max="535" width="17" style="69" customWidth="1"/>
    <col min="536" max="768" width="9.140625" style="69"/>
    <col min="769" max="769" width="13.5703125" style="69" customWidth="1"/>
    <col min="770" max="770" width="5.140625" style="69" customWidth="1"/>
    <col min="771" max="771" width="6.85546875" style="69" customWidth="1"/>
    <col min="772" max="772" width="4.7109375" style="69" customWidth="1"/>
    <col min="773" max="777" width="5" style="69" customWidth="1"/>
    <col min="778" max="778" width="6.7109375" style="69" customWidth="1"/>
    <col min="779" max="779" width="20.28515625" style="69" customWidth="1"/>
    <col min="780" max="780" width="11.140625" style="69" customWidth="1"/>
    <col min="781" max="781" width="13.28515625" style="69" customWidth="1"/>
    <col min="782" max="782" width="4.140625" style="69" customWidth="1"/>
    <col min="783" max="783" width="6.28515625" style="69" customWidth="1"/>
    <col min="784" max="786" width="4.140625" style="69" customWidth="1"/>
    <col min="787" max="787" width="10.28515625" style="69" bestFit="1" customWidth="1"/>
    <col min="788" max="788" width="4.42578125" style="69" customWidth="1"/>
    <col min="789" max="790" width="10.28515625" style="69" bestFit="1" customWidth="1"/>
    <col min="791" max="791" width="17" style="69" customWidth="1"/>
    <col min="792" max="1024" width="9.140625" style="69"/>
    <col min="1025" max="1025" width="13.5703125" style="69" customWidth="1"/>
    <col min="1026" max="1026" width="5.140625" style="69" customWidth="1"/>
    <col min="1027" max="1027" width="6.85546875" style="69" customWidth="1"/>
    <col min="1028" max="1028" width="4.7109375" style="69" customWidth="1"/>
    <col min="1029" max="1033" width="5" style="69" customWidth="1"/>
    <col min="1034" max="1034" width="6.7109375" style="69" customWidth="1"/>
    <col min="1035" max="1035" width="20.28515625" style="69" customWidth="1"/>
    <col min="1036" max="1036" width="11.140625" style="69" customWidth="1"/>
    <col min="1037" max="1037" width="13.28515625" style="69" customWidth="1"/>
    <col min="1038" max="1038" width="4.140625" style="69" customWidth="1"/>
    <col min="1039" max="1039" width="6.28515625" style="69" customWidth="1"/>
    <col min="1040" max="1042" width="4.140625" style="69" customWidth="1"/>
    <col min="1043" max="1043" width="10.28515625" style="69" bestFit="1" customWidth="1"/>
    <col min="1044" max="1044" width="4.42578125" style="69" customWidth="1"/>
    <col min="1045" max="1046" width="10.28515625" style="69" bestFit="1" customWidth="1"/>
    <col min="1047" max="1047" width="17" style="69" customWidth="1"/>
    <col min="1048" max="1280" width="9.140625" style="69"/>
    <col min="1281" max="1281" width="13.5703125" style="69" customWidth="1"/>
    <col min="1282" max="1282" width="5.140625" style="69" customWidth="1"/>
    <col min="1283" max="1283" width="6.85546875" style="69" customWidth="1"/>
    <col min="1284" max="1284" width="4.7109375" style="69" customWidth="1"/>
    <col min="1285" max="1289" width="5" style="69" customWidth="1"/>
    <col min="1290" max="1290" width="6.7109375" style="69" customWidth="1"/>
    <col min="1291" max="1291" width="20.28515625" style="69" customWidth="1"/>
    <col min="1292" max="1292" width="11.140625" style="69" customWidth="1"/>
    <col min="1293" max="1293" width="13.28515625" style="69" customWidth="1"/>
    <col min="1294" max="1294" width="4.140625" style="69" customWidth="1"/>
    <col min="1295" max="1295" width="6.28515625" style="69" customWidth="1"/>
    <col min="1296" max="1298" width="4.140625" style="69" customWidth="1"/>
    <col min="1299" max="1299" width="10.28515625" style="69" bestFit="1" customWidth="1"/>
    <col min="1300" max="1300" width="4.42578125" style="69" customWidth="1"/>
    <col min="1301" max="1302" width="10.28515625" style="69" bestFit="1" customWidth="1"/>
    <col min="1303" max="1303" width="17" style="69" customWidth="1"/>
    <col min="1304" max="1536" width="9.140625" style="69"/>
    <col min="1537" max="1537" width="13.5703125" style="69" customWidth="1"/>
    <col min="1538" max="1538" width="5.140625" style="69" customWidth="1"/>
    <col min="1539" max="1539" width="6.85546875" style="69" customWidth="1"/>
    <col min="1540" max="1540" width="4.7109375" style="69" customWidth="1"/>
    <col min="1541" max="1545" width="5" style="69" customWidth="1"/>
    <col min="1546" max="1546" width="6.7109375" style="69" customWidth="1"/>
    <col min="1547" max="1547" width="20.28515625" style="69" customWidth="1"/>
    <col min="1548" max="1548" width="11.140625" style="69" customWidth="1"/>
    <col min="1549" max="1549" width="13.28515625" style="69" customWidth="1"/>
    <col min="1550" max="1550" width="4.140625" style="69" customWidth="1"/>
    <col min="1551" max="1551" width="6.28515625" style="69" customWidth="1"/>
    <col min="1552" max="1554" width="4.140625" style="69" customWidth="1"/>
    <col min="1555" max="1555" width="10.28515625" style="69" bestFit="1" customWidth="1"/>
    <col min="1556" max="1556" width="4.42578125" style="69" customWidth="1"/>
    <col min="1557" max="1558" width="10.28515625" style="69" bestFit="1" customWidth="1"/>
    <col min="1559" max="1559" width="17" style="69" customWidth="1"/>
    <col min="1560" max="1792" width="9.140625" style="69"/>
    <col min="1793" max="1793" width="13.5703125" style="69" customWidth="1"/>
    <col min="1794" max="1794" width="5.140625" style="69" customWidth="1"/>
    <col min="1795" max="1795" width="6.85546875" style="69" customWidth="1"/>
    <col min="1796" max="1796" width="4.7109375" style="69" customWidth="1"/>
    <col min="1797" max="1801" width="5" style="69" customWidth="1"/>
    <col min="1802" max="1802" width="6.7109375" style="69" customWidth="1"/>
    <col min="1803" max="1803" width="20.28515625" style="69" customWidth="1"/>
    <col min="1804" max="1804" width="11.140625" style="69" customWidth="1"/>
    <col min="1805" max="1805" width="13.28515625" style="69" customWidth="1"/>
    <col min="1806" max="1806" width="4.140625" style="69" customWidth="1"/>
    <col min="1807" max="1807" width="6.28515625" style="69" customWidth="1"/>
    <col min="1808" max="1810" width="4.140625" style="69" customWidth="1"/>
    <col min="1811" max="1811" width="10.28515625" style="69" bestFit="1" customWidth="1"/>
    <col min="1812" max="1812" width="4.42578125" style="69" customWidth="1"/>
    <col min="1813" max="1814" width="10.28515625" style="69" bestFit="1" customWidth="1"/>
    <col min="1815" max="1815" width="17" style="69" customWidth="1"/>
    <col min="1816" max="2048" width="9.140625" style="69"/>
    <col min="2049" max="2049" width="13.5703125" style="69" customWidth="1"/>
    <col min="2050" max="2050" width="5.140625" style="69" customWidth="1"/>
    <col min="2051" max="2051" width="6.85546875" style="69" customWidth="1"/>
    <col min="2052" max="2052" width="4.7109375" style="69" customWidth="1"/>
    <col min="2053" max="2057" width="5" style="69" customWidth="1"/>
    <col min="2058" max="2058" width="6.7109375" style="69" customWidth="1"/>
    <col min="2059" max="2059" width="20.28515625" style="69" customWidth="1"/>
    <col min="2060" max="2060" width="11.140625" style="69" customWidth="1"/>
    <col min="2061" max="2061" width="13.28515625" style="69" customWidth="1"/>
    <col min="2062" max="2062" width="4.140625" style="69" customWidth="1"/>
    <col min="2063" max="2063" width="6.28515625" style="69" customWidth="1"/>
    <col min="2064" max="2066" width="4.140625" style="69" customWidth="1"/>
    <col min="2067" max="2067" width="10.28515625" style="69" bestFit="1" customWidth="1"/>
    <col min="2068" max="2068" width="4.42578125" style="69" customWidth="1"/>
    <col min="2069" max="2070" width="10.28515625" style="69" bestFit="1" customWidth="1"/>
    <col min="2071" max="2071" width="17" style="69" customWidth="1"/>
    <col min="2072" max="2304" width="9.140625" style="69"/>
    <col min="2305" max="2305" width="13.5703125" style="69" customWidth="1"/>
    <col min="2306" max="2306" width="5.140625" style="69" customWidth="1"/>
    <col min="2307" max="2307" width="6.85546875" style="69" customWidth="1"/>
    <col min="2308" max="2308" width="4.7109375" style="69" customWidth="1"/>
    <col min="2309" max="2313" width="5" style="69" customWidth="1"/>
    <col min="2314" max="2314" width="6.7109375" style="69" customWidth="1"/>
    <col min="2315" max="2315" width="20.28515625" style="69" customWidth="1"/>
    <col min="2316" max="2316" width="11.140625" style="69" customWidth="1"/>
    <col min="2317" max="2317" width="13.28515625" style="69" customWidth="1"/>
    <col min="2318" max="2318" width="4.140625" style="69" customWidth="1"/>
    <col min="2319" max="2319" width="6.28515625" style="69" customWidth="1"/>
    <col min="2320" max="2322" width="4.140625" style="69" customWidth="1"/>
    <col min="2323" max="2323" width="10.28515625" style="69" bestFit="1" customWidth="1"/>
    <col min="2324" max="2324" width="4.42578125" style="69" customWidth="1"/>
    <col min="2325" max="2326" width="10.28515625" style="69" bestFit="1" customWidth="1"/>
    <col min="2327" max="2327" width="17" style="69" customWidth="1"/>
    <col min="2328" max="2560" width="9.140625" style="69"/>
    <col min="2561" max="2561" width="13.5703125" style="69" customWidth="1"/>
    <col min="2562" max="2562" width="5.140625" style="69" customWidth="1"/>
    <col min="2563" max="2563" width="6.85546875" style="69" customWidth="1"/>
    <col min="2564" max="2564" width="4.7109375" style="69" customWidth="1"/>
    <col min="2565" max="2569" width="5" style="69" customWidth="1"/>
    <col min="2570" max="2570" width="6.7109375" style="69" customWidth="1"/>
    <col min="2571" max="2571" width="20.28515625" style="69" customWidth="1"/>
    <col min="2572" max="2572" width="11.140625" style="69" customWidth="1"/>
    <col min="2573" max="2573" width="13.28515625" style="69" customWidth="1"/>
    <col min="2574" max="2574" width="4.140625" style="69" customWidth="1"/>
    <col min="2575" max="2575" width="6.28515625" style="69" customWidth="1"/>
    <col min="2576" max="2578" width="4.140625" style="69" customWidth="1"/>
    <col min="2579" max="2579" width="10.28515625" style="69" bestFit="1" customWidth="1"/>
    <col min="2580" max="2580" width="4.42578125" style="69" customWidth="1"/>
    <col min="2581" max="2582" width="10.28515625" style="69" bestFit="1" customWidth="1"/>
    <col min="2583" max="2583" width="17" style="69" customWidth="1"/>
    <col min="2584" max="2816" width="9.140625" style="69"/>
    <col min="2817" max="2817" width="13.5703125" style="69" customWidth="1"/>
    <col min="2818" max="2818" width="5.140625" style="69" customWidth="1"/>
    <col min="2819" max="2819" width="6.85546875" style="69" customWidth="1"/>
    <col min="2820" max="2820" width="4.7109375" style="69" customWidth="1"/>
    <col min="2821" max="2825" width="5" style="69" customWidth="1"/>
    <col min="2826" max="2826" width="6.7109375" style="69" customWidth="1"/>
    <col min="2827" max="2827" width="20.28515625" style="69" customWidth="1"/>
    <col min="2828" max="2828" width="11.140625" style="69" customWidth="1"/>
    <col min="2829" max="2829" width="13.28515625" style="69" customWidth="1"/>
    <col min="2830" max="2830" width="4.140625" style="69" customWidth="1"/>
    <col min="2831" max="2831" width="6.28515625" style="69" customWidth="1"/>
    <col min="2832" max="2834" width="4.140625" style="69" customWidth="1"/>
    <col min="2835" max="2835" width="10.28515625" style="69" bestFit="1" customWidth="1"/>
    <col min="2836" max="2836" width="4.42578125" style="69" customWidth="1"/>
    <col min="2837" max="2838" width="10.28515625" style="69" bestFit="1" customWidth="1"/>
    <col min="2839" max="2839" width="17" style="69" customWidth="1"/>
    <col min="2840" max="3072" width="9.140625" style="69"/>
    <col min="3073" max="3073" width="13.5703125" style="69" customWidth="1"/>
    <col min="3074" max="3074" width="5.140625" style="69" customWidth="1"/>
    <col min="3075" max="3075" width="6.85546875" style="69" customWidth="1"/>
    <col min="3076" max="3076" width="4.7109375" style="69" customWidth="1"/>
    <col min="3077" max="3081" width="5" style="69" customWidth="1"/>
    <col min="3082" max="3082" width="6.7109375" style="69" customWidth="1"/>
    <col min="3083" max="3083" width="20.28515625" style="69" customWidth="1"/>
    <col min="3084" max="3084" width="11.140625" style="69" customWidth="1"/>
    <col min="3085" max="3085" width="13.28515625" style="69" customWidth="1"/>
    <col min="3086" max="3086" width="4.140625" style="69" customWidth="1"/>
    <col min="3087" max="3087" width="6.28515625" style="69" customWidth="1"/>
    <col min="3088" max="3090" width="4.140625" style="69" customWidth="1"/>
    <col min="3091" max="3091" width="10.28515625" style="69" bestFit="1" customWidth="1"/>
    <col min="3092" max="3092" width="4.42578125" style="69" customWidth="1"/>
    <col min="3093" max="3094" width="10.28515625" style="69" bestFit="1" customWidth="1"/>
    <col min="3095" max="3095" width="17" style="69" customWidth="1"/>
    <col min="3096" max="3328" width="9.140625" style="69"/>
    <col min="3329" max="3329" width="13.5703125" style="69" customWidth="1"/>
    <col min="3330" max="3330" width="5.140625" style="69" customWidth="1"/>
    <col min="3331" max="3331" width="6.85546875" style="69" customWidth="1"/>
    <col min="3332" max="3332" width="4.7109375" style="69" customWidth="1"/>
    <col min="3333" max="3337" width="5" style="69" customWidth="1"/>
    <col min="3338" max="3338" width="6.7109375" style="69" customWidth="1"/>
    <col min="3339" max="3339" width="20.28515625" style="69" customWidth="1"/>
    <col min="3340" max="3340" width="11.140625" style="69" customWidth="1"/>
    <col min="3341" max="3341" width="13.28515625" style="69" customWidth="1"/>
    <col min="3342" max="3342" width="4.140625" style="69" customWidth="1"/>
    <col min="3343" max="3343" width="6.28515625" style="69" customWidth="1"/>
    <col min="3344" max="3346" width="4.140625" style="69" customWidth="1"/>
    <col min="3347" max="3347" width="10.28515625" style="69" bestFit="1" customWidth="1"/>
    <col min="3348" max="3348" width="4.42578125" style="69" customWidth="1"/>
    <col min="3349" max="3350" width="10.28515625" style="69" bestFit="1" customWidth="1"/>
    <col min="3351" max="3351" width="17" style="69" customWidth="1"/>
    <col min="3352" max="3584" width="9.140625" style="69"/>
    <col min="3585" max="3585" width="13.5703125" style="69" customWidth="1"/>
    <col min="3586" max="3586" width="5.140625" style="69" customWidth="1"/>
    <col min="3587" max="3587" width="6.85546875" style="69" customWidth="1"/>
    <col min="3588" max="3588" width="4.7109375" style="69" customWidth="1"/>
    <col min="3589" max="3593" width="5" style="69" customWidth="1"/>
    <col min="3594" max="3594" width="6.7109375" style="69" customWidth="1"/>
    <col min="3595" max="3595" width="20.28515625" style="69" customWidth="1"/>
    <col min="3596" max="3596" width="11.140625" style="69" customWidth="1"/>
    <col min="3597" max="3597" width="13.28515625" style="69" customWidth="1"/>
    <col min="3598" max="3598" width="4.140625" style="69" customWidth="1"/>
    <col min="3599" max="3599" width="6.28515625" style="69" customWidth="1"/>
    <col min="3600" max="3602" width="4.140625" style="69" customWidth="1"/>
    <col min="3603" max="3603" width="10.28515625" style="69" bestFit="1" customWidth="1"/>
    <col min="3604" max="3604" width="4.42578125" style="69" customWidth="1"/>
    <col min="3605" max="3606" width="10.28515625" style="69" bestFit="1" customWidth="1"/>
    <col min="3607" max="3607" width="17" style="69" customWidth="1"/>
    <col min="3608" max="3840" width="9.140625" style="69"/>
    <col min="3841" max="3841" width="13.5703125" style="69" customWidth="1"/>
    <col min="3842" max="3842" width="5.140625" style="69" customWidth="1"/>
    <col min="3843" max="3843" width="6.85546875" style="69" customWidth="1"/>
    <col min="3844" max="3844" width="4.7109375" style="69" customWidth="1"/>
    <col min="3845" max="3849" width="5" style="69" customWidth="1"/>
    <col min="3850" max="3850" width="6.7109375" style="69" customWidth="1"/>
    <col min="3851" max="3851" width="20.28515625" style="69" customWidth="1"/>
    <col min="3852" max="3852" width="11.140625" style="69" customWidth="1"/>
    <col min="3853" max="3853" width="13.28515625" style="69" customWidth="1"/>
    <col min="3854" max="3854" width="4.140625" style="69" customWidth="1"/>
    <col min="3855" max="3855" width="6.28515625" style="69" customWidth="1"/>
    <col min="3856" max="3858" width="4.140625" style="69" customWidth="1"/>
    <col min="3859" max="3859" width="10.28515625" style="69" bestFit="1" customWidth="1"/>
    <col min="3860" max="3860" width="4.42578125" style="69" customWidth="1"/>
    <col min="3861" max="3862" width="10.28515625" style="69" bestFit="1" customWidth="1"/>
    <col min="3863" max="3863" width="17" style="69" customWidth="1"/>
    <col min="3864" max="4096" width="9.140625" style="69"/>
    <col min="4097" max="4097" width="13.5703125" style="69" customWidth="1"/>
    <col min="4098" max="4098" width="5.140625" style="69" customWidth="1"/>
    <col min="4099" max="4099" width="6.85546875" style="69" customWidth="1"/>
    <col min="4100" max="4100" width="4.7109375" style="69" customWidth="1"/>
    <col min="4101" max="4105" width="5" style="69" customWidth="1"/>
    <col min="4106" max="4106" width="6.7109375" style="69" customWidth="1"/>
    <col min="4107" max="4107" width="20.28515625" style="69" customWidth="1"/>
    <col min="4108" max="4108" width="11.140625" style="69" customWidth="1"/>
    <col min="4109" max="4109" width="13.28515625" style="69" customWidth="1"/>
    <col min="4110" max="4110" width="4.140625" style="69" customWidth="1"/>
    <col min="4111" max="4111" width="6.28515625" style="69" customWidth="1"/>
    <col min="4112" max="4114" width="4.140625" style="69" customWidth="1"/>
    <col min="4115" max="4115" width="10.28515625" style="69" bestFit="1" customWidth="1"/>
    <col min="4116" max="4116" width="4.42578125" style="69" customWidth="1"/>
    <col min="4117" max="4118" width="10.28515625" style="69" bestFit="1" customWidth="1"/>
    <col min="4119" max="4119" width="17" style="69" customWidth="1"/>
    <col min="4120" max="4352" width="9.140625" style="69"/>
    <col min="4353" max="4353" width="13.5703125" style="69" customWidth="1"/>
    <col min="4354" max="4354" width="5.140625" style="69" customWidth="1"/>
    <col min="4355" max="4355" width="6.85546875" style="69" customWidth="1"/>
    <col min="4356" max="4356" width="4.7109375" style="69" customWidth="1"/>
    <col min="4357" max="4361" width="5" style="69" customWidth="1"/>
    <col min="4362" max="4362" width="6.7109375" style="69" customWidth="1"/>
    <col min="4363" max="4363" width="20.28515625" style="69" customWidth="1"/>
    <col min="4364" max="4364" width="11.140625" style="69" customWidth="1"/>
    <col min="4365" max="4365" width="13.28515625" style="69" customWidth="1"/>
    <col min="4366" max="4366" width="4.140625" style="69" customWidth="1"/>
    <col min="4367" max="4367" width="6.28515625" style="69" customWidth="1"/>
    <col min="4368" max="4370" width="4.140625" style="69" customWidth="1"/>
    <col min="4371" max="4371" width="10.28515625" style="69" bestFit="1" customWidth="1"/>
    <col min="4372" max="4372" width="4.42578125" style="69" customWidth="1"/>
    <col min="4373" max="4374" width="10.28515625" style="69" bestFit="1" customWidth="1"/>
    <col min="4375" max="4375" width="17" style="69" customWidth="1"/>
    <col min="4376" max="4608" width="9.140625" style="69"/>
    <col min="4609" max="4609" width="13.5703125" style="69" customWidth="1"/>
    <col min="4610" max="4610" width="5.140625" style="69" customWidth="1"/>
    <col min="4611" max="4611" width="6.85546875" style="69" customWidth="1"/>
    <col min="4612" max="4612" width="4.7109375" style="69" customWidth="1"/>
    <col min="4613" max="4617" width="5" style="69" customWidth="1"/>
    <col min="4618" max="4618" width="6.7109375" style="69" customWidth="1"/>
    <col min="4619" max="4619" width="20.28515625" style="69" customWidth="1"/>
    <col min="4620" max="4620" width="11.140625" style="69" customWidth="1"/>
    <col min="4621" max="4621" width="13.28515625" style="69" customWidth="1"/>
    <col min="4622" max="4622" width="4.140625" style="69" customWidth="1"/>
    <col min="4623" max="4623" width="6.28515625" style="69" customWidth="1"/>
    <col min="4624" max="4626" width="4.140625" style="69" customWidth="1"/>
    <col min="4627" max="4627" width="10.28515625" style="69" bestFit="1" customWidth="1"/>
    <col min="4628" max="4628" width="4.42578125" style="69" customWidth="1"/>
    <col min="4629" max="4630" width="10.28515625" style="69" bestFit="1" customWidth="1"/>
    <col min="4631" max="4631" width="17" style="69" customWidth="1"/>
    <col min="4632" max="4864" width="9.140625" style="69"/>
    <col min="4865" max="4865" width="13.5703125" style="69" customWidth="1"/>
    <col min="4866" max="4866" width="5.140625" style="69" customWidth="1"/>
    <col min="4867" max="4867" width="6.85546875" style="69" customWidth="1"/>
    <col min="4868" max="4868" width="4.7109375" style="69" customWidth="1"/>
    <col min="4869" max="4873" width="5" style="69" customWidth="1"/>
    <col min="4874" max="4874" width="6.7109375" style="69" customWidth="1"/>
    <col min="4875" max="4875" width="20.28515625" style="69" customWidth="1"/>
    <col min="4876" max="4876" width="11.140625" style="69" customWidth="1"/>
    <col min="4877" max="4877" width="13.28515625" style="69" customWidth="1"/>
    <col min="4878" max="4878" width="4.140625" style="69" customWidth="1"/>
    <col min="4879" max="4879" width="6.28515625" style="69" customWidth="1"/>
    <col min="4880" max="4882" width="4.140625" style="69" customWidth="1"/>
    <col min="4883" max="4883" width="10.28515625" style="69" bestFit="1" customWidth="1"/>
    <col min="4884" max="4884" width="4.42578125" style="69" customWidth="1"/>
    <col min="4885" max="4886" width="10.28515625" style="69" bestFit="1" customWidth="1"/>
    <col min="4887" max="4887" width="17" style="69" customWidth="1"/>
    <col min="4888" max="5120" width="9.140625" style="69"/>
    <col min="5121" max="5121" width="13.5703125" style="69" customWidth="1"/>
    <col min="5122" max="5122" width="5.140625" style="69" customWidth="1"/>
    <col min="5123" max="5123" width="6.85546875" style="69" customWidth="1"/>
    <col min="5124" max="5124" width="4.7109375" style="69" customWidth="1"/>
    <col min="5125" max="5129" width="5" style="69" customWidth="1"/>
    <col min="5130" max="5130" width="6.7109375" style="69" customWidth="1"/>
    <col min="5131" max="5131" width="20.28515625" style="69" customWidth="1"/>
    <col min="5132" max="5132" width="11.140625" style="69" customWidth="1"/>
    <col min="5133" max="5133" width="13.28515625" style="69" customWidth="1"/>
    <col min="5134" max="5134" width="4.140625" style="69" customWidth="1"/>
    <col min="5135" max="5135" width="6.28515625" style="69" customWidth="1"/>
    <col min="5136" max="5138" width="4.140625" style="69" customWidth="1"/>
    <col min="5139" max="5139" width="10.28515625" style="69" bestFit="1" customWidth="1"/>
    <col min="5140" max="5140" width="4.42578125" style="69" customWidth="1"/>
    <col min="5141" max="5142" width="10.28515625" style="69" bestFit="1" customWidth="1"/>
    <col min="5143" max="5143" width="17" style="69" customWidth="1"/>
    <col min="5144" max="5376" width="9.140625" style="69"/>
    <col min="5377" max="5377" width="13.5703125" style="69" customWidth="1"/>
    <col min="5378" max="5378" width="5.140625" style="69" customWidth="1"/>
    <col min="5379" max="5379" width="6.85546875" style="69" customWidth="1"/>
    <col min="5380" max="5380" width="4.7109375" style="69" customWidth="1"/>
    <col min="5381" max="5385" width="5" style="69" customWidth="1"/>
    <col min="5386" max="5386" width="6.7109375" style="69" customWidth="1"/>
    <col min="5387" max="5387" width="20.28515625" style="69" customWidth="1"/>
    <col min="5388" max="5388" width="11.140625" style="69" customWidth="1"/>
    <col min="5389" max="5389" width="13.28515625" style="69" customWidth="1"/>
    <col min="5390" max="5390" width="4.140625" style="69" customWidth="1"/>
    <col min="5391" max="5391" width="6.28515625" style="69" customWidth="1"/>
    <col min="5392" max="5394" width="4.140625" style="69" customWidth="1"/>
    <col min="5395" max="5395" width="10.28515625" style="69" bestFit="1" customWidth="1"/>
    <col min="5396" max="5396" width="4.42578125" style="69" customWidth="1"/>
    <col min="5397" max="5398" width="10.28515625" style="69" bestFit="1" customWidth="1"/>
    <col min="5399" max="5399" width="17" style="69" customWidth="1"/>
    <col min="5400" max="5632" width="9.140625" style="69"/>
    <col min="5633" max="5633" width="13.5703125" style="69" customWidth="1"/>
    <col min="5634" max="5634" width="5.140625" style="69" customWidth="1"/>
    <col min="5635" max="5635" width="6.85546875" style="69" customWidth="1"/>
    <col min="5636" max="5636" width="4.7109375" style="69" customWidth="1"/>
    <col min="5637" max="5641" width="5" style="69" customWidth="1"/>
    <col min="5642" max="5642" width="6.7109375" style="69" customWidth="1"/>
    <col min="5643" max="5643" width="20.28515625" style="69" customWidth="1"/>
    <col min="5644" max="5644" width="11.140625" style="69" customWidth="1"/>
    <col min="5645" max="5645" width="13.28515625" style="69" customWidth="1"/>
    <col min="5646" max="5646" width="4.140625" style="69" customWidth="1"/>
    <col min="5647" max="5647" width="6.28515625" style="69" customWidth="1"/>
    <col min="5648" max="5650" width="4.140625" style="69" customWidth="1"/>
    <col min="5651" max="5651" width="10.28515625" style="69" bestFit="1" customWidth="1"/>
    <col min="5652" max="5652" width="4.42578125" style="69" customWidth="1"/>
    <col min="5653" max="5654" width="10.28515625" style="69" bestFit="1" customWidth="1"/>
    <col min="5655" max="5655" width="17" style="69" customWidth="1"/>
    <col min="5656" max="5888" width="9.140625" style="69"/>
    <col min="5889" max="5889" width="13.5703125" style="69" customWidth="1"/>
    <col min="5890" max="5890" width="5.140625" style="69" customWidth="1"/>
    <col min="5891" max="5891" width="6.85546875" style="69" customWidth="1"/>
    <col min="5892" max="5892" width="4.7109375" style="69" customWidth="1"/>
    <col min="5893" max="5897" width="5" style="69" customWidth="1"/>
    <col min="5898" max="5898" width="6.7109375" style="69" customWidth="1"/>
    <col min="5899" max="5899" width="20.28515625" style="69" customWidth="1"/>
    <col min="5900" max="5900" width="11.140625" style="69" customWidth="1"/>
    <col min="5901" max="5901" width="13.28515625" style="69" customWidth="1"/>
    <col min="5902" max="5902" width="4.140625" style="69" customWidth="1"/>
    <col min="5903" max="5903" width="6.28515625" style="69" customWidth="1"/>
    <col min="5904" max="5906" width="4.140625" style="69" customWidth="1"/>
    <col min="5907" max="5907" width="10.28515625" style="69" bestFit="1" customWidth="1"/>
    <col min="5908" max="5908" width="4.42578125" style="69" customWidth="1"/>
    <col min="5909" max="5910" width="10.28515625" style="69" bestFit="1" customWidth="1"/>
    <col min="5911" max="5911" width="17" style="69" customWidth="1"/>
    <col min="5912" max="6144" width="9.140625" style="69"/>
    <col min="6145" max="6145" width="13.5703125" style="69" customWidth="1"/>
    <col min="6146" max="6146" width="5.140625" style="69" customWidth="1"/>
    <col min="6147" max="6147" width="6.85546875" style="69" customWidth="1"/>
    <col min="6148" max="6148" width="4.7109375" style="69" customWidth="1"/>
    <col min="6149" max="6153" width="5" style="69" customWidth="1"/>
    <col min="6154" max="6154" width="6.7109375" style="69" customWidth="1"/>
    <col min="6155" max="6155" width="20.28515625" style="69" customWidth="1"/>
    <col min="6156" max="6156" width="11.140625" style="69" customWidth="1"/>
    <col min="6157" max="6157" width="13.28515625" style="69" customWidth="1"/>
    <col min="6158" max="6158" width="4.140625" style="69" customWidth="1"/>
    <col min="6159" max="6159" width="6.28515625" style="69" customWidth="1"/>
    <col min="6160" max="6162" width="4.140625" style="69" customWidth="1"/>
    <col min="6163" max="6163" width="10.28515625" style="69" bestFit="1" customWidth="1"/>
    <col min="6164" max="6164" width="4.42578125" style="69" customWidth="1"/>
    <col min="6165" max="6166" width="10.28515625" style="69" bestFit="1" customWidth="1"/>
    <col min="6167" max="6167" width="17" style="69" customWidth="1"/>
    <col min="6168" max="6400" width="9.140625" style="69"/>
    <col min="6401" max="6401" width="13.5703125" style="69" customWidth="1"/>
    <col min="6402" max="6402" width="5.140625" style="69" customWidth="1"/>
    <col min="6403" max="6403" width="6.85546875" style="69" customWidth="1"/>
    <col min="6404" max="6404" width="4.7109375" style="69" customWidth="1"/>
    <col min="6405" max="6409" width="5" style="69" customWidth="1"/>
    <col min="6410" max="6410" width="6.7109375" style="69" customWidth="1"/>
    <col min="6411" max="6411" width="20.28515625" style="69" customWidth="1"/>
    <col min="6412" max="6412" width="11.140625" style="69" customWidth="1"/>
    <col min="6413" max="6413" width="13.28515625" style="69" customWidth="1"/>
    <col min="6414" max="6414" width="4.140625" style="69" customWidth="1"/>
    <col min="6415" max="6415" width="6.28515625" style="69" customWidth="1"/>
    <col min="6416" max="6418" width="4.140625" style="69" customWidth="1"/>
    <col min="6419" max="6419" width="10.28515625" style="69" bestFit="1" customWidth="1"/>
    <col min="6420" max="6420" width="4.42578125" style="69" customWidth="1"/>
    <col min="6421" max="6422" width="10.28515625" style="69" bestFit="1" customWidth="1"/>
    <col min="6423" max="6423" width="17" style="69" customWidth="1"/>
    <col min="6424" max="6656" width="9.140625" style="69"/>
    <col min="6657" max="6657" width="13.5703125" style="69" customWidth="1"/>
    <col min="6658" max="6658" width="5.140625" style="69" customWidth="1"/>
    <col min="6659" max="6659" width="6.85546875" style="69" customWidth="1"/>
    <col min="6660" max="6660" width="4.7109375" style="69" customWidth="1"/>
    <col min="6661" max="6665" width="5" style="69" customWidth="1"/>
    <col min="6666" max="6666" width="6.7109375" style="69" customWidth="1"/>
    <col min="6667" max="6667" width="20.28515625" style="69" customWidth="1"/>
    <col min="6668" max="6668" width="11.140625" style="69" customWidth="1"/>
    <col min="6669" max="6669" width="13.28515625" style="69" customWidth="1"/>
    <col min="6670" max="6670" width="4.140625" style="69" customWidth="1"/>
    <col min="6671" max="6671" width="6.28515625" style="69" customWidth="1"/>
    <col min="6672" max="6674" width="4.140625" style="69" customWidth="1"/>
    <col min="6675" max="6675" width="10.28515625" style="69" bestFit="1" customWidth="1"/>
    <col min="6676" max="6676" width="4.42578125" style="69" customWidth="1"/>
    <col min="6677" max="6678" width="10.28515625" style="69" bestFit="1" customWidth="1"/>
    <col min="6679" max="6679" width="17" style="69" customWidth="1"/>
    <col min="6680" max="6912" width="9.140625" style="69"/>
    <col min="6913" max="6913" width="13.5703125" style="69" customWidth="1"/>
    <col min="6914" max="6914" width="5.140625" style="69" customWidth="1"/>
    <col min="6915" max="6915" width="6.85546875" style="69" customWidth="1"/>
    <col min="6916" max="6916" width="4.7109375" style="69" customWidth="1"/>
    <col min="6917" max="6921" width="5" style="69" customWidth="1"/>
    <col min="6922" max="6922" width="6.7109375" style="69" customWidth="1"/>
    <col min="6923" max="6923" width="20.28515625" style="69" customWidth="1"/>
    <col min="6924" max="6924" width="11.140625" style="69" customWidth="1"/>
    <col min="6925" max="6925" width="13.28515625" style="69" customWidth="1"/>
    <col min="6926" max="6926" width="4.140625" style="69" customWidth="1"/>
    <col min="6927" max="6927" width="6.28515625" style="69" customWidth="1"/>
    <col min="6928" max="6930" width="4.140625" style="69" customWidth="1"/>
    <col min="6931" max="6931" width="10.28515625" style="69" bestFit="1" customWidth="1"/>
    <col min="6932" max="6932" width="4.42578125" style="69" customWidth="1"/>
    <col min="6933" max="6934" width="10.28515625" style="69" bestFit="1" customWidth="1"/>
    <col min="6935" max="6935" width="17" style="69" customWidth="1"/>
    <col min="6936" max="7168" width="9.140625" style="69"/>
    <col min="7169" max="7169" width="13.5703125" style="69" customWidth="1"/>
    <col min="7170" max="7170" width="5.140625" style="69" customWidth="1"/>
    <col min="7171" max="7171" width="6.85546875" style="69" customWidth="1"/>
    <col min="7172" max="7172" width="4.7109375" style="69" customWidth="1"/>
    <col min="7173" max="7177" width="5" style="69" customWidth="1"/>
    <col min="7178" max="7178" width="6.7109375" style="69" customWidth="1"/>
    <col min="7179" max="7179" width="20.28515625" style="69" customWidth="1"/>
    <col min="7180" max="7180" width="11.140625" style="69" customWidth="1"/>
    <col min="7181" max="7181" width="13.28515625" style="69" customWidth="1"/>
    <col min="7182" max="7182" width="4.140625" style="69" customWidth="1"/>
    <col min="7183" max="7183" width="6.28515625" style="69" customWidth="1"/>
    <col min="7184" max="7186" width="4.140625" style="69" customWidth="1"/>
    <col min="7187" max="7187" width="10.28515625" style="69" bestFit="1" customWidth="1"/>
    <col min="7188" max="7188" width="4.42578125" style="69" customWidth="1"/>
    <col min="7189" max="7190" width="10.28515625" style="69" bestFit="1" customWidth="1"/>
    <col min="7191" max="7191" width="17" style="69" customWidth="1"/>
    <col min="7192" max="7424" width="9.140625" style="69"/>
    <col min="7425" max="7425" width="13.5703125" style="69" customWidth="1"/>
    <col min="7426" max="7426" width="5.140625" style="69" customWidth="1"/>
    <col min="7427" max="7427" width="6.85546875" style="69" customWidth="1"/>
    <col min="7428" max="7428" width="4.7109375" style="69" customWidth="1"/>
    <col min="7429" max="7433" width="5" style="69" customWidth="1"/>
    <col min="7434" max="7434" width="6.7109375" style="69" customWidth="1"/>
    <col min="7435" max="7435" width="20.28515625" style="69" customWidth="1"/>
    <col min="7436" max="7436" width="11.140625" style="69" customWidth="1"/>
    <col min="7437" max="7437" width="13.28515625" style="69" customWidth="1"/>
    <col min="7438" max="7438" width="4.140625" style="69" customWidth="1"/>
    <col min="7439" max="7439" width="6.28515625" style="69" customWidth="1"/>
    <col min="7440" max="7442" width="4.140625" style="69" customWidth="1"/>
    <col min="7443" max="7443" width="10.28515625" style="69" bestFit="1" customWidth="1"/>
    <col min="7444" max="7444" width="4.42578125" style="69" customWidth="1"/>
    <col min="7445" max="7446" width="10.28515625" style="69" bestFit="1" customWidth="1"/>
    <col min="7447" max="7447" width="17" style="69" customWidth="1"/>
    <col min="7448" max="7680" width="9.140625" style="69"/>
    <col min="7681" max="7681" width="13.5703125" style="69" customWidth="1"/>
    <col min="7682" max="7682" width="5.140625" style="69" customWidth="1"/>
    <col min="7683" max="7683" width="6.85546875" style="69" customWidth="1"/>
    <col min="7684" max="7684" width="4.7109375" style="69" customWidth="1"/>
    <col min="7685" max="7689" width="5" style="69" customWidth="1"/>
    <col min="7690" max="7690" width="6.7109375" style="69" customWidth="1"/>
    <col min="7691" max="7691" width="20.28515625" style="69" customWidth="1"/>
    <col min="7692" max="7692" width="11.140625" style="69" customWidth="1"/>
    <col min="7693" max="7693" width="13.28515625" style="69" customWidth="1"/>
    <col min="7694" max="7694" width="4.140625" style="69" customWidth="1"/>
    <col min="7695" max="7695" width="6.28515625" style="69" customWidth="1"/>
    <col min="7696" max="7698" width="4.140625" style="69" customWidth="1"/>
    <col min="7699" max="7699" width="10.28515625" style="69" bestFit="1" customWidth="1"/>
    <col min="7700" max="7700" width="4.42578125" style="69" customWidth="1"/>
    <col min="7701" max="7702" width="10.28515625" style="69" bestFit="1" customWidth="1"/>
    <col min="7703" max="7703" width="17" style="69" customWidth="1"/>
    <col min="7704" max="7936" width="9.140625" style="69"/>
    <col min="7937" max="7937" width="13.5703125" style="69" customWidth="1"/>
    <col min="7938" max="7938" width="5.140625" style="69" customWidth="1"/>
    <col min="7939" max="7939" width="6.85546875" style="69" customWidth="1"/>
    <col min="7940" max="7940" width="4.7109375" style="69" customWidth="1"/>
    <col min="7941" max="7945" width="5" style="69" customWidth="1"/>
    <col min="7946" max="7946" width="6.7109375" style="69" customWidth="1"/>
    <col min="7947" max="7947" width="20.28515625" style="69" customWidth="1"/>
    <col min="7948" max="7948" width="11.140625" style="69" customWidth="1"/>
    <col min="7949" max="7949" width="13.28515625" style="69" customWidth="1"/>
    <col min="7950" max="7950" width="4.140625" style="69" customWidth="1"/>
    <col min="7951" max="7951" width="6.28515625" style="69" customWidth="1"/>
    <col min="7952" max="7954" width="4.140625" style="69" customWidth="1"/>
    <col min="7955" max="7955" width="10.28515625" style="69" bestFit="1" customWidth="1"/>
    <col min="7956" max="7956" width="4.42578125" style="69" customWidth="1"/>
    <col min="7957" max="7958" width="10.28515625" style="69" bestFit="1" customWidth="1"/>
    <col min="7959" max="7959" width="17" style="69" customWidth="1"/>
    <col min="7960" max="8192" width="9.140625" style="69"/>
    <col min="8193" max="8193" width="13.5703125" style="69" customWidth="1"/>
    <col min="8194" max="8194" width="5.140625" style="69" customWidth="1"/>
    <col min="8195" max="8195" width="6.85546875" style="69" customWidth="1"/>
    <col min="8196" max="8196" width="4.7109375" style="69" customWidth="1"/>
    <col min="8197" max="8201" width="5" style="69" customWidth="1"/>
    <col min="8202" max="8202" width="6.7109375" style="69" customWidth="1"/>
    <col min="8203" max="8203" width="20.28515625" style="69" customWidth="1"/>
    <col min="8204" max="8204" width="11.140625" style="69" customWidth="1"/>
    <col min="8205" max="8205" width="13.28515625" style="69" customWidth="1"/>
    <col min="8206" max="8206" width="4.140625" style="69" customWidth="1"/>
    <col min="8207" max="8207" width="6.28515625" style="69" customWidth="1"/>
    <col min="8208" max="8210" width="4.140625" style="69" customWidth="1"/>
    <col min="8211" max="8211" width="10.28515625" style="69" bestFit="1" customWidth="1"/>
    <col min="8212" max="8212" width="4.42578125" style="69" customWidth="1"/>
    <col min="8213" max="8214" width="10.28515625" style="69" bestFit="1" customWidth="1"/>
    <col min="8215" max="8215" width="17" style="69" customWidth="1"/>
    <col min="8216" max="8448" width="9.140625" style="69"/>
    <col min="8449" max="8449" width="13.5703125" style="69" customWidth="1"/>
    <col min="8450" max="8450" width="5.140625" style="69" customWidth="1"/>
    <col min="8451" max="8451" width="6.85546875" style="69" customWidth="1"/>
    <col min="8452" max="8452" width="4.7109375" style="69" customWidth="1"/>
    <col min="8453" max="8457" width="5" style="69" customWidth="1"/>
    <col min="8458" max="8458" width="6.7109375" style="69" customWidth="1"/>
    <col min="8459" max="8459" width="20.28515625" style="69" customWidth="1"/>
    <col min="8460" max="8460" width="11.140625" style="69" customWidth="1"/>
    <col min="8461" max="8461" width="13.28515625" style="69" customWidth="1"/>
    <col min="8462" max="8462" width="4.140625" style="69" customWidth="1"/>
    <col min="8463" max="8463" width="6.28515625" style="69" customWidth="1"/>
    <col min="8464" max="8466" width="4.140625" style="69" customWidth="1"/>
    <col min="8467" max="8467" width="10.28515625" style="69" bestFit="1" customWidth="1"/>
    <col min="8468" max="8468" width="4.42578125" style="69" customWidth="1"/>
    <col min="8469" max="8470" width="10.28515625" style="69" bestFit="1" customWidth="1"/>
    <col min="8471" max="8471" width="17" style="69" customWidth="1"/>
    <col min="8472" max="8704" width="9.140625" style="69"/>
    <col min="8705" max="8705" width="13.5703125" style="69" customWidth="1"/>
    <col min="8706" max="8706" width="5.140625" style="69" customWidth="1"/>
    <col min="8707" max="8707" width="6.85546875" style="69" customWidth="1"/>
    <col min="8708" max="8708" width="4.7109375" style="69" customWidth="1"/>
    <col min="8709" max="8713" width="5" style="69" customWidth="1"/>
    <col min="8714" max="8714" width="6.7109375" style="69" customWidth="1"/>
    <col min="8715" max="8715" width="20.28515625" style="69" customWidth="1"/>
    <col min="8716" max="8716" width="11.140625" style="69" customWidth="1"/>
    <col min="8717" max="8717" width="13.28515625" style="69" customWidth="1"/>
    <col min="8718" max="8718" width="4.140625" style="69" customWidth="1"/>
    <col min="8719" max="8719" width="6.28515625" style="69" customWidth="1"/>
    <col min="8720" max="8722" width="4.140625" style="69" customWidth="1"/>
    <col min="8723" max="8723" width="10.28515625" style="69" bestFit="1" customWidth="1"/>
    <col min="8724" max="8724" width="4.42578125" style="69" customWidth="1"/>
    <col min="8725" max="8726" width="10.28515625" style="69" bestFit="1" customWidth="1"/>
    <col min="8727" max="8727" width="17" style="69" customWidth="1"/>
    <col min="8728" max="8960" width="9.140625" style="69"/>
    <col min="8961" max="8961" width="13.5703125" style="69" customWidth="1"/>
    <col min="8962" max="8962" width="5.140625" style="69" customWidth="1"/>
    <col min="8963" max="8963" width="6.85546875" style="69" customWidth="1"/>
    <col min="8964" max="8964" width="4.7109375" style="69" customWidth="1"/>
    <col min="8965" max="8969" width="5" style="69" customWidth="1"/>
    <col min="8970" max="8970" width="6.7109375" style="69" customWidth="1"/>
    <col min="8971" max="8971" width="20.28515625" style="69" customWidth="1"/>
    <col min="8972" max="8972" width="11.140625" style="69" customWidth="1"/>
    <col min="8973" max="8973" width="13.28515625" style="69" customWidth="1"/>
    <col min="8974" max="8974" width="4.140625" style="69" customWidth="1"/>
    <col min="8975" max="8975" width="6.28515625" style="69" customWidth="1"/>
    <col min="8976" max="8978" width="4.140625" style="69" customWidth="1"/>
    <col min="8979" max="8979" width="10.28515625" style="69" bestFit="1" customWidth="1"/>
    <col min="8980" max="8980" width="4.42578125" style="69" customWidth="1"/>
    <col min="8981" max="8982" width="10.28515625" style="69" bestFit="1" customWidth="1"/>
    <col min="8983" max="8983" width="17" style="69" customWidth="1"/>
    <col min="8984" max="9216" width="9.140625" style="69"/>
    <col min="9217" max="9217" width="13.5703125" style="69" customWidth="1"/>
    <col min="9218" max="9218" width="5.140625" style="69" customWidth="1"/>
    <col min="9219" max="9219" width="6.85546875" style="69" customWidth="1"/>
    <col min="9220" max="9220" width="4.7109375" style="69" customWidth="1"/>
    <col min="9221" max="9225" width="5" style="69" customWidth="1"/>
    <col min="9226" max="9226" width="6.7109375" style="69" customWidth="1"/>
    <col min="9227" max="9227" width="20.28515625" style="69" customWidth="1"/>
    <col min="9228" max="9228" width="11.140625" style="69" customWidth="1"/>
    <col min="9229" max="9229" width="13.28515625" style="69" customWidth="1"/>
    <col min="9230" max="9230" width="4.140625" style="69" customWidth="1"/>
    <col min="9231" max="9231" width="6.28515625" style="69" customWidth="1"/>
    <col min="9232" max="9234" width="4.140625" style="69" customWidth="1"/>
    <col min="9235" max="9235" width="10.28515625" style="69" bestFit="1" customWidth="1"/>
    <col min="9236" max="9236" width="4.42578125" style="69" customWidth="1"/>
    <col min="9237" max="9238" width="10.28515625" style="69" bestFit="1" customWidth="1"/>
    <col min="9239" max="9239" width="17" style="69" customWidth="1"/>
    <col min="9240" max="9472" width="9.140625" style="69"/>
    <col min="9473" max="9473" width="13.5703125" style="69" customWidth="1"/>
    <col min="9474" max="9474" width="5.140625" style="69" customWidth="1"/>
    <col min="9475" max="9475" width="6.85546875" style="69" customWidth="1"/>
    <col min="9476" max="9476" width="4.7109375" style="69" customWidth="1"/>
    <col min="9477" max="9481" width="5" style="69" customWidth="1"/>
    <col min="9482" max="9482" width="6.7109375" style="69" customWidth="1"/>
    <col min="9483" max="9483" width="20.28515625" style="69" customWidth="1"/>
    <col min="9484" max="9484" width="11.140625" style="69" customWidth="1"/>
    <col min="9485" max="9485" width="13.28515625" style="69" customWidth="1"/>
    <col min="9486" max="9486" width="4.140625" style="69" customWidth="1"/>
    <col min="9487" max="9487" width="6.28515625" style="69" customWidth="1"/>
    <col min="9488" max="9490" width="4.140625" style="69" customWidth="1"/>
    <col min="9491" max="9491" width="10.28515625" style="69" bestFit="1" customWidth="1"/>
    <col min="9492" max="9492" width="4.42578125" style="69" customWidth="1"/>
    <col min="9493" max="9494" width="10.28515625" style="69" bestFit="1" customWidth="1"/>
    <col min="9495" max="9495" width="17" style="69" customWidth="1"/>
    <col min="9496" max="9728" width="9.140625" style="69"/>
    <col min="9729" max="9729" width="13.5703125" style="69" customWidth="1"/>
    <col min="9730" max="9730" width="5.140625" style="69" customWidth="1"/>
    <col min="9731" max="9731" width="6.85546875" style="69" customWidth="1"/>
    <col min="9732" max="9732" width="4.7109375" style="69" customWidth="1"/>
    <col min="9733" max="9737" width="5" style="69" customWidth="1"/>
    <col min="9738" max="9738" width="6.7109375" style="69" customWidth="1"/>
    <col min="9739" max="9739" width="20.28515625" style="69" customWidth="1"/>
    <col min="9740" max="9740" width="11.140625" style="69" customWidth="1"/>
    <col min="9741" max="9741" width="13.28515625" style="69" customWidth="1"/>
    <col min="9742" max="9742" width="4.140625" style="69" customWidth="1"/>
    <col min="9743" max="9743" width="6.28515625" style="69" customWidth="1"/>
    <col min="9744" max="9746" width="4.140625" style="69" customWidth="1"/>
    <col min="9747" max="9747" width="10.28515625" style="69" bestFit="1" customWidth="1"/>
    <col min="9748" max="9748" width="4.42578125" style="69" customWidth="1"/>
    <col min="9749" max="9750" width="10.28515625" style="69" bestFit="1" customWidth="1"/>
    <col min="9751" max="9751" width="17" style="69" customWidth="1"/>
    <col min="9752" max="9984" width="9.140625" style="69"/>
    <col min="9985" max="9985" width="13.5703125" style="69" customWidth="1"/>
    <col min="9986" max="9986" width="5.140625" style="69" customWidth="1"/>
    <col min="9987" max="9987" width="6.85546875" style="69" customWidth="1"/>
    <col min="9988" max="9988" width="4.7109375" style="69" customWidth="1"/>
    <col min="9989" max="9993" width="5" style="69" customWidth="1"/>
    <col min="9994" max="9994" width="6.7109375" style="69" customWidth="1"/>
    <col min="9995" max="9995" width="20.28515625" style="69" customWidth="1"/>
    <col min="9996" max="9996" width="11.140625" style="69" customWidth="1"/>
    <col min="9997" max="9997" width="13.28515625" style="69" customWidth="1"/>
    <col min="9998" max="9998" width="4.140625" style="69" customWidth="1"/>
    <col min="9999" max="9999" width="6.28515625" style="69" customWidth="1"/>
    <col min="10000" max="10002" width="4.140625" style="69" customWidth="1"/>
    <col min="10003" max="10003" width="10.28515625" style="69" bestFit="1" customWidth="1"/>
    <col min="10004" max="10004" width="4.42578125" style="69" customWidth="1"/>
    <col min="10005" max="10006" width="10.28515625" style="69" bestFit="1" customWidth="1"/>
    <col min="10007" max="10007" width="17" style="69" customWidth="1"/>
    <col min="10008" max="10240" width="9.140625" style="69"/>
    <col min="10241" max="10241" width="13.5703125" style="69" customWidth="1"/>
    <col min="10242" max="10242" width="5.140625" style="69" customWidth="1"/>
    <col min="10243" max="10243" width="6.85546875" style="69" customWidth="1"/>
    <col min="10244" max="10244" width="4.7109375" style="69" customWidth="1"/>
    <col min="10245" max="10249" width="5" style="69" customWidth="1"/>
    <col min="10250" max="10250" width="6.7109375" style="69" customWidth="1"/>
    <col min="10251" max="10251" width="20.28515625" style="69" customWidth="1"/>
    <col min="10252" max="10252" width="11.140625" style="69" customWidth="1"/>
    <col min="10253" max="10253" width="13.28515625" style="69" customWidth="1"/>
    <col min="10254" max="10254" width="4.140625" style="69" customWidth="1"/>
    <col min="10255" max="10255" width="6.28515625" style="69" customWidth="1"/>
    <col min="10256" max="10258" width="4.140625" style="69" customWidth="1"/>
    <col min="10259" max="10259" width="10.28515625" style="69" bestFit="1" customWidth="1"/>
    <col min="10260" max="10260" width="4.42578125" style="69" customWidth="1"/>
    <col min="10261" max="10262" width="10.28515625" style="69" bestFit="1" customWidth="1"/>
    <col min="10263" max="10263" width="17" style="69" customWidth="1"/>
    <col min="10264" max="10496" width="9.140625" style="69"/>
    <col min="10497" max="10497" width="13.5703125" style="69" customWidth="1"/>
    <col min="10498" max="10498" width="5.140625" style="69" customWidth="1"/>
    <col min="10499" max="10499" width="6.85546875" style="69" customWidth="1"/>
    <col min="10500" max="10500" width="4.7109375" style="69" customWidth="1"/>
    <col min="10501" max="10505" width="5" style="69" customWidth="1"/>
    <col min="10506" max="10506" width="6.7109375" style="69" customWidth="1"/>
    <col min="10507" max="10507" width="20.28515625" style="69" customWidth="1"/>
    <col min="10508" max="10508" width="11.140625" style="69" customWidth="1"/>
    <col min="10509" max="10509" width="13.28515625" style="69" customWidth="1"/>
    <col min="10510" max="10510" width="4.140625" style="69" customWidth="1"/>
    <col min="10511" max="10511" width="6.28515625" style="69" customWidth="1"/>
    <col min="10512" max="10514" width="4.140625" style="69" customWidth="1"/>
    <col min="10515" max="10515" width="10.28515625" style="69" bestFit="1" customWidth="1"/>
    <col min="10516" max="10516" width="4.42578125" style="69" customWidth="1"/>
    <col min="10517" max="10518" width="10.28515625" style="69" bestFit="1" customWidth="1"/>
    <col min="10519" max="10519" width="17" style="69" customWidth="1"/>
    <col min="10520" max="10752" width="9.140625" style="69"/>
    <col min="10753" max="10753" width="13.5703125" style="69" customWidth="1"/>
    <col min="10754" max="10754" width="5.140625" style="69" customWidth="1"/>
    <col min="10755" max="10755" width="6.85546875" style="69" customWidth="1"/>
    <col min="10756" max="10756" width="4.7109375" style="69" customWidth="1"/>
    <col min="10757" max="10761" width="5" style="69" customWidth="1"/>
    <col min="10762" max="10762" width="6.7109375" style="69" customWidth="1"/>
    <col min="10763" max="10763" width="20.28515625" style="69" customWidth="1"/>
    <col min="10764" max="10764" width="11.140625" style="69" customWidth="1"/>
    <col min="10765" max="10765" width="13.28515625" style="69" customWidth="1"/>
    <col min="10766" max="10766" width="4.140625" style="69" customWidth="1"/>
    <col min="10767" max="10767" width="6.28515625" style="69" customWidth="1"/>
    <col min="10768" max="10770" width="4.140625" style="69" customWidth="1"/>
    <col min="10771" max="10771" width="10.28515625" style="69" bestFit="1" customWidth="1"/>
    <col min="10772" max="10772" width="4.42578125" style="69" customWidth="1"/>
    <col min="10773" max="10774" width="10.28515625" style="69" bestFit="1" customWidth="1"/>
    <col min="10775" max="10775" width="17" style="69" customWidth="1"/>
    <col min="10776" max="11008" width="9.140625" style="69"/>
    <col min="11009" max="11009" width="13.5703125" style="69" customWidth="1"/>
    <col min="11010" max="11010" width="5.140625" style="69" customWidth="1"/>
    <col min="11011" max="11011" width="6.85546875" style="69" customWidth="1"/>
    <col min="11012" max="11012" width="4.7109375" style="69" customWidth="1"/>
    <col min="11013" max="11017" width="5" style="69" customWidth="1"/>
    <col min="11018" max="11018" width="6.7109375" style="69" customWidth="1"/>
    <col min="11019" max="11019" width="20.28515625" style="69" customWidth="1"/>
    <col min="11020" max="11020" width="11.140625" style="69" customWidth="1"/>
    <col min="11021" max="11021" width="13.28515625" style="69" customWidth="1"/>
    <col min="11022" max="11022" width="4.140625" style="69" customWidth="1"/>
    <col min="11023" max="11023" width="6.28515625" style="69" customWidth="1"/>
    <col min="11024" max="11026" width="4.140625" style="69" customWidth="1"/>
    <col min="11027" max="11027" width="10.28515625" style="69" bestFit="1" customWidth="1"/>
    <col min="11028" max="11028" width="4.42578125" style="69" customWidth="1"/>
    <col min="11029" max="11030" width="10.28515625" style="69" bestFit="1" customWidth="1"/>
    <col min="11031" max="11031" width="17" style="69" customWidth="1"/>
    <col min="11032" max="11264" width="9.140625" style="69"/>
    <col min="11265" max="11265" width="13.5703125" style="69" customWidth="1"/>
    <col min="11266" max="11266" width="5.140625" style="69" customWidth="1"/>
    <col min="11267" max="11267" width="6.85546875" style="69" customWidth="1"/>
    <col min="11268" max="11268" width="4.7109375" style="69" customWidth="1"/>
    <col min="11269" max="11273" width="5" style="69" customWidth="1"/>
    <col min="11274" max="11274" width="6.7109375" style="69" customWidth="1"/>
    <col min="11275" max="11275" width="20.28515625" style="69" customWidth="1"/>
    <col min="11276" max="11276" width="11.140625" style="69" customWidth="1"/>
    <col min="11277" max="11277" width="13.28515625" style="69" customWidth="1"/>
    <col min="11278" max="11278" width="4.140625" style="69" customWidth="1"/>
    <col min="11279" max="11279" width="6.28515625" style="69" customWidth="1"/>
    <col min="11280" max="11282" width="4.140625" style="69" customWidth="1"/>
    <col min="11283" max="11283" width="10.28515625" style="69" bestFit="1" customWidth="1"/>
    <col min="11284" max="11284" width="4.42578125" style="69" customWidth="1"/>
    <col min="11285" max="11286" width="10.28515625" style="69" bestFit="1" customWidth="1"/>
    <col min="11287" max="11287" width="17" style="69" customWidth="1"/>
    <col min="11288" max="11520" width="9.140625" style="69"/>
    <col min="11521" max="11521" width="13.5703125" style="69" customWidth="1"/>
    <col min="11522" max="11522" width="5.140625" style="69" customWidth="1"/>
    <col min="11523" max="11523" width="6.85546875" style="69" customWidth="1"/>
    <col min="11524" max="11524" width="4.7109375" style="69" customWidth="1"/>
    <col min="11525" max="11529" width="5" style="69" customWidth="1"/>
    <col min="11530" max="11530" width="6.7109375" style="69" customWidth="1"/>
    <col min="11531" max="11531" width="20.28515625" style="69" customWidth="1"/>
    <col min="11532" max="11532" width="11.140625" style="69" customWidth="1"/>
    <col min="11533" max="11533" width="13.28515625" style="69" customWidth="1"/>
    <col min="11534" max="11534" width="4.140625" style="69" customWidth="1"/>
    <col min="11535" max="11535" width="6.28515625" style="69" customWidth="1"/>
    <col min="11536" max="11538" width="4.140625" style="69" customWidth="1"/>
    <col min="11539" max="11539" width="10.28515625" style="69" bestFit="1" customWidth="1"/>
    <col min="11540" max="11540" width="4.42578125" style="69" customWidth="1"/>
    <col min="11541" max="11542" width="10.28515625" style="69" bestFit="1" customWidth="1"/>
    <col min="11543" max="11543" width="17" style="69" customWidth="1"/>
    <col min="11544" max="11776" width="9.140625" style="69"/>
    <col min="11777" max="11777" width="13.5703125" style="69" customWidth="1"/>
    <col min="11778" max="11778" width="5.140625" style="69" customWidth="1"/>
    <col min="11779" max="11779" width="6.85546875" style="69" customWidth="1"/>
    <col min="11780" max="11780" width="4.7109375" style="69" customWidth="1"/>
    <col min="11781" max="11785" width="5" style="69" customWidth="1"/>
    <col min="11786" max="11786" width="6.7109375" style="69" customWidth="1"/>
    <col min="11787" max="11787" width="20.28515625" style="69" customWidth="1"/>
    <col min="11788" max="11788" width="11.140625" style="69" customWidth="1"/>
    <col min="11789" max="11789" width="13.28515625" style="69" customWidth="1"/>
    <col min="11790" max="11790" width="4.140625" style="69" customWidth="1"/>
    <col min="11791" max="11791" width="6.28515625" style="69" customWidth="1"/>
    <col min="11792" max="11794" width="4.140625" style="69" customWidth="1"/>
    <col min="11795" max="11795" width="10.28515625" style="69" bestFit="1" customWidth="1"/>
    <col min="11796" max="11796" width="4.42578125" style="69" customWidth="1"/>
    <col min="11797" max="11798" width="10.28515625" style="69" bestFit="1" customWidth="1"/>
    <col min="11799" max="11799" width="17" style="69" customWidth="1"/>
    <col min="11800" max="12032" width="9.140625" style="69"/>
    <col min="12033" max="12033" width="13.5703125" style="69" customWidth="1"/>
    <col min="12034" max="12034" width="5.140625" style="69" customWidth="1"/>
    <col min="12035" max="12035" width="6.85546875" style="69" customWidth="1"/>
    <col min="12036" max="12036" width="4.7109375" style="69" customWidth="1"/>
    <col min="12037" max="12041" width="5" style="69" customWidth="1"/>
    <col min="12042" max="12042" width="6.7109375" style="69" customWidth="1"/>
    <col min="12043" max="12043" width="20.28515625" style="69" customWidth="1"/>
    <col min="12044" max="12044" width="11.140625" style="69" customWidth="1"/>
    <col min="12045" max="12045" width="13.28515625" style="69" customWidth="1"/>
    <col min="12046" max="12046" width="4.140625" style="69" customWidth="1"/>
    <col min="12047" max="12047" width="6.28515625" style="69" customWidth="1"/>
    <col min="12048" max="12050" width="4.140625" style="69" customWidth="1"/>
    <col min="12051" max="12051" width="10.28515625" style="69" bestFit="1" customWidth="1"/>
    <col min="12052" max="12052" width="4.42578125" style="69" customWidth="1"/>
    <col min="12053" max="12054" width="10.28515625" style="69" bestFit="1" customWidth="1"/>
    <col min="12055" max="12055" width="17" style="69" customWidth="1"/>
    <col min="12056" max="12288" width="9.140625" style="69"/>
    <col min="12289" max="12289" width="13.5703125" style="69" customWidth="1"/>
    <col min="12290" max="12290" width="5.140625" style="69" customWidth="1"/>
    <col min="12291" max="12291" width="6.85546875" style="69" customWidth="1"/>
    <col min="12292" max="12292" width="4.7109375" style="69" customWidth="1"/>
    <col min="12293" max="12297" width="5" style="69" customWidth="1"/>
    <col min="12298" max="12298" width="6.7109375" style="69" customWidth="1"/>
    <col min="12299" max="12299" width="20.28515625" style="69" customWidth="1"/>
    <col min="12300" max="12300" width="11.140625" style="69" customWidth="1"/>
    <col min="12301" max="12301" width="13.28515625" style="69" customWidth="1"/>
    <col min="12302" max="12302" width="4.140625" style="69" customWidth="1"/>
    <col min="12303" max="12303" width="6.28515625" style="69" customWidth="1"/>
    <col min="12304" max="12306" width="4.140625" style="69" customWidth="1"/>
    <col min="12307" max="12307" width="10.28515625" style="69" bestFit="1" customWidth="1"/>
    <col min="12308" max="12308" width="4.42578125" style="69" customWidth="1"/>
    <col min="12309" max="12310" width="10.28515625" style="69" bestFit="1" customWidth="1"/>
    <col min="12311" max="12311" width="17" style="69" customWidth="1"/>
    <col min="12312" max="12544" width="9.140625" style="69"/>
    <col min="12545" max="12545" width="13.5703125" style="69" customWidth="1"/>
    <col min="12546" max="12546" width="5.140625" style="69" customWidth="1"/>
    <col min="12547" max="12547" width="6.85546875" style="69" customWidth="1"/>
    <col min="12548" max="12548" width="4.7109375" style="69" customWidth="1"/>
    <col min="12549" max="12553" width="5" style="69" customWidth="1"/>
    <col min="12554" max="12554" width="6.7109375" style="69" customWidth="1"/>
    <col min="12555" max="12555" width="20.28515625" style="69" customWidth="1"/>
    <col min="12556" max="12556" width="11.140625" style="69" customWidth="1"/>
    <col min="12557" max="12557" width="13.28515625" style="69" customWidth="1"/>
    <col min="12558" max="12558" width="4.140625" style="69" customWidth="1"/>
    <col min="12559" max="12559" width="6.28515625" style="69" customWidth="1"/>
    <col min="12560" max="12562" width="4.140625" style="69" customWidth="1"/>
    <col min="12563" max="12563" width="10.28515625" style="69" bestFit="1" customWidth="1"/>
    <col min="12564" max="12564" width="4.42578125" style="69" customWidth="1"/>
    <col min="12565" max="12566" width="10.28515625" style="69" bestFit="1" customWidth="1"/>
    <col min="12567" max="12567" width="17" style="69" customWidth="1"/>
    <col min="12568" max="12800" width="9.140625" style="69"/>
    <col min="12801" max="12801" width="13.5703125" style="69" customWidth="1"/>
    <col min="12802" max="12802" width="5.140625" style="69" customWidth="1"/>
    <col min="12803" max="12803" width="6.85546875" style="69" customWidth="1"/>
    <col min="12804" max="12804" width="4.7109375" style="69" customWidth="1"/>
    <col min="12805" max="12809" width="5" style="69" customWidth="1"/>
    <col min="12810" max="12810" width="6.7109375" style="69" customWidth="1"/>
    <col min="12811" max="12811" width="20.28515625" style="69" customWidth="1"/>
    <col min="12812" max="12812" width="11.140625" style="69" customWidth="1"/>
    <col min="12813" max="12813" width="13.28515625" style="69" customWidth="1"/>
    <col min="12814" max="12814" width="4.140625" style="69" customWidth="1"/>
    <col min="12815" max="12815" width="6.28515625" style="69" customWidth="1"/>
    <col min="12816" max="12818" width="4.140625" style="69" customWidth="1"/>
    <col min="12819" max="12819" width="10.28515625" style="69" bestFit="1" customWidth="1"/>
    <col min="12820" max="12820" width="4.42578125" style="69" customWidth="1"/>
    <col min="12821" max="12822" width="10.28515625" style="69" bestFit="1" customWidth="1"/>
    <col min="12823" max="12823" width="17" style="69" customWidth="1"/>
    <col min="12824" max="13056" width="9.140625" style="69"/>
    <col min="13057" max="13057" width="13.5703125" style="69" customWidth="1"/>
    <col min="13058" max="13058" width="5.140625" style="69" customWidth="1"/>
    <col min="13059" max="13059" width="6.85546875" style="69" customWidth="1"/>
    <col min="13060" max="13060" width="4.7109375" style="69" customWidth="1"/>
    <col min="13061" max="13065" width="5" style="69" customWidth="1"/>
    <col min="13066" max="13066" width="6.7109375" style="69" customWidth="1"/>
    <col min="13067" max="13067" width="20.28515625" style="69" customWidth="1"/>
    <col min="13068" max="13068" width="11.140625" style="69" customWidth="1"/>
    <col min="13069" max="13069" width="13.28515625" style="69" customWidth="1"/>
    <col min="13070" max="13070" width="4.140625" style="69" customWidth="1"/>
    <col min="13071" max="13071" width="6.28515625" style="69" customWidth="1"/>
    <col min="13072" max="13074" width="4.140625" style="69" customWidth="1"/>
    <col min="13075" max="13075" width="10.28515625" style="69" bestFit="1" customWidth="1"/>
    <col min="13076" max="13076" width="4.42578125" style="69" customWidth="1"/>
    <col min="13077" max="13078" width="10.28515625" style="69" bestFit="1" customWidth="1"/>
    <col min="13079" max="13079" width="17" style="69" customWidth="1"/>
    <col min="13080" max="13312" width="9.140625" style="69"/>
    <col min="13313" max="13313" width="13.5703125" style="69" customWidth="1"/>
    <col min="13314" max="13314" width="5.140625" style="69" customWidth="1"/>
    <col min="13315" max="13315" width="6.85546875" style="69" customWidth="1"/>
    <col min="13316" max="13316" width="4.7109375" style="69" customWidth="1"/>
    <col min="13317" max="13321" width="5" style="69" customWidth="1"/>
    <col min="13322" max="13322" width="6.7109375" style="69" customWidth="1"/>
    <col min="13323" max="13323" width="20.28515625" style="69" customWidth="1"/>
    <col min="13324" max="13324" width="11.140625" style="69" customWidth="1"/>
    <col min="13325" max="13325" width="13.28515625" style="69" customWidth="1"/>
    <col min="13326" max="13326" width="4.140625" style="69" customWidth="1"/>
    <col min="13327" max="13327" width="6.28515625" style="69" customWidth="1"/>
    <col min="13328" max="13330" width="4.140625" style="69" customWidth="1"/>
    <col min="13331" max="13331" width="10.28515625" style="69" bestFit="1" customWidth="1"/>
    <col min="13332" max="13332" width="4.42578125" style="69" customWidth="1"/>
    <col min="13333" max="13334" width="10.28515625" style="69" bestFit="1" customWidth="1"/>
    <col min="13335" max="13335" width="17" style="69" customWidth="1"/>
    <col min="13336" max="13568" width="9.140625" style="69"/>
    <col min="13569" max="13569" width="13.5703125" style="69" customWidth="1"/>
    <col min="13570" max="13570" width="5.140625" style="69" customWidth="1"/>
    <col min="13571" max="13571" width="6.85546875" style="69" customWidth="1"/>
    <col min="13572" max="13572" width="4.7109375" style="69" customWidth="1"/>
    <col min="13573" max="13577" width="5" style="69" customWidth="1"/>
    <col min="13578" max="13578" width="6.7109375" style="69" customWidth="1"/>
    <col min="13579" max="13579" width="20.28515625" style="69" customWidth="1"/>
    <col min="13580" max="13580" width="11.140625" style="69" customWidth="1"/>
    <col min="13581" max="13581" width="13.28515625" style="69" customWidth="1"/>
    <col min="13582" max="13582" width="4.140625" style="69" customWidth="1"/>
    <col min="13583" max="13583" width="6.28515625" style="69" customWidth="1"/>
    <col min="13584" max="13586" width="4.140625" style="69" customWidth="1"/>
    <col min="13587" max="13587" width="10.28515625" style="69" bestFit="1" customWidth="1"/>
    <col min="13588" max="13588" width="4.42578125" style="69" customWidth="1"/>
    <col min="13589" max="13590" width="10.28515625" style="69" bestFit="1" customWidth="1"/>
    <col min="13591" max="13591" width="17" style="69" customWidth="1"/>
    <col min="13592" max="13824" width="9.140625" style="69"/>
    <col min="13825" max="13825" width="13.5703125" style="69" customWidth="1"/>
    <col min="13826" max="13826" width="5.140625" style="69" customWidth="1"/>
    <col min="13827" max="13827" width="6.85546875" style="69" customWidth="1"/>
    <col min="13828" max="13828" width="4.7109375" style="69" customWidth="1"/>
    <col min="13829" max="13833" width="5" style="69" customWidth="1"/>
    <col min="13834" max="13834" width="6.7109375" style="69" customWidth="1"/>
    <col min="13835" max="13835" width="20.28515625" style="69" customWidth="1"/>
    <col min="13836" max="13836" width="11.140625" style="69" customWidth="1"/>
    <col min="13837" max="13837" width="13.28515625" style="69" customWidth="1"/>
    <col min="13838" max="13838" width="4.140625" style="69" customWidth="1"/>
    <col min="13839" max="13839" width="6.28515625" style="69" customWidth="1"/>
    <col min="13840" max="13842" width="4.140625" style="69" customWidth="1"/>
    <col min="13843" max="13843" width="10.28515625" style="69" bestFit="1" customWidth="1"/>
    <col min="13844" max="13844" width="4.42578125" style="69" customWidth="1"/>
    <col min="13845" max="13846" width="10.28515625" style="69" bestFit="1" customWidth="1"/>
    <col min="13847" max="13847" width="17" style="69" customWidth="1"/>
    <col min="13848" max="14080" width="9.140625" style="69"/>
    <col min="14081" max="14081" width="13.5703125" style="69" customWidth="1"/>
    <col min="14082" max="14082" width="5.140625" style="69" customWidth="1"/>
    <col min="14083" max="14083" width="6.85546875" style="69" customWidth="1"/>
    <col min="14084" max="14084" width="4.7109375" style="69" customWidth="1"/>
    <col min="14085" max="14089" width="5" style="69" customWidth="1"/>
    <col min="14090" max="14090" width="6.7109375" style="69" customWidth="1"/>
    <col min="14091" max="14091" width="20.28515625" style="69" customWidth="1"/>
    <col min="14092" max="14092" width="11.140625" style="69" customWidth="1"/>
    <col min="14093" max="14093" width="13.28515625" style="69" customWidth="1"/>
    <col min="14094" max="14094" width="4.140625" style="69" customWidth="1"/>
    <col min="14095" max="14095" width="6.28515625" style="69" customWidth="1"/>
    <col min="14096" max="14098" width="4.140625" style="69" customWidth="1"/>
    <col min="14099" max="14099" width="10.28515625" style="69" bestFit="1" customWidth="1"/>
    <col min="14100" max="14100" width="4.42578125" style="69" customWidth="1"/>
    <col min="14101" max="14102" width="10.28515625" style="69" bestFit="1" customWidth="1"/>
    <col min="14103" max="14103" width="17" style="69" customWidth="1"/>
    <col min="14104" max="14336" width="9.140625" style="69"/>
    <col min="14337" max="14337" width="13.5703125" style="69" customWidth="1"/>
    <col min="14338" max="14338" width="5.140625" style="69" customWidth="1"/>
    <col min="14339" max="14339" width="6.85546875" style="69" customWidth="1"/>
    <col min="14340" max="14340" width="4.7109375" style="69" customWidth="1"/>
    <col min="14341" max="14345" width="5" style="69" customWidth="1"/>
    <col min="14346" max="14346" width="6.7109375" style="69" customWidth="1"/>
    <col min="14347" max="14347" width="20.28515625" style="69" customWidth="1"/>
    <col min="14348" max="14348" width="11.140625" style="69" customWidth="1"/>
    <col min="14349" max="14349" width="13.28515625" style="69" customWidth="1"/>
    <col min="14350" max="14350" width="4.140625" style="69" customWidth="1"/>
    <col min="14351" max="14351" width="6.28515625" style="69" customWidth="1"/>
    <col min="14352" max="14354" width="4.140625" style="69" customWidth="1"/>
    <col min="14355" max="14355" width="10.28515625" style="69" bestFit="1" customWidth="1"/>
    <col min="14356" max="14356" width="4.42578125" style="69" customWidth="1"/>
    <col min="14357" max="14358" width="10.28515625" style="69" bestFit="1" customWidth="1"/>
    <col min="14359" max="14359" width="17" style="69" customWidth="1"/>
    <col min="14360" max="14592" width="9.140625" style="69"/>
    <col min="14593" max="14593" width="13.5703125" style="69" customWidth="1"/>
    <col min="14594" max="14594" width="5.140625" style="69" customWidth="1"/>
    <col min="14595" max="14595" width="6.85546875" style="69" customWidth="1"/>
    <col min="14596" max="14596" width="4.7109375" style="69" customWidth="1"/>
    <col min="14597" max="14601" width="5" style="69" customWidth="1"/>
    <col min="14602" max="14602" width="6.7109375" style="69" customWidth="1"/>
    <col min="14603" max="14603" width="20.28515625" style="69" customWidth="1"/>
    <col min="14604" max="14604" width="11.140625" style="69" customWidth="1"/>
    <col min="14605" max="14605" width="13.28515625" style="69" customWidth="1"/>
    <col min="14606" max="14606" width="4.140625" style="69" customWidth="1"/>
    <col min="14607" max="14607" width="6.28515625" style="69" customWidth="1"/>
    <col min="14608" max="14610" width="4.140625" style="69" customWidth="1"/>
    <col min="14611" max="14611" width="10.28515625" style="69" bestFit="1" customWidth="1"/>
    <col min="14612" max="14612" width="4.42578125" style="69" customWidth="1"/>
    <col min="14613" max="14614" width="10.28515625" style="69" bestFit="1" customWidth="1"/>
    <col min="14615" max="14615" width="17" style="69" customWidth="1"/>
    <col min="14616" max="14848" width="9.140625" style="69"/>
    <col min="14849" max="14849" width="13.5703125" style="69" customWidth="1"/>
    <col min="14850" max="14850" width="5.140625" style="69" customWidth="1"/>
    <col min="14851" max="14851" width="6.85546875" style="69" customWidth="1"/>
    <col min="14852" max="14852" width="4.7109375" style="69" customWidth="1"/>
    <col min="14853" max="14857" width="5" style="69" customWidth="1"/>
    <col min="14858" max="14858" width="6.7109375" style="69" customWidth="1"/>
    <col min="14859" max="14859" width="20.28515625" style="69" customWidth="1"/>
    <col min="14860" max="14860" width="11.140625" style="69" customWidth="1"/>
    <col min="14861" max="14861" width="13.28515625" style="69" customWidth="1"/>
    <col min="14862" max="14862" width="4.140625" style="69" customWidth="1"/>
    <col min="14863" max="14863" width="6.28515625" style="69" customWidth="1"/>
    <col min="14864" max="14866" width="4.140625" style="69" customWidth="1"/>
    <col min="14867" max="14867" width="10.28515625" style="69" bestFit="1" customWidth="1"/>
    <col min="14868" max="14868" width="4.42578125" style="69" customWidth="1"/>
    <col min="14869" max="14870" width="10.28515625" style="69" bestFit="1" customWidth="1"/>
    <col min="14871" max="14871" width="17" style="69" customWidth="1"/>
    <col min="14872" max="15104" width="9.140625" style="69"/>
    <col min="15105" max="15105" width="13.5703125" style="69" customWidth="1"/>
    <col min="15106" max="15106" width="5.140625" style="69" customWidth="1"/>
    <col min="15107" max="15107" width="6.85546875" style="69" customWidth="1"/>
    <col min="15108" max="15108" width="4.7109375" style="69" customWidth="1"/>
    <col min="15109" max="15113" width="5" style="69" customWidth="1"/>
    <col min="15114" max="15114" width="6.7109375" style="69" customWidth="1"/>
    <col min="15115" max="15115" width="20.28515625" style="69" customWidth="1"/>
    <col min="15116" max="15116" width="11.140625" style="69" customWidth="1"/>
    <col min="15117" max="15117" width="13.28515625" style="69" customWidth="1"/>
    <col min="15118" max="15118" width="4.140625" style="69" customWidth="1"/>
    <col min="15119" max="15119" width="6.28515625" style="69" customWidth="1"/>
    <col min="15120" max="15122" width="4.140625" style="69" customWidth="1"/>
    <col min="15123" max="15123" width="10.28515625" style="69" bestFit="1" customWidth="1"/>
    <col min="15124" max="15124" width="4.42578125" style="69" customWidth="1"/>
    <col min="15125" max="15126" width="10.28515625" style="69" bestFit="1" customWidth="1"/>
    <col min="15127" max="15127" width="17" style="69" customWidth="1"/>
    <col min="15128" max="15360" width="9.140625" style="69"/>
    <col min="15361" max="15361" width="13.5703125" style="69" customWidth="1"/>
    <col min="15362" max="15362" width="5.140625" style="69" customWidth="1"/>
    <col min="15363" max="15363" width="6.85546875" style="69" customWidth="1"/>
    <col min="15364" max="15364" width="4.7109375" style="69" customWidth="1"/>
    <col min="15365" max="15369" width="5" style="69" customWidth="1"/>
    <col min="15370" max="15370" width="6.7109375" style="69" customWidth="1"/>
    <col min="15371" max="15371" width="20.28515625" style="69" customWidth="1"/>
    <col min="15372" max="15372" width="11.140625" style="69" customWidth="1"/>
    <col min="15373" max="15373" width="13.28515625" style="69" customWidth="1"/>
    <col min="15374" max="15374" width="4.140625" style="69" customWidth="1"/>
    <col min="15375" max="15375" width="6.28515625" style="69" customWidth="1"/>
    <col min="15376" max="15378" width="4.140625" style="69" customWidth="1"/>
    <col min="15379" max="15379" width="10.28515625" style="69" bestFit="1" customWidth="1"/>
    <col min="15380" max="15380" width="4.42578125" style="69" customWidth="1"/>
    <col min="15381" max="15382" width="10.28515625" style="69" bestFit="1" customWidth="1"/>
    <col min="15383" max="15383" width="17" style="69" customWidth="1"/>
    <col min="15384" max="15616" width="9.140625" style="69"/>
    <col min="15617" max="15617" width="13.5703125" style="69" customWidth="1"/>
    <col min="15618" max="15618" width="5.140625" style="69" customWidth="1"/>
    <col min="15619" max="15619" width="6.85546875" style="69" customWidth="1"/>
    <col min="15620" max="15620" width="4.7109375" style="69" customWidth="1"/>
    <col min="15621" max="15625" width="5" style="69" customWidth="1"/>
    <col min="15626" max="15626" width="6.7109375" style="69" customWidth="1"/>
    <col min="15627" max="15627" width="20.28515625" style="69" customWidth="1"/>
    <col min="15628" max="15628" width="11.140625" style="69" customWidth="1"/>
    <col min="15629" max="15629" width="13.28515625" style="69" customWidth="1"/>
    <col min="15630" max="15630" width="4.140625" style="69" customWidth="1"/>
    <col min="15631" max="15631" width="6.28515625" style="69" customWidth="1"/>
    <col min="15632" max="15634" width="4.140625" style="69" customWidth="1"/>
    <col min="15635" max="15635" width="10.28515625" style="69" bestFit="1" customWidth="1"/>
    <col min="15636" max="15636" width="4.42578125" style="69" customWidth="1"/>
    <col min="15637" max="15638" width="10.28515625" style="69" bestFit="1" customWidth="1"/>
    <col min="15639" max="15639" width="17" style="69" customWidth="1"/>
    <col min="15640" max="15872" width="9.140625" style="69"/>
    <col min="15873" max="15873" width="13.5703125" style="69" customWidth="1"/>
    <col min="15874" max="15874" width="5.140625" style="69" customWidth="1"/>
    <col min="15875" max="15875" width="6.85546875" style="69" customWidth="1"/>
    <col min="15876" max="15876" width="4.7109375" style="69" customWidth="1"/>
    <col min="15877" max="15881" width="5" style="69" customWidth="1"/>
    <col min="15882" max="15882" width="6.7109375" style="69" customWidth="1"/>
    <col min="15883" max="15883" width="20.28515625" style="69" customWidth="1"/>
    <col min="15884" max="15884" width="11.140625" style="69" customWidth="1"/>
    <col min="15885" max="15885" width="13.28515625" style="69" customWidth="1"/>
    <col min="15886" max="15886" width="4.140625" style="69" customWidth="1"/>
    <col min="15887" max="15887" width="6.28515625" style="69" customWidth="1"/>
    <col min="15888" max="15890" width="4.140625" style="69" customWidth="1"/>
    <col min="15891" max="15891" width="10.28515625" style="69" bestFit="1" customWidth="1"/>
    <col min="15892" max="15892" width="4.42578125" style="69" customWidth="1"/>
    <col min="15893" max="15894" width="10.28515625" style="69" bestFit="1" customWidth="1"/>
    <col min="15895" max="15895" width="17" style="69" customWidth="1"/>
    <col min="15896" max="16128" width="9.140625" style="69"/>
    <col min="16129" max="16129" width="13.5703125" style="69" customWidth="1"/>
    <col min="16130" max="16130" width="5.140625" style="69" customWidth="1"/>
    <col min="16131" max="16131" width="6.85546875" style="69" customWidth="1"/>
    <col min="16132" max="16132" width="4.7109375" style="69" customWidth="1"/>
    <col min="16133" max="16137" width="5" style="69" customWidth="1"/>
    <col min="16138" max="16138" width="6.7109375" style="69" customWidth="1"/>
    <col min="16139" max="16139" width="20.28515625" style="69" customWidth="1"/>
    <col min="16140" max="16140" width="11.140625" style="69" customWidth="1"/>
    <col min="16141" max="16141" width="13.28515625" style="69" customWidth="1"/>
    <col min="16142" max="16142" width="4.140625" style="69" customWidth="1"/>
    <col min="16143" max="16143" width="6.28515625" style="69" customWidth="1"/>
    <col min="16144" max="16146" width="4.140625" style="69" customWidth="1"/>
    <col min="16147" max="16147" width="10.28515625" style="69" bestFit="1" customWidth="1"/>
    <col min="16148" max="16148" width="4.42578125" style="69" customWidth="1"/>
    <col min="16149" max="16150" width="10.28515625" style="69" bestFit="1" customWidth="1"/>
    <col min="16151" max="16151" width="17" style="69" customWidth="1"/>
    <col min="16152" max="16384" width="9.140625" style="69"/>
  </cols>
  <sheetData>
    <row r="1" spans="1:24" ht="18.75" customHeight="1" thickTop="1">
      <c r="A1" s="300" t="s">
        <v>41</v>
      </c>
      <c r="B1" s="301"/>
      <c r="C1" s="301"/>
      <c r="D1" s="301"/>
      <c r="E1" s="301"/>
      <c r="F1" s="301"/>
      <c r="G1" s="301"/>
      <c r="H1" s="301"/>
      <c r="I1" s="301"/>
      <c r="J1" s="301"/>
      <c r="K1" s="302"/>
      <c r="L1" s="69">
        <v>26</v>
      </c>
      <c r="M1" s="300" t="s">
        <v>41</v>
      </c>
      <c r="N1" s="301"/>
      <c r="O1" s="301"/>
      <c r="P1" s="301"/>
      <c r="Q1" s="301"/>
      <c r="R1" s="301"/>
      <c r="S1" s="301"/>
      <c r="T1" s="301"/>
      <c r="U1" s="301"/>
      <c r="V1" s="301"/>
      <c r="W1" s="302"/>
      <c r="X1" s="69">
        <v>25</v>
      </c>
    </row>
    <row r="2" spans="1:24" ht="18.75" customHeight="1">
      <c r="A2" s="70" t="s">
        <v>42</v>
      </c>
      <c r="B2" s="71"/>
      <c r="C2" s="71"/>
      <c r="D2" s="71"/>
      <c r="E2" s="71"/>
      <c r="F2" s="71"/>
      <c r="G2" s="71"/>
      <c r="H2" s="71"/>
      <c r="I2" s="71"/>
      <c r="J2" s="71"/>
      <c r="K2" s="72"/>
      <c r="L2" s="69" t="s">
        <v>43</v>
      </c>
      <c r="M2" s="70" t="s">
        <v>44</v>
      </c>
      <c r="N2" s="71"/>
      <c r="O2" s="71"/>
      <c r="P2" s="71"/>
      <c r="Q2" s="71"/>
      <c r="R2" s="71"/>
      <c r="S2" s="71"/>
      <c r="T2" s="71"/>
      <c r="U2" s="71"/>
      <c r="V2" s="71"/>
      <c r="W2" s="72"/>
    </row>
    <row r="3" spans="1:24" ht="18.75" customHeight="1">
      <c r="A3" s="303" t="s">
        <v>45</v>
      </c>
      <c r="B3" s="304"/>
      <c r="C3" s="304"/>
      <c r="D3" s="304"/>
      <c r="E3" s="304"/>
      <c r="F3" s="304"/>
      <c r="G3" s="304"/>
      <c r="H3" s="304"/>
      <c r="I3" s="304"/>
      <c r="J3" s="304"/>
      <c r="K3" s="305"/>
      <c r="M3" s="303" t="s">
        <v>45</v>
      </c>
      <c r="N3" s="304"/>
      <c r="O3" s="304"/>
      <c r="P3" s="304"/>
      <c r="Q3" s="304"/>
      <c r="R3" s="304"/>
      <c r="S3" s="304"/>
      <c r="T3" s="304"/>
      <c r="U3" s="304"/>
      <c r="V3" s="304"/>
      <c r="W3" s="305"/>
    </row>
    <row r="4" spans="1:24" ht="18.75" customHeight="1">
      <c r="A4" s="295" t="s">
        <v>46</v>
      </c>
      <c r="B4" s="296"/>
      <c r="C4" s="296"/>
      <c r="D4" s="296"/>
      <c r="E4" s="73" t="s">
        <v>47</v>
      </c>
      <c r="F4" s="297">
        <f>'[2]Bang TH nop'!B19</f>
        <v>0</v>
      </c>
      <c r="G4" s="296"/>
      <c r="H4" s="296"/>
      <c r="I4" s="296"/>
      <c r="J4" s="296"/>
      <c r="K4" s="299"/>
      <c r="M4" s="295" t="s">
        <v>46</v>
      </c>
      <c r="N4" s="296"/>
      <c r="O4" s="296"/>
      <c r="P4" s="296"/>
      <c r="Q4" s="73" t="s">
        <v>47</v>
      </c>
      <c r="R4" s="297" t="s">
        <v>48</v>
      </c>
      <c r="S4" s="296"/>
      <c r="T4" s="296"/>
      <c r="U4" s="296"/>
      <c r="V4" s="296"/>
      <c r="W4" s="299"/>
    </row>
    <row r="5" spans="1:24" ht="18.75" customHeight="1">
      <c r="A5" s="295" t="s">
        <v>49</v>
      </c>
      <c r="B5" s="296"/>
      <c r="C5" s="296"/>
      <c r="D5" s="296"/>
      <c r="E5" s="73" t="s">
        <v>47</v>
      </c>
      <c r="F5" s="297">
        <f>'[2]Bang TH nop'!C19</f>
        <v>0</v>
      </c>
      <c r="G5" s="297"/>
      <c r="H5" s="297"/>
      <c r="I5" s="297"/>
      <c r="J5" s="297"/>
      <c r="K5" s="298"/>
      <c r="M5" s="295" t="s">
        <v>49</v>
      </c>
      <c r="N5" s="296"/>
      <c r="O5" s="296"/>
      <c r="P5" s="296"/>
      <c r="Q5" s="73" t="s">
        <v>47</v>
      </c>
      <c r="R5" s="297">
        <v>50018</v>
      </c>
      <c r="S5" s="297"/>
      <c r="T5" s="297"/>
      <c r="U5" s="297"/>
      <c r="V5" s="297"/>
      <c r="W5" s="298"/>
    </row>
    <row r="6" spans="1:24" ht="18.75" customHeight="1">
      <c r="A6" s="295" t="s">
        <v>50</v>
      </c>
      <c r="B6" s="296"/>
      <c r="C6" s="296"/>
      <c r="D6" s="296"/>
      <c r="E6" s="73" t="s">
        <v>47</v>
      </c>
      <c r="F6" s="296" t="str">
        <f>$L$2</f>
        <v>Gián tiếp</v>
      </c>
      <c r="G6" s="296"/>
      <c r="H6" s="296"/>
      <c r="I6" s="296"/>
      <c r="J6" s="296"/>
      <c r="K6" s="299"/>
      <c r="M6" s="295" t="s">
        <v>50</v>
      </c>
      <c r="N6" s="296"/>
      <c r="O6" s="296"/>
      <c r="P6" s="296"/>
      <c r="Q6" s="73" t="s">
        <v>47</v>
      </c>
      <c r="R6" s="296" t="str">
        <f>$L$2</f>
        <v>Gián tiếp</v>
      </c>
      <c r="S6" s="296"/>
      <c r="T6" s="296"/>
      <c r="U6" s="296"/>
      <c r="V6" s="296"/>
      <c r="W6" s="299"/>
    </row>
    <row r="7" spans="1:24" ht="18.75" customHeight="1">
      <c r="A7" s="303" t="s">
        <v>51</v>
      </c>
      <c r="B7" s="304"/>
      <c r="C7" s="304"/>
      <c r="D7" s="304"/>
      <c r="E7" s="304"/>
      <c r="F7" s="304"/>
      <c r="G7" s="304"/>
      <c r="H7" s="304"/>
      <c r="I7" s="304"/>
      <c r="J7" s="304"/>
      <c r="K7" s="305"/>
      <c r="M7" s="303" t="s">
        <v>51</v>
      </c>
      <c r="N7" s="304"/>
      <c r="O7" s="304"/>
      <c r="P7" s="304"/>
      <c r="Q7" s="304"/>
      <c r="R7" s="304"/>
      <c r="S7" s="304"/>
      <c r="T7" s="304"/>
      <c r="U7" s="304"/>
      <c r="V7" s="304"/>
      <c r="W7" s="305"/>
    </row>
    <row r="8" spans="1:24" ht="18.75" customHeight="1">
      <c r="A8" s="295" t="s">
        <v>52</v>
      </c>
      <c r="B8" s="296"/>
      <c r="C8" s="296"/>
      <c r="D8" s="296"/>
      <c r="E8" s="73" t="s">
        <v>47</v>
      </c>
      <c r="F8" s="310">
        <v>3876000</v>
      </c>
      <c r="G8" s="310"/>
      <c r="H8" s="310"/>
      <c r="I8" s="310"/>
      <c r="J8" s="73" t="s">
        <v>53</v>
      </c>
      <c r="K8" s="74"/>
      <c r="M8" s="295" t="s">
        <v>52</v>
      </c>
      <c r="N8" s="296"/>
      <c r="O8" s="296"/>
      <c r="P8" s="296"/>
      <c r="Q8" s="73" t="s">
        <v>47</v>
      </c>
      <c r="R8" s="310">
        <v>3876000</v>
      </c>
      <c r="S8" s="310"/>
      <c r="T8" s="310"/>
      <c r="U8" s="310"/>
      <c r="V8" s="73" t="s">
        <v>53</v>
      </c>
      <c r="W8" s="74"/>
    </row>
    <row r="9" spans="1:24" ht="18.75" customHeight="1">
      <c r="A9" s="75" t="s">
        <v>54</v>
      </c>
      <c r="B9" s="73"/>
      <c r="C9" s="76"/>
      <c r="D9" s="77"/>
      <c r="E9" s="78"/>
      <c r="F9" s="78"/>
      <c r="G9" s="78"/>
      <c r="H9" s="73"/>
      <c r="I9" s="79" t="e">
        <f>'[2]LUONG T7'!#REF!</f>
        <v>#REF!</v>
      </c>
      <c r="J9" s="80"/>
      <c r="K9" s="81"/>
      <c r="M9" s="75" t="s">
        <v>54</v>
      </c>
      <c r="N9" s="73"/>
      <c r="O9" s="76"/>
      <c r="P9" s="77"/>
      <c r="Q9" s="78"/>
      <c r="R9" s="78"/>
      <c r="S9" s="78"/>
      <c r="T9" s="73"/>
      <c r="U9" s="79" t="e">
        <f>'[2]LUONG T7'!#REF!</f>
        <v>#REF!</v>
      </c>
      <c r="V9" s="80"/>
      <c r="W9" s="81"/>
    </row>
    <row r="10" spans="1:24" ht="18.75" customHeight="1">
      <c r="A10" s="75" t="s">
        <v>55</v>
      </c>
      <c r="B10" s="73"/>
      <c r="C10" s="76"/>
      <c r="D10" s="77"/>
      <c r="E10" s="78"/>
      <c r="F10" s="78"/>
      <c r="G10" s="78"/>
      <c r="H10" s="73"/>
      <c r="I10" s="79" t="e">
        <f>I11/C11/8</f>
        <v>#REF!</v>
      </c>
      <c r="J10" s="80"/>
      <c r="K10" s="81"/>
      <c r="M10" s="75" t="s">
        <v>55</v>
      </c>
      <c r="N10" s="73"/>
      <c r="O10" s="76"/>
      <c r="P10" s="77"/>
      <c r="Q10" s="78"/>
      <c r="R10" s="78"/>
      <c r="S10" s="78"/>
      <c r="T10" s="73"/>
      <c r="U10" s="79" t="e">
        <f>U11/O11/8</f>
        <v>#REF!</v>
      </c>
      <c r="V10" s="80"/>
      <c r="W10" s="81"/>
    </row>
    <row r="11" spans="1:24" ht="18.75" customHeight="1">
      <c r="A11" s="75" t="s">
        <v>56</v>
      </c>
      <c r="B11" s="73" t="s">
        <v>47</v>
      </c>
      <c r="C11" s="76" t="e">
        <f>'[2]LUONG T7'!#REF!</f>
        <v>#REF!</v>
      </c>
      <c r="D11" s="77" t="s">
        <v>57</v>
      </c>
      <c r="E11" s="308" t="s">
        <v>58</v>
      </c>
      <c r="F11" s="308"/>
      <c r="G11" s="308"/>
      <c r="H11" s="73" t="s">
        <v>47</v>
      </c>
      <c r="I11" s="309" t="e">
        <f>'[2]LUONG T7'!#REF!</f>
        <v>#REF!</v>
      </c>
      <c r="J11" s="309"/>
      <c r="K11" s="81" t="s">
        <v>53</v>
      </c>
      <c r="L11" s="82" t="e">
        <f>F8/L1*C11</f>
        <v>#REF!</v>
      </c>
      <c r="M11" s="75" t="s">
        <v>56</v>
      </c>
      <c r="N11" s="73" t="s">
        <v>47</v>
      </c>
      <c r="O11" s="76" t="e">
        <f>'[2]LUONG T7'!#REF!</f>
        <v>#REF!</v>
      </c>
      <c r="P11" s="77" t="s">
        <v>57</v>
      </c>
      <c r="Q11" s="308" t="s">
        <v>58</v>
      </c>
      <c r="R11" s="308"/>
      <c r="S11" s="308"/>
      <c r="T11" s="73" t="s">
        <v>47</v>
      </c>
      <c r="U11" s="309" t="e">
        <f>'[2]LUONG T7'!#REF!</f>
        <v>#REF!</v>
      </c>
      <c r="V11" s="309"/>
      <c r="W11" s="81" t="s">
        <v>53</v>
      </c>
      <c r="X11" s="82" t="e">
        <f>R8/X1*O11</f>
        <v>#REF!</v>
      </c>
    </row>
    <row r="12" spans="1:24" ht="18.75" customHeight="1">
      <c r="A12" s="75" t="s">
        <v>59</v>
      </c>
      <c r="B12" s="73" t="s">
        <v>47</v>
      </c>
      <c r="C12" s="76" t="e">
        <f>'[2]LUONG T7'!#REF!</f>
        <v>#REF!</v>
      </c>
      <c r="D12" s="77" t="s">
        <v>57</v>
      </c>
      <c r="E12" s="296" t="s">
        <v>60</v>
      </c>
      <c r="F12" s="296"/>
      <c r="G12" s="296"/>
      <c r="H12" s="73" t="s">
        <v>47</v>
      </c>
      <c r="I12" s="307" t="e">
        <f>$F$8/$L$1*C12</f>
        <v>#REF!</v>
      </c>
      <c r="J12" s="307"/>
      <c r="K12" s="81" t="s">
        <v>53</v>
      </c>
      <c r="L12" s="82"/>
      <c r="M12" s="75" t="s">
        <v>59</v>
      </c>
      <c r="N12" s="73" t="s">
        <v>47</v>
      </c>
      <c r="O12" s="76" t="e">
        <f>'[2]LUONG T7'!#REF!</f>
        <v>#REF!</v>
      </c>
      <c r="P12" s="77" t="s">
        <v>57</v>
      </c>
      <c r="Q12" s="296" t="s">
        <v>60</v>
      </c>
      <c r="R12" s="296"/>
      <c r="S12" s="296"/>
      <c r="T12" s="73" t="s">
        <v>47</v>
      </c>
      <c r="U12" s="307" t="e">
        <f>$F$8/$L$1*O12</f>
        <v>#REF!</v>
      </c>
      <c r="V12" s="307"/>
      <c r="W12" s="81" t="s">
        <v>53</v>
      </c>
      <c r="X12" s="82"/>
    </row>
    <row r="13" spans="1:24" ht="18.75" customHeight="1">
      <c r="A13" s="75" t="s">
        <v>61</v>
      </c>
      <c r="B13" s="73" t="s">
        <v>47</v>
      </c>
      <c r="C13" s="76" t="e">
        <f>'[2]LUONG T7'!#REF!</f>
        <v>#REF!</v>
      </c>
      <c r="D13" s="77" t="s">
        <v>57</v>
      </c>
      <c r="E13" s="306" t="s">
        <v>62</v>
      </c>
      <c r="F13" s="306"/>
      <c r="G13" s="306"/>
      <c r="H13" s="73" t="s">
        <v>47</v>
      </c>
      <c r="I13" s="307" t="e">
        <f>$F$8/$L$1*C13</f>
        <v>#REF!</v>
      </c>
      <c r="J13" s="307"/>
      <c r="K13" s="81" t="s">
        <v>53</v>
      </c>
      <c r="L13" s="82"/>
      <c r="M13" s="75" t="s">
        <v>61</v>
      </c>
      <c r="N13" s="73" t="s">
        <v>47</v>
      </c>
      <c r="O13" s="76" t="e">
        <f>'[2]LUONG T7'!#REF!</f>
        <v>#REF!</v>
      </c>
      <c r="P13" s="77" t="s">
        <v>57</v>
      </c>
      <c r="Q13" s="306" t="s">
        <v>62</v>
      </c>
      <c r="R13" s="306"/>
      <c r="S13" s="306"/>
      <c r="T13" s="73" t="s">
        <v>47</v>
      </c>
      <c r="U13" s="307" t="e">
        <f>$F$8/$L$1*O13</f>
        <v>#REF!</v>
      </c>
      <c r="V13" s="307"/>
      <c r="W13" s="81" t="s">
        <v>53</v>
      </c>
      <c r="X13" s="82"/>
    </row>
    <row r="14" spans="1:24" ht="18.75" customHeight="1">
      <c r="A14" s="75" t="s">
        <v>63</v>
      </c>
      <c r="B14" s="73" t="s">
        <v>47</v>
      </c>
      <c r="C14" s="76" t="e">
        <f>'[2]LUONG T7'!#REF!</f>
        <v>#REF!</v>
      </c>
      <c r="D14" s="77" t="s">
        <v>57</v>
      </c>
      <c r="E14" s="306" t="s">
        <v>64</v>
      </c>
      <c r="F14" s="306"/>
      <c r="G14" s="306"/>
      <c r="H14" s="73" t="s">
        <v>47</v>
      </c>
      <c r="I14" s="307" t="e">
        <f>$F$8/$L$1*C14</f>
        <v>#REF!</v>
      </c>
      <c r="J14" s="307"/>
      <c r="K14" s="81" t="s">
        <v>53</v>
      </c>
      <c r="L14" s="82"/>
      <c r="M14" s="75" t="s">
        <v>63</v>
      </c>
      <c r="N14" s="73" t="s">
        <v>47</v>
      </c>
      <c r="O14" s="76" t="e">
        <f>'[2]LUONG T7'!#REF!</f>
        <v>#REF!</v>
      </c>
      <c r="P14" s="77" t="s">
        <v>57</v>
      </c>
      <c r="Q14" s="306" t="s">
        <v>64</v>
      </c>
      <c r="R14" s="306"/>
      <c r="S14" s="306"/>
      <c r="T14" s="73" t="s">
        <v>47</v>
      </c>
      <c r="U14" s="307" t="e">
        <f>$F$8/$L$1*O14</f>
        <v>#REF!</v>
      </c>
      <c r="V14" s="307"/>
      <c r="W14" s="81" t="s">
        <v>53</v>
      </c>
      <c r="X14" s="82"/>
    </row>
    <row r="15" spans="1:24" ht="18.75" customHeight="1">
      <c r="A15" s="75" t="s">
        <v>65</v>
      </c>
      <c r="B15" s="73" t="s">
        <v>47</v>
      </c>
      <c r="C15" s="76" t="e">
        <f>'[2]LUONG T7'!#REF!</f>
        <v>#REF!</v>
      </c>
      <c r="D15" s="77" t="s">
        <v>66</v>
      </c>
      <c r="E15" s="296" t="s">
        <v>67</v>
      </c>
      <c r="F15" s="296"/>
      <c r="G15" s="296"/>
      <c r="H15" s="73" t="s">
        <v>47</v>
      </c>
      <c r="I15" s="307" t="e">
        <f>'[2]LUONG T7'!#REF!</f>
        <v>#REF!</v>
      </c>
      <c r="J15" s="307"/>
      <c r="K15" s="81" t="s">
        <v>53</v>
      </c>
      <c r="L15" s="82" t="e">
        <f>F8*C15/L1/8*1.5</f>
        <v>#REF!</v>
      </c>
      <c r="M15" s="75" t="s">
        <v>65</v>
      </c>
      <c r="N15" s="73" t="s">
        <v>47</v>
      </c>
      <c r="O15" s="76" t="e">
        <f>'[2]LUONG T7'!#REF!</f>
        <v>#REF!</v>
      </c>
      <c r="P15" s="77" t="s">
        <v>66</v>
      </c>
      <c r="Q15" s="296" t="s">
        <v>67</v>
      </c>
      <c r="R15" s="296"/>
      <c r="S15" s="296"/>
      <c r="T15" s="73" t="s">
        <v>47</v>
      </c>
      <c r="U15" s="307" t="e">
        <f>'[2]LUONG T7'!#REF!</f>
        <v>#REF!</v>
      </c>
      <c r="V15" s="307"/>
      <c r="W15" s="81" t="s">
        <v>53</v>
      </c>
      <c r="X15" s="82" t="e">
        <f>R8*O15/X1/8*1.5</f>
        <v>#REF!</v>
      </c>
    </row>
    <row r="16" spans="1:24" ht="18.75" customHeight="1">
      <c r="A16" s="295" t="s">
        <v>68</v>
      </c>
      <c r="B16" s="296"/>
      <c r="C16" s="76"/>
      <c r="D16" s="77" t="s">
        <v>57</v>
      </c>
      <c r="E16" s="296" t="s">
        <v>69</v>
      </c>
      <c r="F16" s="296"/>
      <c r="G16" s="296"/>
      <c r="H16" s="83" t="s">
        <v>47</v>
      </c>
      <c r="I16" s="307"/>
      <c r="J16" s="307"/>
      <c r="K16" s="81" t="s">
        <v>53</v>
      </c>
      <c r="L16" s="82"/>
      <c r="M16" s="295" t="s">
        <v>68</v>
      </c>
      <c r="N16" s="296"/>
      <c r="O16" s="76"/>
      <c r="P16" s="77" t="s">
        <v>57</v>
      </c>
      <c r="Q16" s="296" t="s">
        <v>69</v>
      </c>
      <c r="R16" s="296"/>
      <c r="S16" s="296"/>
      <c r="T16" s="83" t="s">
        <v>47</v>
      </c>
      <c r="U16" s="307"/>
      <c r="V16" s="307"/>
      <c r="W16" s="81" t="s">
        <v>53</v>
      </c>
      <c r="X16" s="82"/>
    </row>
    <row r="17" spans="1:24" ht="18.75" customHeight="1">
      <c r="A17" s="75" t="s">
        <v>70</v>
      </c>
      <c r="B17" s="73" t="s">
        <v>47</v>
      </c>
      <c r="C17" s="76"/>
      <c r="D17" s="77" t="s">
        <v>57</v>
      </c>
      <c r="E17" s="296" t="s">
        <v>71</v>
      </c>
      <c r="F17" s="296"/>
      <c r="G17" s="296"/>
      <c r="H17" s="73" t="s">
        <v>47</v>
      </c>
      <c r="I17" s="307"/>
      <c r="J17" s="307"/>
      <c r="K17" s="81" t="s">
        <v>53</v>
      </c>
      <c r="L17" s="82"/>
      <c r="M17" s="75" t="s">
        <v>70</v>
      </c>
      <c r="N17" s="73" t="s">
        <v>47</v>
      </c>
      <c r="O17" s="76"/>
      <c r="P17" s="77" t="s">
        <v>57</v>
      </c>
      <c r="Q17" s="296" t="s">
        <v>71</v>
      </c>
      <c r="R17" s="296"/>
      <c r="S17" s="296"/>
      <c r="T17" s="73" t="s">
        <v>47</v>
      </c>
      <c r="U17" s="307"/>
      <c r="V17" s="307"/>
      <c r="W17" s="81" t="s">
        <v>53</v>
      </c>
      <c r="X17" s="82"/>
    </row>
    <row r="18" spans="1:24" ht="18.75" customHeight="1">
      <c r="A18" s="84" t="s">
        <v>72</v>
      </c>
      <c r="B18" s="73"/>
      <c r="C18" s="76" t="e">
        <f>'[2]LUONG T7'!#REF!</f>
        <v>#REF!</v>
      </c>
      <c r="D18" s="77" t="s">
        <v>66</v>
      </c>
      <c r="E18" s="296" t="s">
        <v>73</v>
      </c>
      <c r="F18" s="296"/>
      <c r="G18" s="296"/>
      <c r="H18" s="73" t="s">
        <v>47</v>
      </c>
      <c r="I18" s="307" t="e">
        <f>$F$8*C18/8/$L$1</f>
        <v>#REF!</v>
      </c>
      <c r="J18" s="307"/>
      <c r="K18" s="81" t="s">
        <v>53</v>
      </c>
      <c r="L18" s="82"/>
      <c r="M18" s="84" t="s">
        <v>72</v>
      </c>
      <c r="N18" s="73"/>
      <c r="O18" s="76" t="e">
        <f>'[2]LUONG T7'!#REF!</f>
        <v>#REF!</v>
      </c>
      <c r="P18" s="77" t="s">
        <v>66</v>
      </c>
      <c r="Q18" s="296" t="s">
        <v>73</v>
      </c>
      <c r="R18" s="296"/>
      <c r="S18" s="296"/>
      <c r="T18" s="73" t="s">
        <v>47</v>
      </c>
      <c r="U18" s="307">
        <v>10000</v>
      </c>
      <c r="V18" s="307"/>
      <c r="W18" s="81" t="s">
        <v>53</v>
      </c>
      <c r="X18" s="82"/>
    </row>
    <row r="19" spans="1:24" ht="18.75" customHeight="1">
      <c r="A19" s="75" t="s">
        <v>74</v>
      </c>
      <c r="B19" s="73" t="s">
        <v>47</v>
      </c>
      <c r="C19" s="76"/>
      <c r="D19" s="77" t="s">
        <v>66</v>
      </c>
      <c r="E19" s="296" t="s">
        <v>75</v>
      </c>
      <c r="F19" s="296"/>
      <c r="G19" s="296"/>
      <c r="H19" s="73" t="s">
        <v>47</v>
      </c>
      <c r="I19" s="307">
        <v>240000</v>
      </c>
      <c r="J19" s="307"/>
      <c r="K19" s="81" t="s">
        <v>53</v>
      </c>
      <c r="L19" s="82"/>
      <c r="M19" s="75" t="s">
        <v>74</v>
      </c>
      <c r="N19" s="73" t="s">
        <v>47</v>
      </c>
      <c r="O19" s="76"/>
      <c r="P19" s="77" t="s">
        <v>66</v>
      </c>
      <c r="Q19" s="296" t="s">
        <v>75</v>
      </c>
      <c r="R19" s="296"/>
      <c r="S19" s="296"/>
      <c r="T19" s="73" t="s">
        <v>47</v>
      </c>
      <c r="U19" s="307">
        <v>240000</v>
      </c>
      <c r="V19" s="307"/>
      <c r="W19" s="81" t="s">
        <v>53</v>
      </c>
      <c r="X19" s="82"/>
    </row>
    <row r="20" spans="1:24" ht="18.75" customHeight="1">
      <c r="A20" s="75" t="s">
        <v>76</v>
      </c>
      <c r="B20" s="73" t="s">
        <v>47</v>
      </c>
      <c r="C20" s="76"/>
      <c r="D20" s="77" t="s">
        <v>77</v>
      </c>
      <c r="E20" s="85" t="s">
        <v>78</v>
      </c>
      <c r="F20" s="85"/>
      <c r="G20" s="85"/>
      <c r="H20" s="73" t="s">
        <v>47</v>
      </c>
      <c r="I20" s="307"/>
      <c r="J20" s="307"/>
      <c r="K20" s="81" t="s">
        <v>53</v>
      </c>
      <c r="L20" s="82" t="e">
        <f>+IF(L11-I11&lt;0,0,L11-I11)+IF(L15-I15&lt;0,0,L15-I15)</f>
        <v>#REF!</v>
      </c>
      <c r="M20" s="75" t="s">
        <v>76</v>
      </c>
      <c r="N20" s="73" t="s">
        <v>47</v>
      </c>
      <c r="O20" s="76"/>
      <c r="P20" s="77" t="s">
        <v>77</v>
      </c>
      <c r="Q20" s="85" t="s">
        <v>78</v>
      </c>
      <c r="R20" s="85"/>
      <c r="S20" s="85"/>
      <c r="T20" s="73" t="s">
        <v>47</v>
      </c>
      <c r="U20" s="307"/>
      <c r="V20" s="307"/>
      <c r="W20" s="81" t="s">
        <v>53</v>
      </c>
      <c r="X20" s="82" t="e">
        <f>+IF(X11-U11&lt;0,0,X11-U11)+IF(X15-U15&lt;0,0,X15-U15)</f>
        <v>#REF!</v>
      </c>
    </row>
    <row r="21" spans="1:24" ht="18.75" customHeight="1">
      <c r="A21" s="86" t="s">
        <v>79</v>
      </c>
      <c r="B21" s="87"/>
      <c r="C21" s="76"/>
      <c r="D21" s="77" t="s">
        <v>57</v>
      </c>
      <c r="E21" s="296" t="s">
        <v>80</v>
      </c>
      <c r="F21" s="296"/>
      <c r="G21" s="296"/>
      <c r="H21" s="73" t="s">
        <v>47</v>
      </c>
      <c r="I21" s="307">
        <v>324000</v>
      </c>
      <c r="J21" s="307"/>
      <c r="K21" s="81" t="s">
        <v>53</v>
      </c>
      <c r="L21" s="82"/>
      <c r="M21" s="86" t="s">
        <v>79</v>
      </c>
      <c r="N21" s="87"/>
      <c r="O21" s="76"/>
      <c r="P21" s="77" t="s">
        <v>57</v>
      </c>
      <c r="Q21" s="296" t="s">
        <v>80</v>
      </c>
      <c r="R21" s="296"/>
      <c r="S21" s="296"/>
      <c r="T21" s="73" t="s">
        <v>47</v>
      </c>
      <c r="U21" s="307">
        <v>324000</v>
      </c>
      <c r="V21" s="307"/>
      <c r="W21" s="81" t="s">
        <v>53</v>
      </c>
      <c r="X21" s="82"/>
    </row>
    <row r="22" spans="1:24" ht="18.75" customHeight="1">
      <c r="A22" s="314" t="s">
        <v>81</v>
      </c>
      <c r="B22" s="308"/>
      <c r="C22" s="76"/>
      <c r="D22" s="77"/>
      <c r="E22" s="78"/>
      <c r="F22" s="78"/>
      <c r="G22" s="78"/>
      <c r="H22" s="73" t="s">
        <v>47</v>
      </c>
      <c r="I22" s="307" t="e">
        <f>'[2]LUONG T7'!#REF!</f>
        <v>#REF!</v>
      </c>
      <c r="J22" s="307"/>
      <c r="K22" s="81" t="s">
        <v>53</v>
      </c>
      <c r="L22" s="82"/>
      <c r="M22" s="314" t="s">
        <v>81</v>
      </c>
      <c r="N22" s="308"/>
      <c r="O22" s="76"/>
      <c r="P22" s="77"/>
      <c r="Q22" s="78"/>
      <c r="R22" s="78"/>
      <c r="S22" s="78"/>
      <c r="T22" s="73" t="s">
        <v>47</v>
      </c>
      <c r="U22" s="307" t="e">
        <f>'[2]LUONG T7'!#REF!</f>
        <v>#REF!</v>
      </c>
      <c r="V22" s="307"/>
      <c r="W22" s="81" t="s">
        <v>53</v>
      </c>
      <c r="X22" s="82"/>
    </row>
    <row r="23" spans="1:24" ht="18.75" customHeight="1">
      <c r="A23" s="75" t="s">
        <v>82</v>
      </c>
      <c r="B23" s="73" t="s">
        <v>47</v>
      </c>
      <c r="C23" s="76"/>
      <c r="D23" s="77"/>
      <c r="E23" s="78" t="s">
        <v>83</v>
      </c>
      <c r="F23" s="78"/>
      <c r="G23" s="78"/>
      <c r="H23" s="73" t="s">
        <v>47</v>
      </c>
      <c r="I23" s="307" t="e">
        <f>L20</f>
        <v>#REF!</v>
      </c>
      <c r="J23" s="307"/>
      <c r="K23" s="81" t="s">
        <v>53</v>
      </c>
      <c r="L23" s="82"/>
      <c r="M23" s="75" t="s">
        <v>82</v>
      </c>
      <c r="N23" s="73" t="s">
        <v>47</v>
      </c>
      <c r="O23" s="76"/>
      <c r="P23" s="77"/>
      <c r="Q23" s="78" t="s">
        <v>83</v>
      </c>
      <c r="R23" s="78"/>
      <c r="S23" s="78"/>
      <c r="T23" s="73" t="s">
        <v>47</v>
      </c>
      <c r="U23" s="307" t="e">
        <f>X20</f>
        <v>#REF!</v>
      </c>
      <c r="V23" s="307"/>
      <c r="W23" s="81" t="s">
        <v>53</v>
      </c>
      <c r="X23" s="82"/>
    </row>
    <row r="24" spans="1:24" ht="18.75" customHeight="1">
      <c r="A24" s="311" t="s">
        <v>84</v>
      </c>
      <c r="B24" s="312"/>
      <c r="C24" s="312"/>
      <c r="D24" s="312"/>
      <c r="E24" s="312"/>
      <c r="F24" s="312"/>
      <c r="G24" s="73" t="s">
        <v>47</v>
      </c>
      <c r="H24" s="313" t="e">
        <f>+I21+I11+I12+I13+I14+I15+I18+I22+I23+I19</f>
        <v>#REF!</v>
      </c>
      <c r="I24" s="313"/>
      <c r="J24" s="313"/>
      <c r="K24" s="81" t="s">
        <v>53</v>
      </c>
      <c r="M24" s="311" t="s">
        <v>84</v>
      </c>
      <c r="N24" s="312"/>
      <c r="O24" s="312"/>
      <c r="P24" s="312"/>
      <c r="Q24" s="312"/>
      <c r="R24" s="312"/>
      <c r="S24" s="73" t="s">
        <v>47</v>
      </c>
      <c r="T24" s="313" t="e">
        <f>+U21+U11+U12+U13+U14+U15+U18+U22+U23+U19</f>
        <v>#REF!</v>
      </c>
      <c r="U24" s="313"/>
      <c r="V24" s="313"/>
      <c r="W24" s="81" t="s">
        <v>53</v>
      </c>
    </row>
    <row r="25" spans="1:24" ht="18.75" customHeight="1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90"/>
      <c r="M25" s="88"/>
      <c r="N25" s="89"/>
      <c r="O25" s="89"/>
      <c r="P25" s="89"/>
      <c r="Q25" s="89"/>
      <c r="R25" s="89"/>
      <c r="S25" s="89"/>
      <c r="T25" s="89"/>
      <c r="U25" s="89"/>
      <c r="V25" s="89"/>
      <c r="W25" s="90"/>
    </row>
    <row r="26" spans="1:24" ht="18.75" customHeight="1">
      <c r="A26" s="321" t="s">
        <v>85</v>
      </c>
      <c r="B26" s="322"/>
      <c r="C26" s="322"/>
      <c r="D26" s="322"/>
      <c r="E26" s="322"/>
      <c r="F26" s="322"/>
      <c r="G26" s="73"/>
      <c r="H26" s="73"/>
      <c r="I26" s="73"/>
      <c r="J26" s="73"/>
      <c r="K26" s="81"/>
      <c r="M26" s="321" t="s">
        <v>85</v>
      </c>
      <c r="N26" s="322"/>
      <c r="O26" s="322"/>
      <c r="P26" s="322"/>
      <c r="Q26" s="322"/>
      <c r="R26" s="322"/>
      <c r="S26" s="73"/>
      <c r="T26" s="73"/>
      <c r="U26" s="73"/>
      <c r="V26" s="73"/>
      <c r="W26" s="81"/>
    </row>
    <row r="27" spans="1:24" ht="18.75" customHeight="1">
      <c r="A27" s="315" t="s">
        <v>86</v>
      </c>
      <c r="B27" s="316"/>
      <c r="C27" s="316"/>
      <c r="D27" s="316"/>
      <c r="E27" s="316"/>
      <c r="F27" s="316"/>
      <c r="G27" s="73" t="s">
        <v>47</v>
      </c>
      <c r="H27" s="323" t="e">
        <f>IF(($L$1-(C11+C12+C13+C14))&gt;12,0,F8*8%)</f>
        <v>#REF!</v>
      </c>
      <c r="I27" s="323"/>
      <c r="J27" s="323"/>
      <c r="K27" s="81" t="s">
        <v>53</v>
      </c>
      <c r="M27" s="315" t="s">
        <v>86</v>
      </c>
      <c r="N27" s="316"/>
      <c r="O27" s="316"/>
      <c r="P27" s="316"/>
      <c r="Q27" s="316"/>
      <c r="R27" s="316"/>
      <c r="S27" s="73" t="s">
        <v>47</v>
      </c>
      <c r="T27" s="323" t="e">
        <f>IF(($L$1-(O11+O12+O13+O14))&gt;12,0,R8*8%)</f>
        <v>#REF!</v>
      </c>
      <c r="U27" s="323"/>
      <c r="V27" s="323"/>
      <c r="W27" s="81" t="s">
        <v>53</v>
      </c>
    </row>
    <row r="28" spans="1:24" ht="18.75" customHeight="1">
      <c r="A28" s="315" t="s">
        <v>87</v>
      </c>
      <c r="B28" s="316"/>
      <c r="C28" s="316"/>
      <c r="D28" s="316"/>
      <c r="E28" s="316"/>
      <c r="F28" s="316"/>
      <c r="G28" s="73" t="s">
        <v>47</v>
      </c>
      <c r="H28" s="317" t="e">
        <f>IF(($L$1-(C11+C12+C13+C14))&gt;12,0,F8*1.5%)</f>
        <v>#REF!</v>
      </c>
      <c r="I28" s="317"/>
      <c r="J28" s="317"/>
      <c r="K28" s="81" t="s">
        <v>53</v>
      </c>
      <c r="M28" s="315" t="s">
        <v>87</v>
      </c>
      <c r="N28" s="316"/>
      <c r="O28" s="316"/>
      <c r="P28" s="316"/>
      <c r="Q28" s="316"/>
      <c r="R28" s="316"/>
      <c r="S28" s="73" t="s">
        <v>47</v>
      </c>
      <c r="T28" s="317" t="e">
        <f>IF(($L$1-(O11+O12+O13+O14))&gt;12,0,R8*1.5%)</f>
        <v>#REF!</v>
      </c>
      <c r="U28" s="317"/>
      <c r="V28" s="317"/>
      <c r="W28" s="81" t="s">
        <v>53</v>
      </c>
    </row>
    <row r="29" spans="1:24" ht="18.75" customHeight="1">
      <c r="A29" s="315" t="s">
        <v>88</v>
      </c>
      <c r="B29" s="316"/>
      <c r="C29" s="316"/>
      <c r="D29" s="316"/>
      <c r="E29" s="316"/>
      <c r="F29" s="316"/>
      <c r="G29" s="73" t="s">
        <v>47</v>
      </c>
      <c r="H29" s="317" t="e">
        <f>IF(($L$1-(C11+C12+C13+C14))&gt;12,0,F8*1%)</f>
        <v>#REF!</v>
      </c>
      <c r="I29" s="317"/>
      <c r="J29" s="317"/>
      <c r="K29" s="81" t="s">
        <v>53</v>
      </c>
      <c r="M29" s="315" t="s">
        <v>88</v>
      </c>
      <c r="N29" s="316"/>
      <c r="O29" s="316"/>
      <c r="P29" s="316"/>
      <c r="Q29" s="316"/>
      <c r="R29" s="316"/>
      <c r="S29" s="73" t="s">
        <v>47</v>
      </c>
      <c r="T29" s="317" t="e">
        <f>IF(($L$1-(O11+O12+O13+O14))&gt;12,0,R8*1%)</f>
        <v>#REF!</v>
      </c>
      <c r="U29" s="317"/>
      <c r="V29" s="317"/>
      <c r="W29" s="81" t="s">
        <v>53</v>
      </c>
    </row>
    <row r="30" spans="1:24" ht="18.75" customHeight="1">
      <c r="A30" s="315" t="s">
        <v>89</v>
      </c>
      <c r="B30" s="316"/>
      <c r="C30" s="316"/>
      <c r="D30" s="316"/>
      <c r="E30" s="316"/>
      <c r="F30" s="316"/>
      <c r="G30" s="73" t="s">
        <v>47</v>
      </c>
      <c r="H30" s="317">
        <v>0</v>
      </c>
      <c r="I30" s="317"/>
      <c r="J30" s="317"/>
      <c r="K30" s="81" t="s">
        <v>53</v>
      </c>
      <c r="M30" s="315" t="s">
        <v>89</v>
      </c>
      <c r="N30" s="316"/>
      <c r="O30" s="316"/>
      <c r="P30" s="316"/>
      <c r="Q30" s="316"/>
      <c r="R30" s="316"/>
      <c r="S30" s="73" t="s">
        <v>47</v>
      </c>
      <c r="T30" s="317">
        <v>0</v>
      </c>
      <c r="U30" s="317"/>
      <c r="V30" s="317"/>
      <c r="W30" s="81" t="s">
        <v>53</v>
      </c>
    </row>
    <row r="31" spans="1:24" ht="18.75" customHeight="1">
      <c r="A31" s="318" t="s">
        <v>90</v>
      </c>
      <c r="B31" s="319"/>
      <c r="C31" s="319"/>
      <c r="D31" s="319"/>
      <c r="E31" s="319"/>
      <c r="F31" s="319"/>
      <c r="G31" s="73" t="s">
        <v>47</v>
      </c>
      <c r="H31" s="320" t="e">
        <f>SUM(H27:J30)</f>
        <v>#REF!</v>
      </c>
      <c r="I31" s="320"/>
      <c r="J31" s="320"/>
      <c r="K31" s="81" t="s">
        <v>53</v>
      </c>
      <c r="M31" s="318" t="s">
        <v>90</v>
      </c>
      <c r="N31" s="319"/>
      <c r="O31" s="319"/>
      <c r="P31" s="319"/>
      <c r="Q31" s="319"/>
      <c r="R31" s="319"/>
      <c r="S31" s="73" t="s">
        <v>47</v>
      </c>
      <c r="T31" s="320" t="e">
        <f>SUM(T27:V30)</f>
        <v>#REF!</v>
      </c>
      <c r="U31" s="320"/>
      <c r="V31" s="320"/>
      <c r="W31" s="81" t="s">
        <v>53</v>
      </c>
    </row>
    <row r="32" spans="1:24" ht="18.75" customHeight="1">
      <c r="A32" s="315" t="s">
        <v>91</v>
      </c>
      <c r="B32" s="316"/>
      <c r="C32" s="316"/>
      <c r="D32" s="316"/>
      <c r="E32" s="316"/>
      <c r="F32" s="316"/>
      <c r="G32" s="73" t="s">
        <v>47</v>
      </c>
      <c r="H32" s="327" t="e">
        <f>ROUND(H24-H31,-2)</f>
        <v>#REF!</v>
      </c>
      <c r="I32" s="327"/>
      <c r="J32" s="327"/>
      <c r="K32" s="81" t="s">
        <v>53</v>
      </c>
      <c r="M32" s="315" t="s">
        <v>91</v>
      </c>
      <c r="N32" s="316"/>
      <c r="O32" s="316"/>
      <c r="P32" s="316"/>
      <c r="Q32" s="316"/>
      <c r="R32" s="316"/>
      <c r="S32" s="73" t="s">
        <v>47</v>
      </c>
      <c r="T32" s="327" t="e">
        <f>ROUND(T24-T31,-2)</f>
        <v>#REF!</v>
      </c>
      <c r="U32" s="327"/>
      <c r="V32" s="327"/>
      <c r="W32" s="81" t="s">
        <v>53</v>
      </c>
    </row>
    <row r="33" spans="1:24" ht="18.75" customHeight="1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3"/>
      <c r="M33" s="91"/>
      <c r="N33" s="92"/>
      <c r="O33" s="92"/>
      <c r="P33" s="92"/>
      <c r="Q33" s="92"/>
      <c r="R33" s="92"/>
      <c r="S33" s="92"/>
      <c r="T33" s="92"/>
      <c r="U33" s="92"/>
      <c r="V33" s="92"/>
      <c r="W33" s="93"/>
    </row>
    <row r="34" spans="1:24" ht="18.75" customHeight="1">
      <c r="A34" s="94"/>
      <c r="B34" s="73"/>
      <c r="C34" s="73"/>
      <c r="D34" s="73"/>
      <c r="E34" s="73"/>
      <c r="F34" s="73"/>
      <c r="G34" s="73"/>
      <c r="H34" s="73"/>
      <c r="I34" s="324" t="s">
        <v>92</v>
      </c>
      <c r="J34" s="324"/>
      <c r="K34" s="328"/>
      <c r="M34" s="94"/>
      <c r="N34" s="73"/>
      <c r="O34" s="73"/>
      <c r="P34" s="73"/>
      <c r="Q34" s="73"/>
      <c r="R34" s="73"/>
      <c r="S34" s="73"/>
      <c r="T34" s="73"/>
      <c r="U34" s="324" t="s">
        <v>92</v>
      </c>
      <c r="V34" s="324"/>
      <c r="W34" s="328"/>
    </row>
    <row r="35" spans="1:24" ht="18.75" customHeight="1">
      <c r="A35" s="94"/>
      <c r="B35" s="324"/>
      <c r="C35" s="324"/>
      <c r="D35" s="324"/>
      <c r="E35" s="324"/>
      <c r="F35" s="73"/>
      <c r="G35" s="73"/>
      <c r="H35" s="73"/>
      <c r="I35" s="73"/>
      <c r="J35" s="73"/>
      <c r="K35" s="74"/>
      <c r="M35" s="94"/>
      <c r="N35" s="324"/>
      <c r="O35" s="324"/>
      <c r="P35" s="324"/>
      <c r="Q35" s="324"/>
      <c r="R35" s="73"/>
      <c r="S35" s="73"/>
      <c r="T35" s="73"/>
      <c r="U35" s="73"/>
      <c r="V35" s="73"/>
      <c r="W35" s="74"/>
    </row>
    <row r="36" spans="1:24" ht="18.75" customHeight="1" thickBot="1">
      <c r="A36" s="95"/>
      <c r="B36" s="96"/>
      <c r="C36" s="96"/>
      <c r="D36" s="96"/>
      <c r="E36" s="96"/>
      <c r="F36" s="96"/>
      <c r="G36" s="96"/>
      <c r="H36" s="96"/>
      <c r="I36" s="325" t="s">
        <v>93</v>
      </c>
      <c r="J36" s="325"/>
      <c r="K36" s="326"/>
      <c r="M36" s="95"/>
      <c r="N36" s="96"/>
      <c r="O36" s="96"/>
      <c r="P36" s="96"/>
      <c r="Q36" s="96"/>
      <c r="R36" s="96"/>
      <c r="S36" s="96"/>
      <c r="T36" s="96"/>
      <c r="U36" s="325" t="s">
        <v>93</v>
      </c>
      <c r="V36" s="325"/>
      <c r="W36" s="326"/>
    </row>
    <row r="39" spans="1:24" ht="18.75" customHeight="1" thickTop="1">
      <c r="A39" s="300" t="s">
        <v>41</v>
      </c>
      <c r="B39" s="301"/>
      <c r="C39" s="301"/>
      <c r="D39" s="301"/>
      <c r="E39" s="301"/>
      <c r="F39" s="301"/>
      <c r="G39" s="301"/>
      <c r="H39" s="301"/>
      <c r="I39" s="301"/>
      <c r="J39" s="301"/>
      <c r="K39" s="302"/>
      <c r="L39" s="69">
        <v>25</v>
      </c>
      <c r="M39" s="300" t="s">
        <v>41</v>
      </c>
      <c r="N39" s="301"/>
      <c r="O39" s="301"/>
      <c r="P39" s="301"/>
      <c r="Q39" s="301"/>
      <c r="R39" s="301"/>
      <c r="S39" s="301"/>
      <c r="T39" s="301"/>
      <c r="U39" s="301"/>
      <c r="V39" s="301"/>
      <c r="W39" s="302"/>
      <c r="X39" s="69">
        <v>25</v>
      </c>
    </row>
    <row r="40" spans="1:24" ht="18.75" customHeight="1">
      <c r="A40" s="70" t="s">
        <v>94</v>
      </c>
      <c r="B40" s="71"/>
      <c r="C40" s="71"/>
      <c r="D40" s="71"/>
      <c r="E40" s="71"/>
      <c r="F40" s="71"/>
      <c r="G40" s="71"/>
      <c r="H40" s="71"/>
      <c r="I40" s="71"/>
      <c r="J40" s="71"/>
      <c r="K40" s="72"/>
      <c r="M40" s="70" t="s">
        <v>95</v>
      </c>
      <c r="N40" s="71"/>
      <c r="O40" s="71"/>
      <c r="P40" s="71"/>
      <c r="Q40" s="71"/>
      <c r="R40" s="71"/>
      <c r="S40" s="71"/>
      <c r="T40" s="71"/>
      <c r="U40" s="71"/>
      <c r="V40" s="71"/>
      <c r="W40" s="72"/>
    </row>
    <row r="41" spans="1:24" ht="18.75" customHeight="1">
      <c r="A41" s="303" t="s">
        <v>45</v>
      </c>
      <c r="B41" s="304"/>
      <c r="C41" s="304"/>
      <c r="D41" s="304"/>
      <c r="E41" s="304"/>
      <c r="F41" s="304"/>
      <c r="G41" s="304"/>
      <c r="H41" s="304"/>
      <c r="I41" s="304"/>
      <c r="J41" s="304"/>
      <c r="K41" s="305"/>
      <c r="M41" s="303" t="s">
        <v>45</v>
      </c>
      <c r="N41" s="304"/>
      <c r="O41" s="304"/>
      <c r="P41" s="304"/>
      <c r="Q41" s="304"/>
      <c r="R41" s="304"/>
      <c r="S41" s="304"/>
      <c r="T41" s="304"/>
      <c r="U41" s="304"/>
      <c r="V41" s="304"/>
      <c r="W41" s="305"/>
    </row>
    <row r="42" spans="1:24" ht="18.75" customHeight="1">
      <c r="A42" s="295" t="s">
        <v>46</v>
      </c>
      <c r="B42" s="296"/>
      <c r="C42" s="296"/>
      <c r="D42" s="296"/>
      <c r="E42" s="73" t="s">
        <v>47</v>
      </c>
      <c r="F42" s="297" t="s">
        <v>96</v>
      </c>
      <c r="G42" s="296"/>
      <c r="H42" s="296"/>
      <c r="I42" s="296"/>
      <c r="J42" s="296"/>
      <c r="K42" s="299"/>
      <c r="M42" s="295" t="s">
        <v>46</v>
      </c>
      <c r="N42" s="296"/>
      <c r="O42" s="296"/>
      <c r="P42" s="296"/>
      <c r="Q42" s="73" t="s">
        <v>47</v>
      </c>
      <c r="R42" s="297" t="s">
        <v>97</v>
      </c>
      <c r="S42" s="296"/>
      <c r="T42" s="296"/>
      <c r="U42" s="296"/>
      <c r="V42" s="296"/>
      <c r="W42" s="299"/>
    </row>
    <row r="43" spans="1:24" ht="18.75" customHeight="1">
      <c r="A43" s="295" t="s">
        <v>49</v>
      </c>
      <c r="B43" s="296"/>
      <c r="C43" s="296"/>
      <c r="D43" s="296"/>
      <c r="E43" s="73" t="s">
        <v>47</v>
      </c>
      <c r="F43" s="297">
        <v>50038</v>
      </c>
      <c r="G43" s="297"/>
      <c r="H43" s="297"/>
      <c r="I43" s="297"/>
      <c r="J43" s="297"/>
      <c r="K43" s="298"/>
      <c r="M43" s="295" t="s">
        <v>49</v>
      </c>
      <c r="N43" s="296"/>
      <c r="O43" s="296"/>
      <c r="P43" s="296"/>
      <c r="Q43" s="73" t="s">
        <v>47</v>
      </c>
      <c r="R43" s="297">
        <v>50041</v>
      </c>
      <c r="S43" s="297"/>
      <c r="T43" s="297"/>
      <c r="U43" s="297"/>
      <c r="V43" s="297"/>
      <c r="W43" s="298"/>
    </row>
    <row r="44" spans="1:24" ht="18.75" customHeight="1">
      <c r="A44" s="295" t="s">
        <v>50</v>
      </c>
      <c r="B44" s="296"/>
      <c r="C44" s="296"/>
      <c r="D44" s="296"/>
      <c r="E44" s="73" t="s">
        <v>47</v>
      </c>
      <c r="F44" s="296" t="str">
        <f>$L$2</f>
        <v>Gián tiếp</v>
      </c>
      <c r="G44" s="296"/>
      <c r="H44" s="296"/>
      <c r="I44" s="296"/>
      <c r="J44" s="296"/>
      <c r="K44" s="299"/>
      <c r="M44" s="295" t="s">
        <v>50</v>
      </c>
      <c r="N44" s="296"/>
      <c r="O44" s="296"/>
      <c r="P44" s="296"/>
      <c r="Q44" s="73" t="s">
        <v>47</v>
      </c>
      <c r="R44" s="296" t="str">
        <f>$L$2</f>
        <v>Gián tiếp</v>
      </c>
      <c r="S44" s="296"/>
      <c r="T44" s="296"/>
      <c r="U44" s="296"/>
      <c r="V44" s="296"/>
      <c r="W44" s="299"/>
    </row>
    <row r="45" spans="1:24" ht="18.75" customHeight="1">
      <c r="A45" s="303" t="s">
        <v>51</v>
      </c>
      <c r="B45" s="304"/>
      <c r="C45" s="304"/>
      <c r="D45" s="304"/>
      <c r="E45" s="304"/>
      <c r="F45" s="304"/>
      <c r="G45" s="304"/>
      <c r="H45" s="304"/>
      <c r="I45" s="304"/>
      <c r="J45" s="304"/>
      <c r="K45" s="305"/>
      <c r="M45" s="303" t="s">
        <v>51</v>
      </c>
      <c r="N45" s="304"/>
      <c r="O45" s="304"/>
      <c r="P45" s="304"/>
      <c r="Q45" s="304"/>
      <c r="R45" s="304"/>
      <c r="S45" s="304"/>
      <c r="T45" s="304"/>
      <c r="U45" s="304"/>
      <c r="V45" s="304"/>
      <c r="W45" s="305"/>
    </row>
    <row r="46" spans="1:24" ht="18.75" customHeight="1">
      <c r="A46" s="295" t="s">
        <v>52</v>
      </c>
      <c r="B46" s="296"/>
      <c r="C46" s="296"/>
      <c r="D46" s="296"/>
      <c r="E46" s="73" t="s">
        <v>47</v>
      </c>
      <c r="F46" s="310">
        <v>3876000</v>
      </c>
      <c r="G46" s="310"/>
      <c r="H46" s="310"/>
      <c r="I46" s="310"/>
      <c r="J46" s="73" t="s">
        <v>53</v>
      </c>
      <c r="K46" s="74"/>
      <c r="M46" s="295" t="s">
        <v>52</v>
      </c>
      <c r="N46" s="296"/>
      <c r="O46" s="296"/>
      <c r="P46" s="296"/>
      <c r="Q46" s="73" t="s">
        <v>47</v>
      </c>
      <c r="R46" s="310">
        <v>3876000</v>
      </c>
      <c r="S46" s="310"/>
      <c r="T46" s="310"/>
      <c r="U46" s="310"/>
      <c r="V46" s="73" t="s">
        <v>53</v>
      </c>
      <c r="W46" s="74"/>
    </row>
    <row r="47" spans="1:24" ht="18.75" customHeight="1">
      <c r="A47" s="75" t="s">
        <v>54</v>
      </c>
      <c r="B47" s="73"/>
      <c r="C47" s="76"/>
      <c r="D47" s="77"/>
      <c r="E47" s="78"/>
      <c r="F47" s="78"/>
      <c r="G47" s="78"/>
      <c r="H47" s="73"/>
      <c r="I47" s="79" t="e">
        <f>'[2]LUONG T7'!#REF!</f>
        <v>#REF!</v>
      </c>
      <c r="J47" s="80"/>
      <c r="K47" s="81"/>
      <c r="M47" s="75" t="s">
        <v>54</v>
      </c>
      <c r="N47" s="73"/>
      <c r="O47" s="76"/>
      <c r="P47" s="77"/>
      <c r="Q47" s="78"/>
      <c r="R47" s="78"/>
      <c r="S47" s="78"/>
      <c r="T47" s="73"/>
      <c r="U47" s="79">
        <f>'[2]LUONG T7'!F11</f>
        <v>9546</v>
      </c>
      <c r="V47" s="80"/>
      <c r="W47" s="81"/>
    </row>
    <row r="48" spans="1:24" ht="18.75" customHeight="1">
      <c r="A48" s="75" t="s">
        <v>55</v>
      </c>
      <c r="B48" s="73"/>
      <c r="C48" s="76"/>
      <c r="D48" s="77"/>
      <c r="E48" s="78"/>
      <c r="F48" s="78"/>
      <c r="G48" s="78"/>
      <c r="H48" s="73"/>
      <c r="I48" s="79" t="e">
        <f>I49/C49/8</f>
        <v>#REF!</v>
      </c>
      <c r="J48" s="80"/>
      <c r="K48" s="81"/>
      <c r="M48" s="75" t="s">
        <v>55</v>
      </c>
      <c r="N48" s="73"/>
      <c r="O48" s="76"/>
      <c r="P48" s="77"/>
      <c r="Q48" s="78"/>
      <c r="R48" s="78"/>
      <c r="S48" s="78"/>
      <c r="T48" s="73"/>
      <c r="U48" s="79">
        <f>U49/O49/8</f>
        <v>29098.841379310339</v>
      </c>
      <c r="V48" s="80"/>
      <c r="W48" s="81"/>
    </row>
    <row r="49" spans="1:24" ht="18.75" customHeight="1">
      <c r="A49" s="75" t="s">
        <v>56</v>
      </c>
      <c r="B49" s="73" t="s">
        <v>47</v>
      </c>
      <c r="C49" s="76" t="e">
        <f>'[2]LUONG T7'!#REF!</f>
        <v>#REF!</v>
      </c>
      <c r="D49" s="77" t="s">
        <v>57</v>
      </c>
      <c r="E49" s="308" t="s">
        <v>58</v>
      </c>
      <c r="F49" s="308"/>
      <c r="G49" s="308"/>
      <c r="H49" s="73" t="s">
        <v>47</v>
      </c>
      <c r="I49" s="309" t="e">
        <f>'[2]LUONG T7'!#REF!</f>
        <v>#REF!</v>
      </c>
      <c r="J49" s="309"/>
      <c r="K49" s="81" t="s">
        <v>53</v>
      </c>
      <c r="L49" s="82" t="e">
        <f>F46/L39*C49</f>
        <v>#REF!</v>
      </c>
      <c r="M49" s="75" t="s">
        <v>56</v>
      </c>
      <c r="N49" s="73" t="s">
        <v>47</v>
      </c>
      <c r="O49" s="76">
        <f>'[2]LUONG T7'!I10</f>
        <v>26</v>
      </c>
      <c r="P49" s="77" t="s">
        <v>57</v>
      </c>
      <c r="Q49" s="308" t="s">
        <v>58</v>
      </c>
      <c r="R49" s="308"/>
      <c r="S49" s="308"/>
      <c r="T49" s="73" t="s">
        <v>47</v>
      </c>
      <c r="U49" s="309">
        <f>'[2]LUONG T7'!I11</f>
        <v>6052559.0068965508</v>
      </c>
      <c r="V49" s="309"/>
      <c r="W49" s="81" t="s">
        <v>53</v>
      </c>
      <c r="X49" s="82">
        <f>R46/X39*O49</f>
        <v>4031040</v>
      </c>
    </row>
    <row r="50" spans="1:24" ht="18.75" customHeight="1">
      <c r="A50" s="75" t="s">
        <v>59</v>
      </c>
      <c r="B50" s="73" t="s">
        <v>47</v>
      </c>
      <c r="C50" s="76" t="e">
        <f>'[2]LUONG T7'!#REF!</f>
        <v>#REF!</v>
      </c>
      <c r="D50" s="77" t="s">
        <v>57</v>
      </c>
      <c r="E50" s="296" t="s">
        <v>60</v>
      </c>
      <c r="F50" s="296"/>
      <c r="G50" s="296"/>
      <c r="H50" s="73" t="s">
        <v>47</v>
      </c>
      <c r="I50" s="307" t="e">
        <f>$F$8/$L$1*C50</f>
        <v>#REF!</v>
      </c>
      <c r="J50" s="307"/>
      <c r="K50" s="81" t="s">
        <v>53</v>
      </c>
      <c r="L50" s="82"/>
      <c r="M50" s="75" t="s">
        <v>59</v>
      </c>
      <c r="N50" s="73" t="s">
        <v>47</v>
      </c>
      <c r="O50" s="76">
        <f>'[2]LUONG T7'!J10</f>
        <v>0</v>
      </c>
      <c r="P50" s="77" t="s">
        <v>57</v>
      </c>
      <c r="Q50" s="296" t="s">
        <v>60</v>
      </c>
      <c r="R50" s="296"/>
      <c r="S50" s="296"/>
      <c r="T50" s="73" t="s">
        <v>47</v>
      </c>
      <c r="U50" s="307">
        <f>$F$8/$L$1*O50</f>
        <v>0</v>
      </c>
      <c r="V50" s="307"/>
      <c r="W50" s="81" t="s">
        <v>53</v>
      </c>
      <c r="X50" s="82"/>
    </row>
    <row r="51" spans="1:24" ht="18.75" customHeight="1">
      <c r="A51" s="75" t="s">
        <v>61</v>
      </c>
      <c r="B51" s="73" t="s">
        <v>47</v>
      </c>
      <c r="C51" s="76" t="e">
        <f>'[2]LUONG T7'!#REF!</f>
        <v>#REF!</v>
      </c>
      <c r="D51" s="77" t="s">
        <v>57</v>
      </c>
      <c r="E51" s="306" t="s">
        <v>62</v>
      </c>
      <c r="F51" s="306"/>
      <c r="G51" s="306"/>
      <c r="H51" s="73" t="s">
        <v>47</v>
      </c>
      <c r="I51" s="307" t="e">
        <f>$F$8/$L$1*C51</f>
        <v>#REF!</v>
      </c>
      <c r="J51" s="307"/>
      <c r="K51" s="81" t="s">
        <v>53</v>
      </c>
      <c r="L51" s="82"/>
      <c r="M51" s="75" t="s">
        <v>61</v>
      </c>
      <c r="N51" s="73" t="s">
        <v>47</v>
      </c>
      <c r="O51" s="76">
        <f>'[2]LUONG T7'!K10</f>
        <v>0</v>
      </c>
      <c r="P51" s="77" t="s">
        <v>57</v>
      </c>
      <c r="Q51" s="306" t="s">
        <v>62</v>
      </c>
      <c r="R51" s="306"/>
      <c r="S51" s="306"/>
      <c r="T51" s="73" t="s">
        <v>47</v>
      </c>
      <c r="U51" s="307">
        <f>$F$8/$L$1*O51</f>
        <v>0</v>
      </c>
      <c r="V51" s="307"/>
      <c r="W51" s="81" t="s">
        <v>53</v>
      </c>
      <c r="X51" s="82"/>
    </row>
    <row r="52" spans="1:24" ht="18.75" customHeight="1">
      <c r="A52" s="75" t="s">
        <v>63</v>
      </c>
      <c r="B52" s="73" t="s">
        <v>47</v>
      </c>
      <c r="C52" s="76" t="e">
        <f>'[2]LUONG T7'!#REF!</f>
        <v>#REF!</v>
      </c>
      <c r="D52" s="77" t="s">
        <v>57</v>
      </c>
      <c r="E52" s="306" t="s">
        <v>64</v>
      </c>
      <c r="F52" s="306"/>
      <c r="G52" s="306"/>
      <c r="H52" s="73" t="s">
        <v>47</v>
      </c>
      <c r="I52" s="307" t="e">
        <f>$F$8/$L$1*C52</f>
        <v>#REF!</v>
      </c>
      <c r="J52" s="307"/>
      <c r="K52" s="81" t="s">
        <v>53</v>
      </c>
      <c r="L52" s="82"/>
      <c r="M52" s="75" t="s">
        <v>63</v>
      </c>
      <c r="N52" s="73" t="s">
        <v>47</v>
      </c>
      <c r="O52" s="76">
        <f>'[2]LUONG T7'!L10</f>
        <v>0</v>
      </c>
      <c r="P52" s="77" t="s">
        <v>57</v>
      </c>
      <c r="Q52" s="306" t="s">
        <v>64</v>
      </c>
      <c r="R52" s="306"/>
      <c r="S52" s="306"/>
      <c r="T52" s="73" t="s">
        <v>47</v>
      </c>
      <c r="U52" s="307">
        <f>$F$8/$L$1*O52</f>
        <v>0</v>
      </c>
      <c r="V52" s="307"/>
      <c r="W52" s="81" t="s">
        <v>53</v>
      </c>
      <c r="X52" s="82"/>
    </row>
    <row r="53" spans="1:24" ht="18.75" customHeight="1">
      <c r="A53" s="75" t="s">
        <v>65</v>
      </c>
      <c r="B53" s="73" t="s">
        <v>47</v>
      </c>
      <c r="C53" s="76" t="e">
        <f>'[2]LUONG T7'!#REF!</f>
        <v>#REF!</v>
      </c>
      <c r="D53" s="77" t="s">
        <v>66</v>
      </c>
      <c r="E53" s="296" t="s">
        <v>67</v>
      </c>
      <c r="F53" s="296"/>
      <c r="G53" s="296"/>
      <c r="H53" s="73" t="s">
        <v>47</v>
      </c>
      <c r="I53" s="307" t="e">
        <f>'[2]LUONG T7'!#REF!</f>
        <v>#REF!</v>
      </c>
      <c r="J53" s="307"/>
      <c r="K53" s="81" t="s">
        <v>53</v>
      </c>
      <c r="L53" s="82" t="e">
        <f>F46*C53/L39/8*1.5</f>
        <v>#REF!</v>
      </c>
      <c r="M53" s="75" t="s">
        <v>65</v>
      </c>
      <c r="N53" s="73" t="s">
        <v>47</v>
      </c>
      <c r="O53" s="76">
        <f>'[2]LUONG T7'!Q10</f>
        <v>53</v>
      </c>
      <c r="P53" s="77" t="s">
        <v>66</v>
      </c>
      <c r="Q53" s="296" t="s">
        <v>67</v>
      </c>
      <c r="R53" s="296"/>
      <c r="S53" s="296"/>
      <c r="T53" s="73" t="s">
        <v>47</v>
      </c>
      <c r="U53" s="307">
        <f>'[2]LUONG T7'!Q11</f>
        <v>2313357.8896551724</v>
      </c>
      <c r="V53" s="307"/>
      <c r="W53" s="81" t="s">
        <v>53</v>
      </c>
      <c r="X53" s="82">
        <f>R46*O53/X39/8*1.5</f>
        <v>1540710</v>
      </c>
    </row>
    <row r="54" spans="1:24" ht="18.75" customHeight="1">
      <c r="A54" s="295" t="s">
        <v>68</v>
      </c>
      <c r="B54" s="296"/>
      <c r="C54" s="76"/>
      <c r="D54" s="77" t="s">
        <v>57</v>
      </c>
      <c r="E54" s="296" t="s">
        <v>69</v>
      </c>
      <c r="F54" s="296"/>
      <c r="G54" s="296"/>
      <c r="H54" s="83" t="s">
        <v>47</v>
      </c>
      <c r="I54" s="307"/>
      <c r="J54" s="307"/>
      <c r="K54" s="81" t="s">
        <v>53</v>
      </c>
      <c r="L54" s="82"/>
      <c r="M54" s="295" t="s">
        <v>68</v>
      </c>
      <c r="N54" s="296"/>
      <c r="O54" s="76"/>
      <c r="P54" s="77" t="s">
        <v>57</v>
      </c>
      <c r="Q54" s="296" t="s">
        <v>69</v>
      </c>
      <c r="R54" s="296"/>
      <c r="S54" s="296"/>
      <c r="T54" s="83" t="s">
        <v>47</v>
      </c>
      <c r="U54" s="307"/>
      <c r="V54" s="307"/>
      <c r="W54" s="81" t="s">
        <v>53</v>
      </c>
      <c r="X54" s="82"/>
    </row>
    <row r="55" spans="1:24" ht="18.75" customHeight="1">
      <c r="A55" s="75" t="s">
        <v>70</v>
      </c>
      <c r="B55" s="73" t="s">
        <v>47</v>
      </c>
      <c r="C55" s="76"/>
      <c r="D55" s="77" t="s">
        <v>57</v>
      </c>
      <c r="E55" s="296" t="s">
        <v>71</v>
      </c>
      <c r="F55" s="296"/>
      <c r="G55" s="296"/>
      <c r="H55" s="73" t="s">
        <v>47</v>
      </c>
      <c r="I55" s="307"/>
      <c r="J55" s="307"/>
      <c r="K55" s="81" t="s">
        <v>53</v>
      </c>
      <c r="L55" s="82"/>
      <c r="M55" s="75" t="s">
        <v>70</v>
      </c>
      <c r="N55" s="73" t="s">
        <v>47</v>
      </c>
      <c r="O55" s="76"/>
      <c r="P55" s="77" t="s">
        <v>57</v>
      </c>
      <c r="Q55" s="296" t="s">
        <v>71</v>
      </c>
      <c r="R55" s="296"/>
      <c r="S55" s="296"/>
      <c r="T55" s="73" t="s">
        <v>47</v>
      </c>
      <c r="U55" s="307"/>
      <c r="V55" s="307"/>
      <c r="W55" s="81" t="s">
        <v>53</v>
      </c>
      <c r="X55" s="82"/>
    </row>
    <row r="56" spans="1:24" ht="18.75" customHeight="1">
      <c r="A56" s="84" t="s">
        <v>72</v>
      </c>
      <c r="B56" s="73"/>
      <c r="C56" s="76" t="e">
        <f>'[2]LUONG T7'!#REF!</f>
        <v>#REF!</v>
      </c>
      <c r="D56" s="77" t="s">
        <v>66</v>
      </c>
      <c r="E56" s="296" t="s">
        <v>73</v>
      </c>
      <c r="F56" s="296"/>
      <c r="G56" s="296"/>
      <c r="H56" s="73" t="s">
        <v>47</v>
      </c>
      <c r="I56" s="307" t="e">
        <f>$F$8*C56/8/$L$1</f>
        <v>#REF!</v>
      </c>
      <c r="J56" s="307"/>
      <c r="K56" s="81" t="s">
        <v>53</v>
      </c>
      <c r="L56" s="82"/>
      <c r="M56" s="84" t="s">
        <v>72</v>
      </c>
      <c r="N56" s="73"/>
      <c r="O56" s="76">
        <f>'[2]LUONG T7'!M10</f>
        <v>0</v>
      </c>
      <c r="P56" s="77" t="s">
        <v>66</v>
      </c>
      <c r="Q56" s="296" t="s">
        <v>73</v>
      </c>
      <c r="R56" s="296"/>
      <c r="S56" s="296"/>
      <c r="T56" s="73" t="s">
        <v>47</v>
      </c>
      <c r="U56" s="307">
        <f>$F$8*O56/8/$L$1</f>
        <v>0</v>
      </c>
      <c r="V56" s="307"/>
      <c r="W56" s="81" t="s">
        <v>53</v>
      </c>
      <c r="X56" s="82"/>
    </row>
    <row r="57" spans="1:24" ht="18.75" customHeight="1">
      <c r="A57" s="75" t="s">
        <v>74</v>
      </c>
      <c r="B57" s="73" t="s">
        <v>47</v>
      </c>
      <c r="C57" s="76"/>
      <c r="D57" s="77" t="s">
        <v>66</v>
      </c>
      <c r="E57" s="296" t="s">
        <v>98</v>
      </c>
      <c r="F57" s="296"/>
      <c r="G57" s="296"/>
      <c r="H57" s="73" t="s">
        <v>47</v>
      </c>
      <c r="I57" s="309">
        <v>240000</v>
      </c>
      <c r="J57" s="309"/>
      <c r="K57" s="81" t="s">
        <v>53</v>
      </c>
      <c r="L57" s="82"/>
      <c r="M57" s="75" t="s">
        <v>74</v>
      </c>
      <c r="N57" s="73" t="s">
        <v>47</v>
      </c>
      <c r="O57" s="76"/>
      <c r="P57" s="77" t="s">
        <v>66</v>
      </c>
      <c r="Q57" s="296" t="s">
        <v>75</v>
      </c>
      <c r="R57" s="296"/>
      <c r="S57" s="296"/>
      <c r="T57" s="73" t="s">
        <v>47</v>
      </c>
      <c r="U57" s="309">
        <v>232500</v>
      </c>
      <c r="V57" s="309"/>
      <c r="W57" s="81" t="s">
        <v>53</v>
      </c>
      <c r="X57" s="82"/>
    </row>
    <row r="58" spans="1:24" ht="18.75" customHeight="1">
      <c r="A58" s="75" t="s">
        <v>76</v>
      </c>
      <c r="B58" s="73" t="s">
        <v>47</v>
      </c>
      <c r="C58" s="76"/>
      <c r="D58" s="77" t="s">
        <v>77</v>
      </c>
      <c r="E58" s="85" t="s">
        <v>78</v>
      </c>
      <c r="F58" s="85"/>
      <c r="G58" s="85"/>
      <c r="H58" s="73" t="s">
        <v>47</v>
      </c>
      <c r="I58" s="307"/>
      <c r="J58" s="307"/>
      <c r="K58" s="81" t="s">
        <v>53</v>
      </c>
      <c r="L58" s="82" t="e">
        <f>+IF(L49-I49&lt;0,0,L49-I49)+IF(L53-I53&lt;0,0,L53-I53)</f>
        <v>#REF!</v>
      </c>
      <c r="M58" s="75" t="s">
        <v>76</v>
      </c>
      <c r="N58" s="73" t="s">
        <v>47</v>
      </c>
      <c r="O58" s="76"/>
      <c r="P58" s="77" t="s">
        <v>77</v>
      </c>
      <c r="Q58" s="85" t="s">
        <v>78</v>
      </c>
      <c r="R58" s="85"/>
      <c r="S58" s="85"/>
      <c r="T58" s="73" t="s">
        <v>47</v>
      </c>
      <c r="U58" s="307"/>
      <c r="V58" s="307"/>
      <c r="W58" s="81" t="s">
        <v>53</v>
      </c>
      <c r="X58" s="82">
        <f>+IF(X49-U49&lt;0,0,X49-U49)+IF(X53-U53&lt;0,0,X53-U53)</f>
        <v>0</v>
      </c>
    </row>
    <row r="59" spans="1:24" ht="18.75" customHeight="1">
      <c r="A59" s="86" t="s">
        <v>79</v>
      </c>
      <c r="B59" s="87"/>
      <c r="C59" s="76"/>
      <c r="D59" s="77" t="s">
        <v>57</v>
      </c>
      <c r="E59" s="296" t="s">
        <v>80</v>
      </c>
      <c r="F59" s="296"/>
      <c r="G59" s="296"/>
      <c r="H59" s="73" t="s">
        <v>47</v>
      </c>
      <c r="I59" s="307">
        <v>324000</v>
      </c>
      <c r="J59" s="307"/>
      <c r="K59" s="81" t="s">
        <v>53</v>
      </c>
      <c r="L59" s="82"/>
      <c r="M59" s="86" t="s">
        <v>79</v>
      </c>
      <c r="N59" s="87"/>
      <c r="O59" s="76"/>
      <c r="P59" s="77" t="s">
        <v>57</v>
      </c>
      <c r="Q59" s="296" t="s">
        <v>80</v>
      </c>
      <c r="R59" s="296"/>
      <c r="S59" s="296"/>
      <c r="T59" s="73" t="s">
        <v>47</v>
      </c>
      <c r="U59" s="307">
        <v>318000</v>
      </c>
      <c r="V59" s="307"/>
      <c r="W59" s="81" t="s">
        <v>53</v>
      </c>
      <c r="X59" s="82"/>
    </row>
    <row r="60" spans="1:24" ht="18.75" customHeight="1">
      <c r="A60" s="314" t="s">
        <v>81</v>
      </c>
      <c r="B60" s="308"/>
      <c r="C60" s="76"/>
      <c r="D60" s="77"/>
      <c r="E60" s="78"/>
      <c r="F60" s="78"/>
      <c r="G60" s="78"/>
      <c r="H60" s="73" t="s">
        <v>47</v>
      </c>
      <c r="I60" s="307" t="e">
        <f>'[2]LUONG T7'!#REF!</f>
        <v>#REF!</v>
      </c>
      <c r="J60" s="307"/>
      <c r="K60" s="81" t="s">
        <v>53</v>
      </c>
      <c r="L60" s="82"/>
      <c r="M60" s="314" t="s">
        <v>81</v>
      </c>
      <c r="N60" s="308"/>
      <c r="O60" s="76"/>
      <c r="P60" s="77"/>
      <c r="Q60" s="78"/>
      <c r="R60" s="78"/>
      <c r="S60" s="78"/>
      <c r="T60" s="73" t="s">
        <v>47</v>
      </c>
      <c r="U60" s="307">
        <f>'[2]LUONG T7'!P11</f>
        <v>0</v>
      </c>
      <c r="V60" s="307"/>
      <c r="W60" s="81" t="s">
        <v>53</v>
      </c>
      <c r="X60" s="82"/>
    </row>
    <row r="61" spans="1:24" ht="18.75" customHeight="1">
      <c r="A61" s="75" t="s">
        <v>82</v>
      </c>
      <c r="B61" s="73" t="s">
        <v>47</v>
      </c>
      <c r="C61" s="76"/>
      <c r="D61" s="77"/>
      <c r="E61" s="78" t="s">
        <v>83</v>
      </c>
      <c r="F61" s="78"/>
      <c r="G61" s="78"/>
      <c r="H61" s="73" t="s">
        <v>47</v>
      </c>
      <c r="I61" s="307" t="e">
        <f>L58</f>
        <v>#REF!</v>
      </c>
      <c r="J61" s="307"/>
      <c r="K61" s="81" t="s">
        <v>53</v>
      </c>
      <c r="L61" s="82"/>
      <c r="M61" s="75" t="s">
        <v>82</v>
      </c>
      <c r="N61" s="73" t="s">
        <v>47</v>
      </c>
      <c r="O61" s="76"/>
      <c r="P61" s="77"/>
      <c r="Q61" s="78" t="s">
        <v>83</v>
      </c>
      <c r="R61" s="78"/>
      <c r="S61" s="78"/>
      <c r="T61" s="73" t="s">
        <v>47</v>
      </c>
      <c r="U61" s="307">
        <f>X58</f>
        <v>0</v>
      </c>
      <c r="V61" s="307"/>
      <c r="W61" s="81" t="s">
        <v>53</v>
      </c>
      <c r="X61" s="82"/>
    </row>
    <row r="62" spans="1:24" ht="18.75" customHeight="1">
      <c r="A62" s="311" t="s">
        <v>84</v>
      </c>
      <c r="B62" s="312"/>
      <c r="C62" s="312"/>
      <c r="D62" s="312"/>
      <c r="E62" s="312"/>
      <c r="F62" s="312"/>
      <c r="G62" s="73" t="s">
        <v>47</v>
      </c>
      <c r="H62" s="313" t="e">
        <f>+I59+I49+I50+I51+I52+I53+I56+I60+I61+I57</f>
        <v>#REF!</v>
      </c>
      <c r="I62" s="313"/>
      <c r="J62" s="313"/>
      <c r="K62" s="81" t="s">
        <v>53</v>
      </c>
      <c r="M62" s="311" t="s">
        <v>84</v>
      </c>
      <c r="N62" s="312"/>
      <c r="O62" s="312"/>
      <c r="P62" s="312"/>
      <c r="Q62" s="312"/>
      <c r="R62" s="312"/>
      <c r="S62" s="73" t="s">
        <v>47</v>
      </c>
      <c r="T62" s="313">
        <f>+U59+U49+U50+U51+U52+U53+U56+U60+U61+U57</f>
        <v>8916416.8965517227</v>
      </c>
      <c r="U62" s="313"/>
      <c r="V62" s="313"/>
      <c r="W62" s="81" t="s">
        <v>53</v>
      </c>
    </row>
    <row r="63" spans="1:24" ht="18.75" customHeight="1">
      <c r="A63" s="88"/>
      <c r="B63" s="89"/>
      <c r="C63" s="89"/>
      <c r="D63" s="89"/>
      <c r="E63" s="89"/>
      <c r="F63" s="89"/>
      <c r="G63" s="89"/>
      <c r="H63" s="89"/>
      <c r="I63" s="89"/>
      <c r="J63" s="89"/>
      <c r="K63" s="90"/>
      <c r="M63" s="88"/>
      <c r="N63" s="89"/>
      <c r="O63" s="89"/>
      <c r="P63" s="89"/>
      <c r="Q63" s="89"/>
      <c r="R63" s="89"/>
      <c r="S63" s="89"/>
      <c r="T63" s="89"/>
      <c r="U63" s="89"/>
      <c r="V63" s="89"/>
      <c r="W63" s="90"/>
    </row>
    <row r="64" spans="1:24" ht="18.75" customHeight="1">
      <c r="A64" s="321" t="s">
        <v>85</v>
      </c>
      <c r="B64" s="322"/>
      <c r="C64" s="322"/>
      <c r="D64" s="322"/>
      <c r="E64" s="322"/>
      <c r="F64" s="322"/>
      <c r="G64" s="73"/>
      <c r="H64" s="73"/>
      <c r="I64" s="73"/>
      <c r="J64" s="73"/>
      <c r="K64" s="81"/>
      <c r="M64" s="321" t="s">
        <v>85</v>
      </c>
      <c r="N64" s="322"/>
      <c r="O64" s="322"/>
      <c r="P64" s="322"/>
      <c r="Q64" s="322"/>
      <c r="R64" s="322"/>
      <c r="S64" s="73"/>
      <c r="T64" s="73"/>
      <c r="U64" s="73"/>
      <c r="V64" s="73"/>
      <c r="W64" s="81"/>
    </row>
    <row r="65" spans="1:24" ht="18.75" customHeight="1">
      <c r="A65" s="315" t="s">
        <v>86</v>
      </c>
      <c r="B65" s="316"/>
      <c r="C65" s="316"/>
      <c r="D65" s="316"/>
      <c r="E65" s="316"/>
      <c r="F65" s="316"/>
      <c r="G65" s="73" t="s">
        <v>47</v>
      </c>
      <c r="H65" s="323" t="e">
        <f>IF(($L$1-(C49+C50+C51+C52))&gt;12,0,F46*8%)</f>
        <v>#REF!</v>
      </c>
      <c r="I65" s="323"/>
      <c r="J65" s="323"/>
      <c r="K65" s="81" t="s">
        <v>53</v>
      </c>
      <c r="M65" s="315" t="s">
        <v>86</v>
      </c>
      <c r="N65" s="316"/>
      <c r="O65" s="316"/>
      <c r="P65" s="316"/>
      <c r="Q65" s="316"/>
      <c r="R65" s="316"/>
      <c r="S65" s="73" t="s">
        <v>47</v>
      </c>
      <c r="T65" s="323">
        <f>IF(($L$1-(O49+O50+O51+O52))&gt;12,0,R46*8%)</f>
        <v>310080</v>
      </c>
      <c r="U65" s="323"/>
      <c r="V65" s="323"/>
      <c r="W65" s="81" t="s">
        <v>53</v>
      </c>
    </row>
    <row r="66" spans="1:24" ht="18.75" customHeight="1">
      <c r="A66" s="315" t="s">
        <v>87</v>
      </c>
      <c r="B66" s="316"/>
      <c r="C66" s="316"/>
      <c r="D66" s="316"/>
      <c r="E66" s="316"/>
      <c r="F66" s="316"/>
      <c r="G66" s="73" t="s">
        <v>47</v>
      </c>
      <c r="H66" s="317" t="e">
        <f>IF(($L$1-(C49+C50+C51+C52))&gt;12,0,F46*1.5%)</f>
        <v>#REF!</v>
      </c>
      <c r="I66" s="317"/>
      <c r="J66" s="317"/>
      <c r="K66" s="81" t="s">
        <v>53</v>
      </c>
      <c r="M66" s="315" t="s">
        <v>87</v>
      </c>
      <c r="N66" s="316"/>
      <c r="O66" s="316"/>
      <c r="P66" s="316"/>
      <c r="Q66" s="316"/>
      <c r="R66" s="316"/>
      <c r="S66" s="73" t="s">
        <v>47</v>
      </c>
      <c r="T66" s="317">
        <f>IF(($L$1-(O49+O50+O51+O52))&gt;12,0,R46*1.5%)</f>
        <v>58140</v>
      </c>
      <c r="U66" s="317"/>
      <c r="V66" s="317"/>
      <c r="W66" s="81" t="s">
        <v>53</v>
      </c>
    </row>
    <row r="67" spans="1:24" ht="18.75" customHeight="1">
      <c r="A67" s="315" t="s">
        <v>88</v>
      </c>
      <c r="B67" s="316"/>
      <c r="C67" s="316"/>
      <c r="D67" s="316"/>
      <c r="E67" s="316"/>
      <c r="F67" s="316"/>
      <c r="G67" s="73" t="s">
        <v>47</v>
      </c>
      <c r="H67" s="317" t="e">
        <f>IF(($L$1-(C49+C50+C51+C52))&gt;12,0,F46*1%)</f>
        <v>#REF!</v>
      </c>
      <c r="I67" s="317"/>
      <c r="J67" s="317"/>
      <c r="K67" s="81" t="s">
        <v>53</v>
      </c>
      <c r="M67" s="315" t="s">
        <v>88</v>
      </c>
      <c r="N67" s="316"/>
      <c r="O67" s="316"/>
      <c r="P67" s="316"/>
      <c r="Q67" s="316"/>
      <c r="R67" s="316"/>
      <c r="S67" s="73" t="s">
        <v>47</v>
      </c>
      <c r="T67" s="317">
        <f>IF(($L$1-(O49+O50+O51+O52))&gt;12,0,R46*1%)</f>
        <v>38760</v>
      </c>
      <c r="U67" s="317"/>
      <c r="V67" s="317"/>
      <c r="W67" s="81" t="s">
        <v>53</v>
      </c>
    </row>
    <row r="68" spans="1:24" ht="18.75" customHeight="1">
      <c r="A68" s="315" t="s">
        <v>89</v>
      </c>
      <c r="B68" s="316"/>
      <c r="C68" s="316"/>
      <c r="D68" s="316"/>
      <c r="E68" s="316"/>
      <c r="F68" s="316"/>
      <c r="G68" s="73" t="s">
        <v>47</v>
      </c>
      <c r="H68" s="317">
        <v>0</v>
      </c>
      <c r="I68" s="317"/>
      <c r="J68" s="317"/>
      <c r="K68" s="81" t="s">
        <v>53</v>
      </c>
      <c r="M68" s="315" t="s">
        <v>89</v>
      </c>
      <c r="N68" s="316"/>
      <c r="O68" s="316"/>
      <c r="P68" s="316"/>
      <c r="Q68" s="316"/>
      <c r="R68" s="316"/>
      <c r="S68" s="73" t="s">
        <v>47</v>
      </c>
      <c r="T68" s="317">
        <v>0</v>
      </c>
      <c r="U68" s="317"/>
      <c r="V68" s="317"/>
      <c r="W68" s="81" t="s">
        <v>53</v>
      </c>
    </row>
    <row r="69" spans="1:24" ht="18.75" customHeight="1">
      <c r="A69" s="318" t="s">
        <v>90</v>
      </c>
      <c r="B69" s="319"/>
      <c r="C69" s="319"/>
      <c r="D69" s="319"/>
      <c r="E69" s="319"/>
      <c r="F69" s="319"/>
      <c r="G69" s="73" t="s">
        <v>47</v>
      </c>
      <c r="H69" s="320" t="e">
        <f>SUM(H65:J68)</f>
        <v>#REF!</v>
      </c>
      <c r="I69" s="320"/>
      <c r="J69" s="320"/>
      <c r="K69" s="81" t="s">
        <v>53</v>
      </c>
      <c r="M69" s="318" t="s">
        <v>90</v>
      </c>
      <c r="N69" s="319"/>
      <c r="O69" s="319"/>
      <c r="P69" s="319"/>
      <c r="Q69" s="319"/>
      <c r="R69" s="319"/>
      <c r="S69" s="73" t="s">
        <v>47</v>
      </c>
      <c r="T69" s="320">
        <f>SUM(T65:V68)</f>
        <v>406980</v>
      </c>
      <c r="U69" s="320"/>
      <c r="V69" s="320"/>
      <c r="W69" s="81" t="s">
        <v>53</v>
      </c>
    </row>
    <row r="70" spans="1:24" ht="18.75" customHeight="1">
      <c r="A70" s="315" t="s">
        <v>91</v>
      </c>
      <c r="B70" s="316"/>
      <c r="C70" s="316"/>
      <c r="D70" s="316"/>
      <c r="E70" s="316"/>
      <c r="F70" s="316"/>
      <c r="G70" s="73" t="s">
        <v>47</v>
      </c>
      <c r="H70" s="327" t="e">
        <f>ROUND(H62-H69,-2)</f>
        <v>#REF!</v>
      </c>
      <c r="I70" s="327"/>
      <c r="J70" s="327"/>
      <c r="K70" s="81" t="s">
        <v>53</v>
      </c>
      <c r="M70" s="315" t="s">
        <v>91</v>
      </c>
      <c r="N70" s="316"/>
      <c r="O70" s="316"/>
      <c r="P70" s="316"/>
      <c r="Q70" s="316"/>
      <c r="R70" s="316"/>
      <c r="S70" s="73" t="s">
        <v>47</v>
      </c>
      <c r="T70" s="327">
        <f>ROUND(T62-T69,-2)</f>
        <v>8509400</v>
      </c>
      <c r="U70" s="327"/>
      <c r="V70" s="327"/>
      <c r="W70" s="81" t="s">
        <v>53</v>
      </c>
    </row>
    <row r="71" spans="1:24" ht="18.75" customHeight="1">
      <c r="A71" s="91"/>
      <c r="B71" s="92"/>
      <c r="C71" s="92"/>
      <c r="D71" s="92"/>
      <c r="E71" s="92"/>
      <c r="F71" s="92"/>
      <c r="G71" s="92"/>
      <c r="H71" s="92"/>
      <c r="I71" s="92"/>
      <c r="J71" s="92"/>
      <c r="K71" s="93"/>
      <c r="M71" s="91"/>
      <c r="N71" s="92"/>
      <c r="O71" s="92"/>
      <c r="P71" s="92"/>
      <c r="Q71" s="92"/>
      <c r="R71" s="92"/>
      <c r="S71" s="92"/>
      <c r="T71" s="92"/>
      <c r="U71" s="92"/>
      <c r="V71" s="92"/>
      <c r="W71" s="93"/>
    </row>
    <row r="72" spans="1:24" ht="18.75" customHeight="1">
      <c r="A72" s="94"/>
      <c r="B72" s="73"/>
      <c r="C72" s="73"/>
      <c r="D72" s="73"/>
      <c r="E72" s="73"/>
      <c r="F72" s="73"/>
      <c r="G72" s="73"/>
      <c r="H72" s="73"/>
      <c r="I72" s="324" t="s">
        <v>92</v>
      </c>
      <c r="J72" s="324"/>
      <c r="K72" s="328"/>
      <c r="M72" s="94"/>
      <c r="N72" s="73"/>
      <c r="O72" s="73"/>
      <c r="P72" s="73"/>
      <c r="Q72" s="73"/>
      <c r="R72" s="73"/>
      <c r="S72" s="73"/>
      <c r="T72" s="73"/>
      <c r="U72" s="324" t="s">
        <v>92</v>
      </c>
      <c r="V72" s="324"/>
      <c r="W72" s="328"/>
    </row>
    <row r="73" spans="1:24" ht="18.75" customHeight="1">
      <c r="A73" s="94"/>
      <c r="B73" s="324"/>
      <c r="C73" s="324"/>
      <c r="D73" s="324"/>
      <c r="E73" s="324"/>
      <c r="F73" s="73"/>
      <c r="G73" s="73"/>
      <c r="H73" s="73"/>
      <c r="I73" s="73"/>
      <c r="J73" s="73"/>
      <c r="K73" s="74"/>
      <c r="M73" s="94"/>
      <c r="N73" s="324"/>
      <c r="O73" s="324"/>
      <c r="P73" s="324"/>
      <c r="Q73" s="324"/>
      <c r="R73" s="73"/>
      <c r="S73" s="73"/>
      <c r="T73" s="73"/>
      <c r="U73" s="73"/>
      <c r="V73" s="73"/>
      <c r="W73" s="74"/>
    </row>
    <row r="74" spans="1:24" ht="18.75" customHeight="1" thickBot="1">
      <c r="A74" s="95"/>
      <c r="B74" s="96"/>
      <c r="C74" s="96"/>
      <c r="D74" s="96"/>
      <c r="E74" s="96"/>
      <c r="F74" s="96"/>
      <c r="G74" s="96"/>
      <c r="H74" s="96"/>
      <c r="I74" s="325" t="s">
        <v>93</v>
      </c>
      <c r="J74" s="325"/>
      <c r="K74" s="326"/>
      <c r="M74" s="95"/>
      <c r="N74" s="96"/>
      <c r="O74" s="96"/>
      <c r="P74" s="96"/>
      <c r="Q74" s="96"/>
      <c r="R74" s="96"/>
      <c r="S74" s="96"/>
      <c r="T74" s="96"/>
      <c r="U74" s="325" t="s">
        <v>93</v>
      </c>
      <c r="V74" s="325"/>
      <c r="W74" s="326"/>
    </row>
    <row r="76" spans="1:24" ht="18.75" customHeight="1" thickTop="1">
      <c r="A76" s="300" t="s">
        <v>41</v>
      </c>
      <c r="B76" s="301"/>
      <c r="C76" s="301"/>
      <c r="D76" s="301"/>
      <c r="E76" s="301"/>
      <c r="F76" s="301"/>
      <c r="G76" s="301"/>
      <c r="H76" s="301"/>
      <c r="I76" s="301"/>
      <c r="J76" s="301"/>
      <c r="K76" s="302"/>
      <c r="L76" s="69">
        <v>25</v>
      </c>
      <c r="M76" s="300" t="s">
        <v>41</v>
      </c>
      <c r="N76" s="301"/>
      <c r="O76" s="301"/>
      <c r="P76" s="301"/>
      <c r="Q76" s="301"/>
      <c r="R76" s="301"/>
      <c r="S76" s="301"/>
      <c r="T76" s="301"/>
      <c r="U76" s="301"/>
      <c r="V76" s="301"/>
      <c r="W76" s="302"/>
      <c r="X76" s="69">
        <v>25</v>
      </c>
    </row>
    <row r="77" spans="1:24" ht="18.75" customHeight="1">
      <c r="A77" s="70" t="s">
        <v>99</v>
      </c>
      <c r="B77" s="71"/>
      <c r="C77" s="71"/>
      <c r="D77" s="71"/>
      <c r="E77" s="71"/>
      <c r="F77" s="71"/>
      <c r="G77" s="71"/>
      <c r="H77" s="71"/>
      <c r="I77" s="71"/>
      <c r="J77" s="71"/>
      <c r="K77" s="72"/>
      <c r="M77" s="70" t="s">
        <v>100</v>
      </c>
      <c r="N77" s="71"/>
      <c r="O77" s="71"/>
      <c r="P77" s="71"/>
      <c r="Q77" s="71"/>
      <c r="R77" s="71"/>
      <c r="S77" s="71"/>
      <c r="T77" s="71"/>
      <c r="U77" s="71"/>
      <c r="V77" s="71"/>
      <c r="W77" s="72"/>
    </row>
    <row r="78" spans="1:24" ht="18.75" customHeight="1">
      <c r="A78" s="303" t="s">
        <v>45</v>
      </c>
      <c r="B78" s="304"/>
      <c r="C78" s="304"/>
      <c r="D78" s="304"/>
      <c r="E78" s="304"/>
      <c r="F78" s="304"/>
      <c r="G78" s="304"/>
      <c r="H78" s="304"/>
      <c r="I78" s="304"/>
      <c r="J78" s="304"/>
      <c r="K78" s="305"/>
      <c r="M78" s="303" t="s">
        <v>45</v>
      </c>
      <c r="N78" s="304"/>
      <c r="O78" s="304"/>
      <c r="P78" s="304"/>
      <c r="Q78" s="304"/>
      <c r="R78" s="304"/>
      <c r="S78" s="304"/>
      <c r="T78" s="304"/>
      <c r="U78" s="304"/>
      <c r="V78" s="304"/>
      <c r="W78" s="305"/>
    </row>
    <row r="79" spans="1:24" ht="18.75" customHeight="1">
      <c r="A79" s="295" t="s">
        <v>46</v>
      </c>
      <c r="B79" s="296"/>
      <c r="C79" s="296"/>
      <c r="D79" s="296"/>
      <c r="E79" s="73" t="s">
        <v>47</v>
      </c>
      <c r="F79" s="297" t="s">
        <v>101</v>
      </c>
      <c r="G79" s="296"/>
      <c r="H79" s="296"/>
      <c r="I79" s="296"/>
      <c r="J79" s="296"/>
      <c r="K79" s="299"/>
      <c r="M79" s="295" t="s">
        <v>46</v>
      </c>
      <c r="N79" s="296"/>
      <c r="O79" s="296"/>
      <c r="P79" s="296"/>
      <c r="Q79" s="73" t="s">
        <v>47</v>
      </c>
      <c r="R79" s="297" t="s">
        <v>102</v>
      </c>
      <c r="S79" s="296"/>
      <c r="T79" s="296"/>
      <c r="U79" s="296"/>
      <c r="V79" s="296"/>
      <c r="W79" s="299"/>
    </row>
    <row r="80" spans="1:24" ht="18.75" customHeight="1">
      <c r="A80" s="295" t="s">
        <v>49</v>
      </c>
      <c r="B80" s="296"/>
      <c r="C80" s="296"/>
      <c r="D80" s="296"/>
      <c r="E80" s="73" t="s">
        <v>47</v>
      </c>
      <c r="F80" s="297">
        <v>50091</v>
      </c>
      <c r="G80" s="297"/>
      <c r="H80" s="297"/>
      <c r="I80" s="297"/>
      <c r="J80" s="297"/>
      <c r="K80" s="298"/>
      <c r="M80" s="295" t="s">
        <v>49</v>
      </c>
      <c r="N80" s="296"/>
      <c r="O80" s="296"/>
      <c r="P80" s="296"/>
      <c r="Q80" s="73" t="s">
        <v>47</v>
      </c>
      <c r="R80" s="297">
        <v>50112</v>
      </c>
      <c r="S80" s="297"/>
      <c r="T80" s="297"/>
      <c r="U80" s="297"/>
      <c r="V80" s="297"/>
      <c r="W80" s="298"/>
    </row>
    <row r="81" spans="1:24" ht="18.75" customHeight="1">
      <c r="A81" s="295" t="s">
        <v>50</v>
      </c>
      <c r="B81" s="296"/>
      <c r="C81" s="296"/>
      <c r="D81" s="296"/>
      <c r="E81" s="73" t="s">
        <v>47</v>
      </c>
      <c r="F81" s="296" t="str">
        <f>$L$2</f>
        <v>Gián tiếp</v>
      </c>
      <c r="G81" s="296"/>
      <c r="H81" s="296"/>
      <c r="I81" s="296"/>
      <c r="J81" s="296"/>
      <c r="K81" s="299"/>
      <c r="M81" s="295" t="s">
        <v>50</v>
      </c>
      <c r="N81" s="296"/>
      <c r="O81" s="296"/>
      <c r="P81" s="296"/>
      <c r="Q81" s="73" t="s">
        <v>47</v>
      </c>
      <c r="R81" s="296" t="str">
        <f>$L$2</f>
        <v>Gián tiếp</v>
      </c>
      <c r="S81" s="296"/>
      <c r="T81" s="296"/>
      <c r="U81" s="296"/>
      <c r="V81" s="296"/>
      <c r="W81" s="299"/>
    </row>
    <row r="82" spans="1:24" ht="18.75" customHeight="1">
      <c r="A82" s="303" t="s">
        <v>51</v>
      </c>
      <c r="B82" s="304"/>
      <c r="C82" s="304"/>
      <c r="D82" s="304"/>
      <c r="E82" s="304"/>
      <c r="F82" s="304"/>
      <c r="G82" s="304"/>
      <c r="H82" s="304"/>
      <c r="I82" s="304"/>
      <c r="J82" s="304"/>
      <c r="K82" s="305"/>
      <c r="M82" s="303" t="s">
        <v>51</v>
      </c>
      <c r="N82" s="304"/>
      <c r="O82" s="304"/>
      <c r="P82" s="304"/>
      <c r="Q82" s="304"/>
      <c r="R82" s="304"/>
      <c r="S82" s="304"/>
      <c r="T82" s="304"/>
      <c r="U82" s="304"/>
      <c r="V82" s="304"/>
      <c r="W82" s="305"/>
    </row>
    <row r="83" spans="1:24" ht="18.75" customHeight="1">
      <c r="A83" s="295" t="s">
        <v>52</v>
      </c>
      <c r="B83" s="296"/>
      <c r="C83" s="296"/>
      <c r="D83" s="296"/>
      <c r="E83" s="73" t="s">
        <v>47</v>
      </c>
      <c r="F83" s="310">
        <v>3876000</v>
      </c>
      <c r="G83" s="310"/>
      <c r="H83" s="310"/>
      <c r="I83" s="310"/>
      <c r="J83" s="73" t="s">
        <v>53</v>
      </c>
      <c r="K83" s="74"/>
      <c r="M83" s="295" t="s">
        <v>52</v>
      </c>
      <c r="N83" s="296"/>
      <c r="O83" s="296"/>
      <c r="P83" s="296"/>
      <c r="Q83" s="73" t="s">
        <v>47</v>
      </c>
      <c r="R83" s="310">
        <v>3876000</v>
      </c>
      <c r="S83" s="310"/>
      <c r="T83" s="310"/>
      <c r="U83" s="310"/>
      <c r="V83" s="73" t="s">
        <v>53</v>
      </c>
      <c r="W83" s="74"/>
    </row>
    <row r="84" spans="1:24" ht="18.75" customHeight="1">
      <c r="A84" s="75" t="s">
        <v>54</v>
      </c>
      <c r="B84" s="73"/>
      <c r="C84" s="76"/>
      <c r="D84" s="77"/>
      <c r="E84" s="78"/>
      <c r="F84" s="78"/>
      <c r="G84" s="78"/>
      <c r="H84" s="73"/>
      <c r="I84" s="79">
        <f>'[2]LUONG T7'!F13</f>
        <v>8116.3461538461534</v>
      </c>
      <c r="J84" s="80"/>
      <c r="K84" s="81"/>
      <c r="M84" s="75" t="s">
        <v>54</v>
      </c>
      <c r="N84" s="73"/>
      <c r="O84" s="76"/>
      <c r="P84" s="77"/>
      <c r="Q84" s="78"/>
      <c r="R84" s="78"/>
      <c r="S84" s="78"/>
      <c r="T84" s="73"/>
      <c r="U84" s="79">
        <f>'[2]LUONG T7'!F15</f>
        <v>6173.0769230769238</v>
      </c>
      <c r="V84" s="80"/>
      <c r="W84" s="81"/>
    </row>
    <row r="85" spans="1:24" ht="18.75" customHeight="1">
      <c r="A85" s="75" t="s">
        <v>55</v>
      </c>
      <c r="B85" s="73"/>
      <c r="C85" s="76"/>
      <c r="D85" s="77"/>
      <c r="E85" s="78"/>
      <c r="F85" s="78"/>
      <c r="G85" s="78"/>
      <c r="H85" s="73"/>
      <c r="I85" s="79">
        <f>I86/C86/8</f>
        <v>25933.19277108433</v>
      </c>
      <c r="J85" s="80"/>
      <c r="K85" s="81"/>
      <c r="M85" s="75" t="s">
        <v>55</v>
      </c>
      <c r="N85" s="73"/>
      <c r="O85" s="76"/>
      <c r="P85" s="77"/>
      <c r="Q85" s="78"/>
      <c r="R85" s="78"/>
      <c r="S85" s="78"/>
      <c r="T85" s="73"/>
      <c r="U85" s="79">
        <f>U86/O86/8</f>
        <v>19724.096385542169</v>
      </c>
      <c r="V85" s="80"/>
      <c r="W85" s="81"/>
    </row>
    <row r="86" spans="1:24" ht="18.75" customHeight="1">
      <c r="A86" s="75" t="s">
        <v>56</v>
      </c>
      <c r="B86" s="73" t="s">
        <v>47</v>
      </c>
      <c r="C86" s="76">
        <f>'[2]LUONG T7'!I12</f>
        <v>25</v>
      </c>
      <c r="D86" s="77" t="s">
        <v>57</v>
      </c>
      <c r="E86" s="308" t="s">
        <v>58</v>
      </c>
      <c r="F86" s="308"/>
      <c r="G86" s="308"/>
      <c r="H86" s="73" t="s">
        <v>47</v>
      </c>
      <c r="I86" s="309">
        <f>'[2]LUONG T7'!I13</f>
        <v>5186638.5542168664</v>
      </c>
      <c r="J86" s="309"/>
      <c r="K86" s="81" t="s">
        <v>53</v>
      </c>
      <c r="L86" s="82">
        <f>F83/L76*C86</f>
        <v>3876000</v>
      </c>
      <c r="M86" s="75" t="s">
        <v>56</v>
      </c>
      <c r="N86" s="73" t="s">
        <v>47</v>
      </c>
      <c r="O86" s="76">
        <f>'[2]LUONG T7'!I14</f>
        <v>25</v>
      </c>
      <c r="P86" s="77" t="s">
        <v>57</v>
      </c>
      <c r="Q86" s="308" t="s">
        <v>58</v>
      </c>
      <c r="R86" s="308"/>
      <c r="S86" s="308"/>
      <c r="T86" s="73" t="s">
        <v>47</v>
      </c>
      <c r="U86" s="309">
        <f>'[2]LUONG T7'!I15</f>
        <v>3944819.2771084337</v>
      </c>
      <c r="V86" s="309"/>
      <c r="W86" s="81" t="s">
        <v>53</v>
      </c>
      <c r="X86" s="82">
        <f>R83/X76*O86</f>
        <v>3876000</v>
      </c>
    </row>
    <row r="87" spans="1:24" ht="18.75" customHeight="1">
      <c r="A87" s="75" t="s">
        <v>59</v>
      </c>
      <c r="B87" s="73" t="s">
        <v>47</v>
      </c>
      <c r="C87" s="76">
        <f>'[2]LUONG T7'!J12</f>
        <v>1</v>
      </c>
      <c r="D87" s="77" t="s">
        <v>57</v>
      </c>
      <c r="E87" s="296" t="s">
        <v>60</v>
      </c>
      <c r="F87" s="296"/>
      <c r="G87" s="296"/>
      <c r="H87" s="73" t="s">
        <v>47</v>
      </c>
      <c r="I87" s="307">
        <f>$F$8/$L$1*C87</f>
        <v>149076.92307692306</v>
      </c>
      <c r="J87" s="307"/>
      <c r="K87" s="81" t="s">
        <v>53</v>
      </c>
      <c r="L87" s="82"/>
      <c r="M87" s="75" t="s">
        <v>59</v>
      </c>
      <c r="N87" s="73" t="s">
        <v>47</v>
      </c>
      <c r="O87" s="76">
        <f>'[2]LUONG T7'!J14</f>
        <v>1</v>
      </c>
      <c r="P87" s="77" t="s">
        <v>57</v>
      </c>
      <c r="Q87" s="296" t="s">
        <v>60</v>
      </c>
      <c r="R87" s="296"/>
      <c r="S87" s="296"/>
      <c r="T87" s="73" t="s">
        <v>47</v>
      </c>
      <c r="U87" s="307">
        <f>$F$8/$L$1*O87</f>
        <v>149076.92307692306</v>
      </c>
      <c r="V87" s="307"/>
      <c r="W87" s="81" t="s">
        <v>53</v>
      </c>
      <c r="X87" s="82"/>
    </row>
    <row r="88" spans="1:24" ht="18.75" customHeight="1">
      <c r="A88" s="75" t="s">
        <v>61</v>
      </c>
      <c r="B88" s="73" t="s">
        <v>47</v>
      </c>
      <c r="C88" s="76">
        <f>'[2]LUONG T7'!K12</f>
        <v>0</v>
      </c>
      <c r="D88" s="77" t="s">
        <v>57</v>
      </c>
      <c r="E88" s="306" t="s">
        <v>62</v>
      </c>
      <c r="F88" s="306"/>
      <c r="G88" s="306"/>
      <c r="H88" s="73" t="s">
        <v>47</v>
      </c>
      <c r="I88" s="307">
        <f>$F$8/$L$1*C88</f>
        <v>0</v>
      </c>
      <c r="J88" s="307"/>
      <c r="K88" s="81" t="s">
        <v>53</v>
      </c>
      <c r="L88" s="82"/>
      <c r="M88" s="75" t="s">
        <v>61</v>
      </c>
      <c r="N88" s="73" t="s">
        <v>47</v>
      </c>
      <c r="O88" s="76">
        <f>'[2]LUONG T7'!K14</f>
        <v>0</v>
      </c>
      <c r="P88" s="77" t="s">
        <v>57</v>
      </c>
      <c r="Q88" s="306" t="s">
        <v>62</v>
      </c>
      <c r="R88" s="306"/>
      <c r="S88" s="306"/>
      <c r="T88" s="73" t="s">
        <v>47</v>
      </c>
      <c r="U88" s="307">
        <f>$F$8/$L$1*O88</f>
        <v>0</v>
      </c>
      <c r="V88" s="307"/>
      <c r="W88" s="81" t="s">
        <v>53</v>
      </c>
      <c r="X88" s="82"/>
    </row>
    <row r="89" spans="1:24" ht="18.75" customHeight="1">
      <c r="A89" s="75" t="s">
        <v>63</v>
      </c>
      <c r="B89" s="73" t="s">
        <v>47</v>
      </c>
      <c r="C89" s="76">
        <f>'[2]LUONG T7'!L12</f>
        <v>0</v>
      </c>
      <c r="D89" s="77" t="s">
        <v>57</v>
      </c>
      <c r="E89" s="306" t="s">
        <v>64</v>
      </c>
      <c r="F89" s="306"/>
      <c r="G89" s="306"/>
      <c r="H89" s="73" t="s">
        <v>47</v>
      </c>
      <c r="I89" s="307">
        <f>$F$8/$L$1*C89</f>
        <v>0</v>
      </c>
      <c r="J89" s="307"/>
      <c r="K89" s="81" t="s">
        <v>53</v>
      </c>
      <c r="L89" s="82"/>
      <c r="M89" s="75" t="s">
        <v>63</v>
      </c>
      <c r="N89" s="73" t="s">
        <v>47</v>
      </c>
      <c r="O89" s="76">
        <f>'[2]LUONG T7'!L14</f>
        <v>0</v>
      </c>
      <c r="P89" s="77" t="s">
        <v>57</v>
      </c>
      <c r="Q89" s="306" t="s">
        <v>64</v>
      </c>
      <c r="R89" s="306"/>
      <c r="S89" s="306"/>
      <c r="T89" s="73" t="s">
        <v>47</v>
      </c>
      <c r="U89" s="307">
        <f>$F$8/$L$1*O89</f>
        <v>0</v>
      </c>
      <c r="V89" s="307"/>
      <c r="W89" s="81" t="s">
        <v>53</v>
      </c>
      <c r="X89" s="82"/>
    </row>
    <row r="90" spans="1:24" ht="18.75" customHeight="1">
      <c r="A90" s="75" t="s">
        <v>65</v>
      </c>
      <c r="B90" s="73" t="s">
        <v>47</v>
      </c>
      <c r="C90" s="76">
        <f>'[2]LUONG T7'!Q12</f>
        <v>49</v>
      </c>
      <c r="D90" s="77" t="s">
        <v>66</v>
      </c>
      <c r="E90" s="296" t="s">
        <v>67</v>
      </c>
      <c r="F90" s="296"/>
      <c r="G90" s="296"/>
      <c r="H90" s="73" t="s">
        <v>47</v>
      </c>
      <c r="I90" s="307">
        <f>'[2]LUONG T7'!Q13</f>
        <v>1906089.6686746983</v>
      </c>
      <c r="J90" s="307"/>
      <c r="K90" s="81" t="s">
        <v>53</v>
      </c>
      <c r="L90" s="82">
        <f>F83*C90/L76/8*1.5</f>
        <v>1424430</v>
      </c>
      <c r="M90" s="75" t="s">
        <v>65</v>
      </c>
      <c r="N90" s="73" t="s">
        <v>47</v>
      </c>
      <c r="O90" s="76">
        <f>'[2]LUONG T7'!Q14</f>
        <v>49</v>
      </c>
      <c r="P90" s="77" t="s">
        <v>66</v>
      </c>
      <c r="Q90" s="296" t="s">
        <v>67</v>
      </c>
      <c r="R90" s="296"/>
      <c r="S90" s="296"/>
      <c r="T90" s="73" t="s">
        <v>47</v>
      </c>
      <c r="U90" s="307">
        <f>'[2]LUONG T7'!Q15</f>
        <v>1449721.0843373495</v>
      </c>
      <c r="V90" s="307"/>
      <c r="W90" s="81" t="s">
        <v>53</v>
      </c>
      <c r="X90" s="82">
        <f>R83*O90/X76/8*1.5</f>
        <v>1424430</v>
      </c>
    </row>
    <row r="91" spans="1:24" ht="18.75" customHeight="1">
      <c r="A91" s="295" t="s">
        <v>68</v>
      </c>
      <c r="B91" s="296"/>
      <c r="C91" s="76"/>
      <c r="D91" s="77" t="s">
        <v>57</v>
      </c>
      <c r="E91" s="296" t="s">
        <v>69</v>
      </c>
      <c r="F91" s="296"/>
      <c r="G91" s="296"/>
      <c r="H91" s="83" t="s">
        <v>47</v>
      </c>
      <c r="I91" s="307"/>
      <c r="J91" s="307"/>
      <c r="K91" s="81" t="s">
        <v>53</v>
      </c>
      <c r="L91" s="82"/>
      <c r="M91" s="295" t="s">
        <v>68</v>
      </c>
      <c r="N91" s="296"/>
      <c r="O91" s="76"/>
      <c r="P91" s="77" t="s">
        <v>57</v>
      </c>
      <c r="Q91" s="296" t="s">
        <v>69</v>
      </c>
      <c r="R91" s="296"/>
      <c r="S91" s="296"/>
      <c r="T91" s="83" t="s">
        <v>47</v>
      </c>
      <c r="U91" s="307"/>
      <c r="V91" s="307"/>
      <c r="W91" s="81" t="s">
        <v>53</v>
      </c>
      <c r="X91" s="82"/>
    </row>
    <row r="92" spans="1:24" ht="18.75" customHeight="1">
      <c r="A92" s="75" t="s">
        <v>70</v>
      </c>
      <c r="B92" s="73" t="s">
        <v>47</v>
      </c>
      <c r="C92" s="76"/>
      <c r="D92" s="77" t="s">
        <v>57</v>
      </c>
      <c r="E92" s="296" t="s">
        <v>71</v>
      </c>
      <c r="F92" s="296"/>
      <c r="G92" s="296"/>
      <c r="H92" s="73" t="s">
        <v>47</v>
      </c>
      <c r="I92" s="307"/>
      <c r="J92" s="307"/>
      <c r="K92" s="81" t="s">
        <v>53</v>
      </c>
      <c r="L92" s="82"/>
      <c r="M92" s="75" t="s">
        <v>70</v>
      </c>
      <c r="N92" s="73" t="s">
        <v>47</v>
      </c>
      <c r="O92" s="76"/>
      <c r="P92" s="77" t="s">
        <v>57</v>
      </c>
      <c r="Q92" s="296" t="s">
        <v>71</v>
      </c>
      <c r="R92" s="296"/>
      <c r="S92" s="296"/>
      <c r="T92" s="73" t="s">
        <v>47</v>
      </c>
      <c r="U92" s="307"/>
      <c r="V92" s="307"/>
      <c r="W92" s="81" t="s">
        <v>53</v>
      </c>
      <c r="X92" s="82"/>
    </row>
    <row r="93" spans="1:24" ht="18.75" customHeight="1">
      <c r="A93" s="84" t="s">
        <v>72</v>
      </c>
      <c r="B93" s="73"/>
      <c r="C93" s="76">
        <f>'[2]LUONG T7'!M12</f>
        <v>0</v>
      </c>
      <c r="D93" s="77" t="s">
        <v>66</v>
      </c>
      <c r="E93" s="296" t="s">
        <v>73</v>
      </c>
      <c r="F93" s="296"/>
      <c r="G93" s="296"/>
      <c r="H93" s="73" t="s">
        <v>47</v>
      </c>
      <c r="I93" s="307">
        <f>$F$8*C93/8/$L$1</f>
        <v>0</v>
      </c>
      <c r="J93" s="307"/>
      <c r="K93" s="81" t="s">
        <v>53</v>
      </c>
      <c r="L93" s="82"/>
      <c r="M93" s="84" t="s">
        <v>72</v>
      </c>
      <c r="N93" s="73"/>
      <c r="O93" s="76">
        <f>'[2]LUONG T7'!M14</f>
        <v>0</v>
      </c>
      <c r="P93" s="77" t="s">
        <v>66</v>
      </c>
      <c r="Q93" s="296" t="s">
        <v>73</v>
      </c>
      <c r="R93" s="296"/>
      <c r="S93" s="296"/>
      <c r="T93" s="73" t="s">
        <v>47</v>
      </c>
      <c r="U93" s="307">
        <f>$F$8*O93/8/$L$1</f>
        <v>0</v>
      </c>
      <c r="V93" s="307"/>
      <c r="W93" s="81" t="s">
        <v>53</v>
      </c>
      <c r="X93" s="82"/>
    </row>
    <row r="94" spans="1:24" ht="18.75" customHeight="1">
      <c r="A94" s="75" t="s">
        <v>74</v>
      </c>
      <c r="B94" s="73" t="s">
        <v>47</v>
      </c>
      <c r="C94" s="76"/>
      <c r="D94" s="77" t="s">
        <v>66</v>
      </c>
      <c r="E94" s="296" t="s">
        <v>75</v>
      </c>
      <c r="F94" s="296"/>
      <c r="G94" s="296"/>
      <c r="H94" s="73" t="s">
        <v>47</v>
      </c>
      <c r="I94" s="309"/>
      <c r="J94" s="309"/>
      <c r="K94" s="81" t="s">
        <v>53</v>
      </c>
      <c r="L94" s="82"/>
      <c r="M94" s="75" t="s">
        <v>103</v>
      </c>
      <c r="N94" s="73" t="s">
        <v>47</v>
      </c>
      <c r="O94" s="76"/>
      <c r="P94" s="77" t="s">
        <v>66</v>
      </c>
      <c r="Q94" s="296" t="s">
        <v>75</v>
      </c>
      <c r="R94" s="296"/>
      <c r="S94" s="296"/>
      <c r="T94" s="73" t="s">
        <v>47</v>
      </c>
      <c r="U94" s="309"/>
      <c r="V94" s="309"/>
      <c r="W94" s="81" t="s">
        <v>53</v>
      </c>
      <c r="X94" s="82"/>
    </row>
    <row r="95" spans="1:24" ht="18.75" customHeight="1">
      <c r="A95" s="75" t="s">
        <v>76</v>
      </c>
      <c r="B95" s="73" t="s">
        <v>47</v>
      </c>
      <c r="C95" s="76"/>
      <c r="D95" s="77" t="s">
        <v>77</v>
      </c>
      <c r="E95" s="85" t="s">
        <v>78</v>
      </c>
      <c r="F95" s="85"/>
      <c r="G95" s="85"/>
      <c r="H95" s="73" t="s">
        <v>47</v>
      </c>
      <c r="I95" s="307"/>
      <c r="J95" s="307"/>
      <c r="K95" s="81" t="s">
        <v>53</v>
      </c>
      <c r="L95" s="82">
        <f>+IF(L86-I86&lt;0,0,L86-I86)+IF(L90-I90&lt;0,0,L90-I90)</f>
        <v>0</v>
      </c>
      <c r="M95" s="75" t="s">
        <v>76</v>
      </c>
      <c r="N95" s="73" t="s">
        <v>47</v>
      </c>
      <c r="O95" s="76"/>
      <c r="P95" s="77" t="s">
        <v>77</v>
      </c>
      <c r="Q95" s="85" t="s">
        <v>78</v>
      </c>
      <c r="R95" s="85"/>
      <c r="S95" s="85"/>
      <c r="T95" s="73" t="s">
        <v>47</v>
      </c>
      <c r="U95" s="307"/>
      <c r="V95" s="307"/>
      <c r="W95" s="81" t="s">
        <v>53</v>
      </c>
      <c r="X95" s="82">
        <f>+IF(X86-U86&lt;0,0,X86-U86)+IF(X90-U90&lt;0,0,X90-U90)</f>
        <v>0</v>
      </c>
    </row>
    <row r="96" spans="1:24" ht="18.75" customHeight="1">
      <c r="A96" s="86" t="s">
        <v>79</v>
      </c>
      <c r="B96" s="87"/>
      <c r="C96" s="76"/>
      <c r="D96" s="77" t="s">
        <v>57</v>
      </c>
      <c r="E96" s="296" t="s">
        <v>80</v>
      </c>
      <c r="F96" s="296"/>
      <c r="G96" s="296"/>
      <c r="H96" s="73" t="s">
        <v>47</v>
      </c>
      <c r="I96" s="307">
        <v>324000</v>
      </c>
      <c r="J96" s="307"/>
      <c r="K96" s="81" t="s">
        <v>53</v>
      </c>
      <c r="L96" s="82"/>
      <c r="M96" s="86" t="s">
        <v>79</v>
      </c>
      <c r="N96" s="87"/>
      <c r="O96" s="76"/>
      <c r="P96" s="77" t="s">
        <v>57</v>
      </c>
      <c r="Q96" s="296" t="s">
        <v>80</v>
      </c>
      <c r="R96" s="296"/>
      <c r="S96" s="296"/>
      <c r="T96" s="73" t="s">
        <v>47</v>
      </c>
      <c r="U96" s="307">
        <v>324000</v>
      </c>
      <c r="V96" s="307"/>
      <c r="W96" s="81" t="s">
        <v>53</v>
      </c>
      <c r="X96" s="82"/>
    </row>
    <row r="97" spans="1:24" ht="18.75" customHeight="1">
      <c r="A97" s="314" t="s">
        <v>81</v>
      </c>
      <c r="B97" s="308"/>
      <c r="C97" s="76"/>
      <c r="D97" s="77"/>
      <c r="E97" s="78"/>
      <c r="F97" s="78"/>
      <c r="G97" s="78"/>
      <c r="H97" s="73" t="s">
        <v>47</v>
      </c>
      <c r="I97" s="307">
        <f>'[2]LUONG T7'!P13</f>
        <v>0</v>
      </c>
      <c r="J97" s="307"/>
      <c r="K97" s="81" t="s">
        <v>53</v>
      </c>
      <c r="L97" s="82"/>
      <c r="M97" s="314" t="s">
        <v>81</v>
      </c>
      <c r="N97" s="308"/>
      <c r="O97" s="76"/>
      <c r="P97" s="77"/>
      <c r="Q97" s="78"/>
      <c r="R97" s="78"/>
      <c r="S97" s="78"/>
      <c r="T97" s="73" t="s">
        <v>47</v>
      </c>
      <c r="U97" s="307">
        <f>'[2]LUONG T7'!P15</f>
        <v>0</v>
      </c>
      <c r="V97" s="307"/>
      <c r="W97" s="81" t="s">
        <v>53</v>
      </c>
      <c r="X97" s="82"/>
    </row>
    <row r="98" spans="1:24" ht="18.75" customHeight="1">
      <c r="A98" s="75" t="s">
        <v>82</v>
      </c>
      <c r="B98" s="73" t="s">
        <v>47</v>
      </c>
      <c r="C98" s="76"/>
      <c r="D98" s="77"/>
      <c r="E98" s="78" t="s">
        <v>83</v>
      </c>
      <c r="F98" s="78"/>
      <c r="G98" s="78"/>
      <c r="H98" s="73" t="s">
        <v>47</v>
      </c>
      <c r="I98" s="307">
        <f>L95</f>
        <v>0</v>
      </c>
      <c r="J98" s="307"/>
      <c r="K98" s="81" t="s">
        <v>53</v>
      </c>
      <c r="L98" s="82"/>
      <c r="M98" s="75" t="s">
        <v>82</v>
      </c>
      <c r="N98" s="73" t="s">
        <v>47</v>
      </c>
      <c r="O98" s="76"/>
      <c r="P98" s="77"/>
      <c r="Q98" s="78" t="s">
        <v>83</v>
      </c>
      <c r="R98" s="78"/>
      <c r="S98" s="78"/>
      <c r="T98" s="73" t="s">
        <v>47</v>
      </c>
      <c r="U98" s="307">
        <f>X95</f>
        <v>0</v>
      </c>
      <c r="V98" s="307"/>
      <c r="W98" s="81" t="s">
        <v>53</v>
      </c>
      <c r="X98" s="82"/>
    </row>
    <row r="99" spans="1:24" ht="18.75" customHeight="1">
      <c r="A99" s="311" t="s">
        <v>84</v>
      </c>
      <c r="B99" s="312"/>
      <c r="C99" s="312"/>
      <c r="D99" s="312"/>
      <c r="E99" s="312"/>
      <c r="F99" s="312"/>
      <c r="G99" s="73" t="s">
        <v>47</v>
      </c>
      <c r="H99" s="313">
        <f>+I96+I86+I87+I88+I89+I90+I93+I97+I98+I94</f>
        <v>7565805.1459684875</v>
      </c>
      <c r="I99" s="313"/>
      <c r="J99" s="313"/>
      <c r="K99" s="81" t="s">
        <v>53</v>
      </c>
      <c r="M99" s="311" t="s">
        <v>84</v>
      </c>
      <c r="N99" s="312"/>
      <c r="O99" s="312"/>
      <c r="P99" s="312"/>
      <c r="Q99" s="312"/>
      <c r="R99" s="312"/>
      <c r="S99" s="73" t="s">
        <v>47</v>
      </c>
      <c r="T99" s="313">
        <f>+U96+U86+U87+U88+U89+U90+U93+U97+U98+U94</f>
        <v>5867617.2845227066</v>
      </c>
      <c r="U99" s="313"/>
      <c r="V99" s="313"/>
      <c r="W99" s="81" t="s">
        <v>53</v>
      </c>
    </row>
    <row r="100" spans="1:24" ht="18.75" customHeight="1">
      <c r="A100" s="88"/>
      <c r="B100" s="89"/>
      <c r="C100" s="89"/>
      <c r="D100" s="89"/>
      <c r="E100" s="89"/>
      <c r="F100" s="89"/>
      <c r="G100" s="89"/>
      <c r="H100" s="89"/>
      <c r="I100" s="89"/>
      <c r="J100" s="89"/>
      <c r="K100" s="90"/>
      <c r="M100" s="88"/>
      <c r="N100" s="89"/>
      <c r="O100" s="89"/>
      <c r="P100" s="89"/>
      <c r="Q100" s="89"/>
      <c r="R100" s="89"/>
      <c r="S100" s="89"/>
      <c r="T100" s="89"/>
      <c r="U100" s="89"/>
      <c r="V100" s="89"/>
      <c r="W100" s="90"/>
    </row>
    <row r="101" spans="1:24" ht="18.75" customHeight="1">
      <c r="A101" s="321" t="s">
        <v>85</v>
      </c>
      <c r="B101" s="322"/>
      <c r="C101" s="322"/>
      <c r="D101" s="322"/>
      <c r="E101" s="322"/>
      <c r="F101" s="322"/>
      <c r="G101" s="73"/>
      <c r="H101" s="73"/>
      <c r="I101" s="73"/>
      <c r="J101" s="73"/>
      <c r="K101" s="81"/>
      <c r="M101" s="321" t="s">
        <v>85</v>
      </c>
      <c r="N101" s="322"/>
      <c r="O101" s="322"/>
      <c r="P101" s="322"/>
      <c r="Q101" s="322"/>
      <c r="R101" s="322"/>
      <c r="S101" s="73"/>
      <c r="T101" s="73"/>
      <c r="U101" s="73"/>
      <c r="V101" s="73"/>
      <c r="W101" s="81"/>
    </row>
    <row r="102" spans="1:24" ht="18.75" customHeight="1">
      <c r="A102" s="315" t="s">
        <v>86</v>
      </c>
      <c r="B102" s="316"/>
      <c r="C102" s="316"/>
      <c r="D102" s="316"/>
      <c r="E102" s="316"/>
      <c r="F102" s="316"/>
      <c r="G102" s="73" t="s">
        <v>47</v>
      </c>
      <c r="H102" s="323">
        <f>IF(($L$1-(C86+C87+C88+C89))&gt;12,0,F83*8%)</f>
        <v>310080</v>
      </c>
      <c r="I102" s="323"/>
      <c r="J102" s="323"/>
      <c r="K102" s="81" t="s">
        <v>53</v>
      </c>
      <c r="M102" s="315" t="s">
        <v>86</v>
      </c>
      <c r="N102" s="316"/>
      <c r="O102" s="316"/>
      <c r="P102" s="316"/>
      <c r="Q102" s="316"/>
      <c r="R102" s="316"/>
      <c r="S102" s="73" t="s">
        <v>47</v>
      </c>
      <c r="T102" s="323">
        <f>IF(($L$1-(O86+O87+O88+O89))&gt;12,0,R83*8%)</f>
        <v>310080</v>
      </c>
      <c r="U102" s="323"/>
      <c r="V102" s="323"/>
      <c r="W102" s="81" t="s">
        <v>53</v>
      </c>
    </row>
    <row r="103" spans="1:24" ht="18.75" customHeight="1">
      <c r="A103" s="315" t="s">
        <v>87</v>
      </c>
      <c r="B103" s="316"/>
      <c r="C103" s="316"/>
      <c r="D103" s="316"/>
      <c r="E103" s="316"/>
      <c r="F103" s="316"/>
      <c r="G103" s="73" t="s">
        <v>47</v>
      </c>
      <c r="H103" s="317">
        <f>IF(($L$1-(C86+C87+C88+C89))&gt;12,0,F83*1.5%)</f>
        <v>58140</v>
      </c>
      <c r="I103" s="317"/>
      <c r="J103" s="317"/>
      <c r="K103" s="81" t="s">
        <v>53</v>
      </c>
      <c r="M103" s="315" t="s">
        <v>87</v>
      </c>
      <c r="N103" s="316"/>
      <c r="O103" s="316"/>
      <c r="P103" s="316"/>
      <c r="Q103" s="316"/>
      <c r="R103" s="316"/>
      <c r="S103" s="73" t="s">
        <v>47</v>
      </c>
      <c r="T103" s="317">
        <f>IF(($L$1-(O86+O87+O88+O89))&gt;12,0,R83*1.5%)</f>
        <v>58140</v>
      </c>
      <c r="U103" s="317"/>
      <c r="V103" s="317"/>
      <c r="W103" s="81" t="s">
        <v>53</v>
      </c>
    </row>
    <row r="104" spans="1:24" ht="18.75" customHeight="1">
      <c r="A104" s="315" t="s">
        <v>88</v>
      </c>
      <c r="B104" s="316"/>
      <c r="C104" s="316"/>
      <c r="D104" s="316"/>
      <c r="E104" s="316"/>
      <c r="F104" s="316"/>
      <c r="G104" s="73" t="s">
        <v>47</v>
      </c>
      <c r="H104" s="317">
        <f>IF(($L$1-(C86+C87+C88+C89))&gt;12,0,F83*1%)</f>
        <v>38760</v>
      </c>
      <c r="I104" s="317"/>
      <c r="J104" s="317"/>
      <c r="K104" s="81" t="s">
        <v>53</v>
      </c>
      <c r="M104" s="315" t="s">
        <v>88</v>
      </c>
      <c r="N104" s="316"/>
      <c r="O104" s="316"/>
      <c r="P104" s="316"/>
      <c r="Q104" s="316"/>
      <c r="R104" s="316"/>
      <c r="S104" s="73" t="s">
        <v>47</v>
      </c>
      <c r="T104" s="317">
        <f>IF(($L$1-(O86+O87+O88+O89))&gt;12,0,R83*1%)</f>
        <v>38760</v>
      </c>
      <c r="U104" s="317"/>
      <c r="V104" s="317"/>
      <c r="W104" s="81" t="s">
        <v>53</v>
      </c>
    </row>
    <row r="105" spans="1:24" ht="18.75" customHeight="1">
      <c r="A105" s="315" t="s">
        <v>89</v>
      </c>
      <c r="B105" s="316"/>
      <c r="C105" s="316"/>
      <c r="D105" s="316"/>
      <c r="E105" s="316"/>
      <c r="F105" s="316"/>
      <c r="G105" s="73" t="s">
        <v>47</v>
      </c>
      <c r="H105" s="317">
        <v>0</v>
      </c>
      <c r="I105" s="317"/>
      <c r="J105" s="317"/>
      <c r="K105" s="81" t="s">
        <v>53</v>
      </c>
      <c r="M105" s="315" t="s">
        <v>89</v>
      </c>
      <c r="N105" s="316"/>
      <c r="O105" s="316"/>
      <c r="P105" s="316"/>
      <c r="Q105" s="316"/>
      <c r="R105" s="316"/>
      <c r="S105" s="73" t="s">
        <v>47</v>
      </c>
      <c r="T105" s="317">
        <v>0</v>
      </c>
      <c r="U105" s="317"/>
      <c r="V105" s="317"/>
      <c r="W105" s="81" t="s">
        <v>53</v>
      </c>
    </row>
    <row r="106" spans="1:24" ht="18.75" customHeight="1">
      <c r="A106" s="318" t="s">
        <v>90</v>
      </c>
      <c r="B106" s="319"/>
      <c r="C106" s="319"/>
      <c r="D106" s="319"/>
      <c r="E106" s="319"/>
      <c r="F106" s="319"/>
      <c r="G106" s="73" t="s">
        <v>47</v>
      </c>
      <c r="H106" s="320">
        <f>SUM(H102:J105)</f>
        <v>406980</v>
      </c>
      <c r="I106" s="320"/>
      <c r="J106" s="320"/>
      <c r="K106" s="81" t="s">
        <v>53</v>
      </c>
      <c r="M106" s="318" t="s">
        <v>90</v>
      </c>
      <c r="N106" s="319"/>
      <c r="O106" s="319"/>
      <c r="P106" s="319"/>
      <c r="Q106" s="319"/>
      <c r="R106" s="319"/>
      <c r="S106" s="73" t="s">
        <v>47</v>
      </c>
      <c r="T106" s="320">
        <f>SUM(T102:V105)</f>
        <v>406980</v>
      </c>
      <c r="U106" s="320"/>
      <c r="V106" s="320"/>
      <c r="W106" s="81" t="s">
        <v>53</v>
      </c>
    </row>
    <row r="107" spans="1:24" ht="18.75" customHeight="1">
      <c r="A107" s="315" t="s">
        <v>91</v>
      </c>
      <c r="B107" s="316"/>
      <c r="C107" s="316"/>
      <c r="D107" s="316"/>
      <c r="E107" s="316"/>
      <c r="F107" s="316"/>
      <c r="G107" s="73" t="s">
        <v>47</v>
      </c>
      <c r="H107" s="327">
        <f>ROUND(H99-H106,-2)</f>
        <v>7158800</v>
      </c>
      <c r="I107" s="327"/>
      <c r="J107" s="327"/>
      <c r="K107" s="81" t="s">
        <v>53</v>
      </c>
      <c r="M107" s="315" t="s">
        <v>91</v>
      </c>
      <c r="N107" s="316"/>
      <c r="O107" s="316"/>
      <c r="P107" s="316"/>
      <c r="Q107" s="316"/>
      <c r="R107" s="316"/>
      <c r="S107" s="73" t="s">
        <v>47</v>
      </c>
      <c r="T107" s="327">
        <f>ROUND(T99-T106,-2)</f>
        <v>5460600</v>
      </c>
      <c r="U107" s="327"/>
      <c r="V107" s="327"/>
      <c r="W107" s="81" t="s">
        <v>53</v>
      </c>
    </row>
    <row r="108" spans="1:24" ht="18.75" customHeight="1">
      <c r="A108" s="91"/>
      <c r="B108" s="92"/>
      <c r="C108" s="92"/>
      <c r="D108" s="92"/>
      <c r="E108" s="92"/>
      <c r="F108" s="92"/>
      <c r="G108" s="92"/>
      <c r="H108" s="92"/>
      <c r="I108" s="92"/>
      <c r="J108" s="92"/>
      <c r="K108" s="93"/>
      <c r="M108" s="91"/>
      <c r="N108" s="92"/>
      <c r="O108" s="92"/>
      <c r="P108" s="92"/>
      <c r="Q108" s="92"/>
      <c r="R108" s="92"/>
      <c r="S108" s="92"/>
      <c r="T108" s="92"/>
      <c r="U108" s="92"/>
      <c r="V108" s="92"/>
      <c r="W108" s="93"/>
    </row>
    <row r="109" spans="1:24" ht="18.75" customHeight="1">
      <c r="A109" s="94"/>
      <c r="B109" s="73"/>
      <c r="C109" s="73"/>
      <c r="D109" s="73"/>
      <c r="E109" s="73"/>
      <c r="F109" s="73"/>
      <c r="G109" s="73"/>
      <c r="H109" s="73"/>
      <c r="I109" s="324" t="s">
        <v>92</v>
      </c>
      <c r="J109" s="324"/>
      <c r="K109" s="328"/>
      <c r="M109" s="94"/>
      <c r="N109" s="73"/>
      <c r="O109" s="73"/>
      <c r="P109" s="73"/>
      <c r="Q109" s="73"/>
      <c r="R109" s="73"/>
      <c r="S109" s="73"/>
      <c r="T109" s="73"/>
      <c r="U109" s="324" t="s">
        <v>92</v>
      </c>
      <c r="V109" s="324"/>
      <c r="W109" s="328"/>
    </row>
    <row r="110" spans="1:24" ht="18.75" customHeight="1">
      <c r="A110" s="94"/>
      <c r="B110" s="324"/>
      <c r="C110" s="324"/>
      <c r="D110" s="324"/>
      <c r="E110" s="324"/>
      <c r="F110" s="73"/>
      <c r="G110" s="73"/>
      <c r="H110" s="73"/>
      <c r="I110" s="73"/>
      <c r="J110" s="73"/>
      <c r="K110" s="74"/>
      <c r="M110" s="94"/>
      <c r="N110" s="324"/>
      <c r="O110" s="324"/>
      <c r="P110" s="324"/>
      <c r="Q110" s="324"/>
      <c r="R110" s="73"/>
      <c r="S110" s="73"/>
      <c r="T110" s="73"/>
      <c r="U110" s="73"/>
      <c r="V110" s="73"/>
      <c r="W110" s="74"/>
    </row>
    <row r="111" spans="1:24" ht="18.75" customHeight="1" thickBot="1">
      <c r="A111" s="95"/>
      <c r="B111" s="96"/>
      <c r="C111" s="96"/>
      <c r="D111" s="96"/>
      <c r="E111" s="96"/>
      <c r="F111" s="96"/>
      <c r="G111" s="96"/>
      <c r="H111" s="96"/>
      <c r="I111" s="325" t="s">
        <v>93</v>
      </c>
      <c r="J111" s="325"/>
      <c r="K111" s="326"/>
      <c r="M111" s="95"/>
      <c r="N111" s="96"/>
      <c r="O111" s="96"/>
      <c r="P111" s="96"/>
      <c r="Q111" s="96"/>
      <c r="R111" s="96"/>
      <c r="S111" s="96"/>
      <c r="T111" s="96"/>
      <c r="U111" s="325" t="s">
        <v>93</v>
      </c>
      <c r="V111" s="325"/>
      <c r="W111" s="326"/>
    </row>
    <row r="113" spans="1:24" ht="18.75" customHeight="1" thickTop="1">
      <c r="A113" s="300" t="s">
        <v>41</v>
      </c>
      <c r="B113" s="301"/>
      <c r="C113" s="301"/>
      <c r="D113" s="301"/>
      <c r="E113" s="301"/>
      <c r="F113" s="301"/>
      <c r="G113" s="301"/>
      <c r="H113" s="301"/>
      <c r="I113" s="301"/>
      <c r="J113" s="301"/>
      <c r="K113" s="302"/>
      <c r="L113" s="69">
        <v>25</v>
      </c>
      <c r="M113" s="300" t="s">
        <v>41</v>
      </c>
      <c r="N113" s="301"/>
      <c r="O113" s="301"/>
      <c r="P113" s="301"/>
      <c r="Q113" s="301"/>
      <c r="R113" s="301"/>
      <c r="S113" s="301"/>
      <c r="T113" s="301"/>
      <c r="U113" s="301"/>
      <c r="V113" s="301"/>
      <c r="W113" s="302"/>
      <c r="X113" s="69">
        <v>25</v>
      </c>
    </row>
    <row r="114" spans="1:24" ht="18.75" customHeight="1">
      <c r="A114" s="70" t="s">
        <v>104</v>
      </c>
      <c r="B114" s="71"/>
      <c r="C114" s="71"/>
      <c r="D114" s="71"/>
      <c r="E114" s="71"/>
      <c r="F114" s="71"/>
      <c r="G114" s="71"/>
      <c r="H114" s="71"/>
      <c r="I114" s="71"/>
      <c r="J114" s="71"/>
      <c r="K114" s="72"/>
      <c r="M114" s="70" t="s">
        <v>105</v>
      </c>
      <c r="N114" s="71"/>
      <c r="O114" s="71"/>
      <c r="P114" s="71"/>
      <c r="Q114" s="71"/>
      <c r="R114" s="71"/>
      <c r="S114" s="71"/>
      <c r="T114" s="71"/>
      <c r="U114" s="71"/>
      <c r="V114" s="71"/>
      <c r="W114" s="72"/>
    </row>
    <row r="115" spans="1:24" ht="18.75" customHeight="1">
      <c r="A115" s="303" t="s">
        <v>45</v>
      </c>
      <c r="B115" s="304"/>
      <c r="C115" s="304"/>
      <c r="D115" s="304"/>
      <c r="E115" s="304"/>
      <c r="F115" s="304"/>
      <c r="G115" s="304"/>
      <c r="H115" s="304"/>
      <c r="I115" s="304"/>
      <c r="J115" s="304"/>
      <c r="K115" s="305"/>
      <c r="M115" s="303" t="s">
        <v>45</v>
      </c>
      <c r="N115" s="304"/>
      <c r="O115" s="304"/>
      <c r="P115" s="304"/>
      <c r="Q115" s="304"/>
      <c r="R115" s="304"/>
      <c r="S115" s="304"/>
      <c r="T115" s="304"/>
      <c r="U115" s="304"/>
      <c r="V115" s="304"/>
      <c r="W115" s="305"/>
    </row>
    <row r="116" spans="1:24" ht="18.75" customHeight="1">
      <c r="A116" s="295" t="s">
        <v>46</v>
      </c>
      <c r="B116" s="296"/>
      <c r="C116" s="296"/>
      <c r="D116" s="296"/>
      <c r="E116" s="73" t="s">
        <v>47</v>
      </c>
      <c r="F116" s="297" t="str">
        <f>'[2]Bang TH nop'!B15</f>
        <v>Lương Thị Minh</v>
      </c>
      <c r="G116" s="296"/>
      <c r="H116" s="296"/>
      <c r="I116" s="296"/>
      <c r="J116" s="296"/>
      <c r="K116" s="299"/>
      <c r="M116" s="295" t="s">
        <v>46</v>
      </c>
      <c r="N116" s="296"/>
      <c r="O116" s="296"/>
      <c r="P116" s="296"/>
      <c r="Q116" s="73" t="s">
        <v>47</v>
      </c>
      <c r="R116" s="297" t="s">
        <v>106</v>
      </c>
      <c r="S116" s="296"/>
      <c r="T116" s="296"/>
      <c r="U116" s="296"/>
      <c r="V116" s="296"/>
      <c r="W116" s="299"/>
    </row>
    <row r="117" spans="1:24" ht="18.75" customHeight="1">
      <c r="A117" s="295" t="s">
        <v>49</v>
      </c>
      <c r="B117" s="296"/>
      <c r="C117" s="296"/>
      <c r="D117" s="296"/>
      <c r="E117" s="73" t="s">
        <v>47</v>
      </c>
      <c r="F117" s="297">
        <f>'[2]Bang TH nop'!C15</f>
        <v>50618</v>
      </c>
      <c r="G117" s="297"/>
      <c r="H117" s="297"/>
      <c r="I117" s="297"/>
      <c r="J117" s="297"/>
      <c r="K117" s="298"/>
      <c r="M117" s="295" t="s">
        <v>49</v>
      </c>
      <c r="N117" s="296"/>
      <c r="O117" s="296"/>
      <c r="P117" s="296"/>
      <c r="Q117" s="73" t="s">
        <v>47</v>
      </c>
      <c r="R117" s="297">
        <v>50184</v>
      </c>
      <c r="S117" s="297"/>
      <c r="T117" s="297"/>
      <c r="U117" s="297"/>
      <c r="V117" s="297"/>
      <c r="W117" s="298"/>
    </row>
    <row r="118" spans="1:24" ht="18.75" customHeight="1">
      <c r="A118" s="295" t="s">
        <v>50</v>
      </c>
      <c r="B118" s="296"/>
      <c r="C118" s="296"/>
      <c r="D118" s="296"/>
      <c r="E118" s="73" t="s">
        <v>47</v>
      </c>
      <c r="F118" s="296" t="str">
        <f>$L$2</f>
        <v>Gián tiếp</v>
      </c>
      <c r="G118" s="296"/>
      <c r="H118" s="296"/>
      <c r="I118" s="296"/>
      <c r="J118" s="296"/>
      <c r="K118" s="299"/>
      <c r="M118" s="295" t="s">
        <v>50</v>
      </c>
      <c r="N118" s="296"/>
      <c r="O118" s="296"/>
      <c r="P118" s="296"/>
      <c r="Q118" s="73" t="s">
        <v>47</v>
      </c>
      <c r="R118" s="296" t="str">
        <f>$L$2</f>
        <v>Gián tiếp</v>
      </c>
      <c r="S118" s="296"/>
      <c r="T118" s="296"/>
      <c r="U118" s="296"/>
      <c r="V118" s="296"/>
      <c r="W118" s="299"/>
    </row>
    <row r="119" spans="1:24" ht="18.75" customHeight="1">
      <c r="A119" s="303" t="s">
        <v>51</v>
      </c>
      <c r="B119" s="304"/>
      <c r="C119" s="304"/>
      <c r="D119" s="304"/>
      <c r="E119" s="304"/>
      <c r="F119" s="304"/>
      <c r="G119" s="304"/>
      <c r="H119" s="304"/>
      <c r="I119" s="304"/>
      <c r="J119" s="304"/>
      <c r="K119" s="305"/>
      <c r="L119" s="69">
        <f>8390+4277+3685</f>
        <v>16352</v>
      </c>
      <c r="M119" s="303" t="s">
        <v>51</v>
      </c>
      <c r="N119" s="304"/>
      <c r="O119" s="304"/>
      <c r="P119" s="304"/>
      <c r="Q119" s="304"/>
      <c r="R119" s="304"/>
      <c r="S119" s="304"/>
      <c r="T119" s="304"/>
      <c r="U119" s="304"/>
      <c r="V119" s="304"/>
      <c r="W119" s="305"/>
    </row>
    <row r="120" spans="1:24" ht="18.75" customHeight="1">
      <c r="A120" s="295" t="s">
        <v>52</v>
      </c>
      <c r="B120" s="296"/>
      <c r="C120" s="296"/>
      <c r="D120" s="296"/>
      <c r="E120" s="73" t="s">
        <v>47</v>
      </c>
      <c r="F120" s="310">
        <v>3876000</v>
      </c>
      <c r="G120" s="310"/>
      <c r="H120" s="310"/>
      <c r="I120" s="310"/>
      <c r="J120" s="73" t="s">
        <v>53</v>
      </c>
      <c r="K120" s="74"/>
      <c r="M120" s="295" t="s">
        <v>52</v>
      </c>
      <c r="N120" s="296"/>
      <c r="O120" s="296"/>
      <c r="P120" s="296"/>
      <c r="Q120" s="73" t="s">
        <v>47</v>
      </c>
      <c r="R120" s="310">
        <v>3876000</v>
      </c>
      <c r="S120" s="310"/>
      <c r="T120" s="310"/>
      <c r="U120" s="310"/>
      <c r="V120" s="73" t="s">
        <v>53</v>
      </c>
      <c r="W120" s="74"/>
    </row>
    <row r="121" spans="1:24" ht="18.75" customHeight="1">
      <c r="A121" s="75" t="s">
        <v>54</v>
      </c>
      <c r="B121" s="73"/>
      <c r="C121" s="76"/>
      <c r="D121" s="77"/>
      <c r="E121" s="78"/>
      <c r="F121" s="78"/>
      <c r="G121" s="78"/>
      <c r="H121" s="73"/>
      <c r="I121" s="79">
        <f>'[2]Bang TH nop'!F15</f>
        <v>5111.3076923076924</v>
      </c>
      <c r="J121" s="80"/>
      <c r="K121" s="81"/>
      <c r="L121" s="69">
        <f>3*40*2</f>
        <v>240</v>
      </c>
      <c r="M121" s="75" t="s">
        <v>54</v>
      </c>
      <c r="N121" s="73"/>
      <c r="O121" s="76"/>
      <c r="P121" s="77"/>
      <c r="Q121" s="78"/>
      <c r="R121" s="78"/>
      <c r="S121" s="78"/>
      <c r="T121" s="73"/>
      <c r="U121" s="79">
        <f>'[2]LUONG T7'!F19</f>
        <v>7190.4000000000005</v>
      </c>
      <c r="V121" s="80"/>
      <c r="W121" s="81"/>
    </row>
    <row r="122" spans="1:24" ht="18.75" customHeight="1">
      <c r="A122" s="75" t="s">
        <v>55</v>
      </c>
      <c r="B122" s="73"/>
      <c r="C122" s="76"/>
      <c r="D122" s="77"/>
      <c r="E122" s="78"/>
      <c r="F122" s="78"/>
      <c r="G122" s="78"/>
      <c r="H122" s="73"/>
      <c r="I122" s="79">
        <f>I123/C123/8</f>
        <v>22718.192178770951</v>
      </c>
      <c r="J122" s="80"/>
      <c r="K122" s="81"/>
      <c r="L122" s="69">
        <v>1000</v>
      </c>
      <c r="M122" s="75" t="s">
        <v>55</v>
      </c>
      <c r="N122" s="73"/>
      <c r="O122" s="76"/>
      <c r="P122" s="77"/>
      <c r="Q122" s="78"/>
      <c r="R122" s="78"/>
      <c r="S122" s="78"/>
      <c r="T122" s="73"/>
      <c r="U122" s="79">
        <f>U123/O123/8</f>
        <v>22087.576216216217</v>
      </c>
      <c r="V122" s="80"/>
      <c r="W122" s="81"/>
    </row>
    <row r="123" spans="1:24" ht="18.75" customHeight="1">
      <c r="A123" s="75" t="s">
        <v>56</v>
      </c>
      <c r="B123" s="73" t="s">
        <v>47</v>
      </c>
      <c r="C123" s="76">
        <f>'[2]LUONG T7'!I16</f>
        <v>18</v>
      </c>
      <c r="D123" s="77" t="s">
        <v>57</v>
      </c>
      <c r="E123" s="308" t="s">
        <v>58</v>
      </c>
      <c r="F123" s="308"/>
      <c r="G123" s="308"/>
      <c r="H123" s="73" t="s">
        <v>47</v>
      </c>
      <c r="I123" s="309">
        <f>'[2]LUONG T7'!I17</f>
        <v>3271419.673743017</v>
      </c>
      <c r="J123" s="309"/>
      <c r="K123" s="81" t="s">
        <v>53</v>
      </c>
      <c r="L123" s="82">
        <f>F120/L113*C123</f>
        <v>2790720</v>
      </c>
      <c r="M123" s="75" t="s">
        <v>56</v>
      </c>
      <c r="N123" s="73" t="s">
        <v>47</v>
      </c>
      <c r="O123" s="76">
        <f>'[2]LUONG T7'!I18</f>
        <v>26</v>
      </c>
      <c r="P123" s="77" t="s">
        <v>57</v>
      </c>
      <c r="Q123" s="308" t="s">
        <v>58</v>
      </c>
      <c r="R123" s="308"/>
      <c r="S123" s="308"/>
      <c r="T123" s="73" t="s">
        <v>47</v>
      </c>
      <c r="U123" s="309">
        <f>'[2]LUONG T7'!I19</f>
        <v>4594215.8529729731</v>
      </c>
      <c r="V123" s="309"/>
      <c r="W123" s="81" t="s">
        <v>53</v>
      </c>
      <c r="X123" s="82">
        <f>R120/X113*O123</f>
        <v>4031040</v>
      </c>
    </row>
    <row r="124" spans="1:24" ht="18.75" customHeight="1">
      <c r="A124" s="75" t="s">
        <v>59</v>
      </c>
      <c r="B124" s="73" t="s">
        <v>47</v>
      </c>
      <c r="C124" s="76">
        <f>'[2]LUONG T7'!J16</f>
        <v>0</v>
      </c>
      <c r="D124" s="77" t="s">
        <v>57</v>
      </c>
      <c r="E124" s="296" t="s">
        <v>60</v>
      </c>
      <c r="F124" s="296"/>
      <c r="G124" s="296"/>
      <c r="H124" s="73" t="s">
        <v>47</v>
      </c>
      <c r="I124" s="307">
        <f>$F$8/$L$1*C124</f>
        <v>0</v>
      </c>
      <c r="J124" s="307"/>
      <c r="K124" s="81" t="s">
        <v>53</v>
      </c>
      <c r="L124" s="82"/>
      <c r="M124" s="75" t="s">
        <v>59</v>
      </c>
      <c r="N124" s="73" t="s">
        <v>47</v>
      </c>
      <c r="O124" s="76">
        <f>'[2]LUONG T7'!J18</f>
        <v>0</v>
      </c>
      <c r="P124" s="77" t="s">
        <v>57</v>
      </c>
      <c r="Q124" s="296" t="s">
        <v>60</v>
      </c>
      <c r="R124" s="296"/>
      <c r="S124" s="296"/>
      <c r="T124" s="73" t="s">
        <v>47</v>
      </c>
      <c r="U124" s="307">
        <f>$F$8/$L$1*O124</f>
        <v>0</v>
      </c>
      <c r="V124" s="307"/>
      <c r="W124" s="81" t="s">
        <v>53</v>
      </c>
      <c r="X124" s="82"/>
    </row>
    <row r="125" spans="1:24" ht="18.75" customHeight="1">
      <c r="A125" s="75" t="s">
        <v>61</v>
      </c>
      <c r="B125" s="73" t="s">
        <v>47</v>
      </c>
      <c r="C125" s="76">
        <f>'[2]LUONG T7'!K16</f>
        <v>0</v>
      </c>
      <c r="D125" s="77" t="s">
        <v>57</v>
      </c>
      <c r="E125" s="306" t="s">
        <v>62</v>
      </c>
      <c r="F125" s="306"/>
      <c r="G125" s="306"/>
      <c r="H125" s="73" t="s">
        <v>47</v>
      </c>
      <c r="I125" s="307">
        <f>3602000/$L$1*C125</f>
        <v>0</v>
      </c>
      <c r="J125" s="307"/>
      <c r="K125" s="81" t="s">
        <v>53</v>
      </c>
      <c r="L125" s="82"/>
      <c r="M125" s="75" t="s">
        <v>61</v>
      </c>
      <c r="N125" s="73" t="s">
        <v>47</v>
      </c>
      <c r="O125" s="76">
        <f>'[2]LUONG T7'!K18</f>
        <v>0</v>
      </c>
      <c r="P125" s="77" t="s">
        <v>57</v>
      </c>
      <c r="Q125" s="306" t="s">
        <v>62</v>
      </c>
      <c r="R125" s="306"/>
      <c r="S125" s="306"/>
      <c r="T125" s="73" t="s">
        <v>47</v>
      </c>
      <c r="U125" s="307">
        <f>R120/$L$1*O125</f>
        <v>0</v>
      </c>
      <c r="V125" s="307"/>
      <c r="W125" s="81" t="s">
        <v>53</v>
      </c>
      <c r="X125" s="82"/>
    </row>
    <row r="126" spans="1:24" ht="18.75" customHeight="1">
      <c r="A126" s="75" t="s">
        <v>63</v>
      </c>
      <c r="B126" s="73" t="s">
        <v>47</v>
      </c>
      <c r="C126" s="76">
        <f>'[2]LUONG T7'!L16</f>
        <v>0</v>
      </c>
      <c r="D126" s="77" t="s">
        <v>57</v>
      </c>
      <c r="E126" s="306" t="s">
        <v>64</v>
      </c>
      <c r="F126" s="306"/>
      <c r="G126" s="306"/>
      <c r="H126" s="73" t="s">
        <v>47</v>
      </c>
      <c r="I126" s="307">
        <f>$F$8/$L$1*C126</f>
        <v>0</v>
      </c>
      <c r="J126" s="307"/>
      <c r="K126" s="81" t="s">
        <v>53</v>
      </c>
      <c r="L126" s="82"/>
      <c r="M126" s="75" t="s">
        <v>63</v>
      </c>
      <c r="N126" s="73" t="s">
        <v>47</v>
      </c>
      <c r="O126" s="76">
        <f>'[2]LUONG T7'!L18</f>
        <v>0</v>
      </c>
      <c r="P126" s="77" t="s">
        <v>57</v>
      </c>
      <c r="Q126" s="306" t="s">
        <v>64</v>
      </c>
      <c r="R126" s="306"/>
      <c r="S126" s="306"/>
      <c r="T126" s="73" t="s">
        <v>47</v>
      </c>
      <c r="U126" s="307">
        <f>$F$8/$L$1*O126</f>
        <v>0</v>
      </c>
      <c r="V126" s="307"/>
      <c r="W126" s="81" t="s">
        <v>53</v>
      </c>
      <c r="X126" s="82"/>
    </row>
    <row r="127" spans="1:24" ht="18.75" customHeight="1">
      <c r="A127" s="75" t="s">
        <v>65</v>
      </c>
      <c r="B127" s="73" t="s">
        <v>47</v>
      </c>
      <c r="C127" s="76">
        <f>'[2]LUONG T7'!Q16</f>
        <v>35</v>
      </c>
      <c r="D127" s="77" t="s">
        <v>66</v>
      </c>
      <c r="E127" s="296" t="s">
        <v>67</v>
      </c>
      <c r="F127" s="296"/>
      <c r="G127" s="296"/>
      <c r="H127" s="73" t="s">
        <v>47</v>
      </c>
      <c r="I127" s="307">
        <f>'[2]LUONG T7'!Q17-12000</f>
        <v>1180705.089385475</v>
      </c>
      <c r="J127" s="307"/>
      <c r="K127" s="81" t="s">
        <v>53</v>
      </c>
      <c r="L127" s="82">
        <f>F120*C127/L113/8*1.5</f>
        <v>1017450</v>
      </c>
      <c r="M127" s="75" t="s">
        <v>65</v>
      </c>
      <c r="N127" s="73" t="s">
        <v>47</v>
      </c>
      <c r="O127" s="76">
        <f>'[2]LUONG T7'!Q18</f>
        <v>51</v>
      </c>
      <c r="P127" s="77" t="s">
        <v>66</v>
      </c>
      <c r="Q127" s="296" t="s">
        <v>67</v>
      </c>
      <c r="R127" s="296"/>
      <c r="S127" s="296"/>
      <c r="T127" s="73" t="s">
        <v>47</v>
      </c>
      <c r="U127" s="307">
        <f>'[2]LUONG T7'!Q19</f>
        <v>1689699.5805405404</v>
      </c>
      <c r="V127" s="307"/>
      <c r="W127" s="81" t="s">
        <v>53</v>
      </c>
      <c r="X127" s="82">
        <f>R120*O127/X113/8*1.5</f>
        <v>1482570</v>
      </c>
    </row>
    <row r="128" spans="1:24" ht="18.75" customHeight="1">
      <c r="A128" s="295" t="s">
        <v>68</v>
      </c>
      <c r="B128" s="296"/>
      <c r="C128" s="76"/>
      <c r="D128" s="77" t="s">
        <v>57</v>
      </c>
      <c r="E128" s="296" t="s">
        <v>69</v>
      </c>
      <c r="F128" s="296"/>
      <c r="G128" s="296"/>
      <c r="H128" s="83" t="s">
        <v>47</v>
      </c>
      <c r="I128" s="307"/>
      <c r="J128" s="307"/>
      <c r="K128" s="81" t="s">
        <v>53</v>
      </c>
      <c r="L128" s="82"/>
      <c r="M128" s="295" t="s">
        <v>68</v>
      </c>
      <c r="N128" s="296"/>
      <c r="O128" s="76"/>
      <c r="P128" s="77" t="s">
        <v>57</v>
      </c>
      <c r="Q128" s="296" t="s">
        <v>69</v>
      </c>
      <c r="R128" s="296"/>
      <c r="S128" s="296"/>
      <c r="T128" s="83" t="s">
        <v>47</v>
      </c>
      <c r="U128" s="307"/>
      <c r="V128" s="307"/>
      <c r="W128" s="81" t="s">
        <v>53</v>
      </c>
      <c r="X128" s="82"/>
    </row>
    <row r="129" spans="1:24" ht="18.75" customHeight="1">
      <c r="A129" s="75" t="s">
        <v>70</v>
      </c>
      <c r="B129" s="73" t="s">
        <v>47</v>
      </c>
      <c r="C129" s="76"/>
      <c r="D129" s="77" t="s">
        <v>57</v>
      </c>
      <c r="E129" s="296" t="s">
        <v>71</v>
      </c>
      <c r="F129" s="296"/>
      <c r="G129" s="296"/>
      <c r="H129" s="73" t="s">
        <v>47</v>
      </c>
      <c r="I129" s="307"/>
      <c r="J129" s="307"/>
      <c r="K129" s="81" t="s">
        <v>53</v>
      </c>
      <c r="L129" s="82"/>
      <c r="M129" s="75" t="s">
        <v>70</v>
      </c>
      <c r="N129" s="73" t="s">
        <v>47</v>
      </c>
      <c r="O129" s="76"/>
      <c r="P129" s="77" t="s">
        <v>57</v>
      </c>
      <c r="Q129" s="296" t="s">
        <v>71</v>
      </c>
      <c r="R129" s="296"/>
      <c r="S129" s="296"/>
      <c r="T129" s="73" t="s">
        <v>47</v>
      </c>
      <c r="U129" s="307"/>
      <c r="V129" s="307"/>
      <c r="W129" s="81" t="s">
        <v>53</v>
      </c>
      <c r="X129" s="82"/>
    </row>
    <row r="130" spans="1:24" ht="18.75" customHeight="1">
      <c r="A130" s="84" t="s">
        <v>72</v>
      </c>
      <c r="B130" s="73"/>
      <c r="C130" s="76">
        <f>'[2]LUONG T7'!M16</f>
        <v>0</v>
      </c>
      <c r="D130" s="77" t="s">
        <v>66</v>
      </c>
      <c r="E130" s="296" t="s">
        <v>73</v>
      </c>
      <c r="F130" s="296"/>
      <c r="G130" s="296"/>
      <c r="H130" s="73" t="s">
        <v>47</v>
      </c>
      <c r="I130" s="307">
        <f>$F$8*C130/8/$L$1</f>
        <v>0</v>
      </c>
      <c r="J130" s="307"/>
      <c r="K130" s="81" t="s">
        <v>53</v>
      </c>
      <c r="L130" s="82"/>
      <c r="M130" s="84" t="s">
        <v>72</v>
      </c>
      <c r="N130" s="73"/>
      <c r="O130" s="76">
        <f>'[2]LUONG T7'!M18</f>
        <v>0</v>
      </c>
      <c r="P130" s="77" t="s">
        <v>66</v>
      </c>
      <c r="Q130" s="296" t="s">
        <v>73</v>
      </c>
      <c r="R130" s="296"/>
      <c r="S130" s="296"/>
      <c r="T130" s="73" t="s">
        <v>47</v>
      </c>
      <c r="U130" s="307">
        <f>$F$8*O130/8/$L$1</f>
        <v>0</v>
      </c>
      <c r="V130" s="307"/>
      <c r="W130" s="81" t="s">
        <v>53</v>
      </c>
      <c r="X130" s="82"/>
    </row>
    <row r="131" spans="1:24" ht="18.75" customHeight="1">
      <c r="A131" s="75" t="s">
        <v>107</v>
      </c>
      <c r="B131" s="73" t="s">
        <v>47</v>
      </c>
      <c r="C131" s="76"/>
      <c r="D131" s="77" t="s">
        <v>66</v>
      </c>
      <c r="E131" s="296" t="s">
        <v>75</v>
      </c>
      <c r="F131" s="296"/>
      <c r="G131" s="296"/>
      <c r="H131" s="73" t="s">
        <v>47</v>
      </c>
      <c r="I131" s="309"/>
      <c r="J131" s="309"/>
      <c r="K131" s="81" t="s">
        <v>53</v>
      </c>
      <c r="L131" s="82"/>
      <c r="M131" s="75" t="s">
        <v>74</v>
      </c>
      <c r="N131" s="73" t="s">
        <v>47</v>
      </c>
      <c r="O131" s="76"/>
      <c r="P131" s="77" t="s">
        <v>66</v>
      </c>
      <c r="Q131" s="296" t="s">
        <v>75</v>
      </c>
      <c r="R131" s="296"/>
      <c r="S131" s="296"/>
      <c r="T131" s="73" t="s">
        <v>47</v>
      </c>
      <c r="U131" s="309"/>
      <c r="V131" s="309"/>
      <c r="W131" s="81" t="s">
        <v>53</v>
      </c>
      <c r="X131" s="82"/>
    </row>
    <row r="132" spans="1:24" ht="18.75" customHeight="1">
      <c r="A132" s="75" t="s">
        <v>76</v>
      </c>
      <c r="B132" s="73" t="s">
        <v>47</v>
      </c>
      <c r="C132" s="76"/>
      <c r="D132" s="77" t="s">
        <v>77</v>
      </c>
      <c r="E132" s="85" t="s">
        <v>78</v>
      </c>
      <c r="F132" s="85"/>
      <c r="G132" s="85"/>
      <c r="H132" s="73" t="s">
        <v>47</v>
      </c>
      <c r="I132" s="307"/>
      <c r="J132" s="307"/>
      <c r="K132" s="81" t="s">
        <v>53</v>
      </c>
      <c r="L132" s="82">
        <f>+IF(L123-I123&lt;0,0,L123-I123)+IF(L127-I127&lt;0,0,L127-I127)</f>
        <v>0</v>
      </c>
      <c r="M132" s="75" t="s">
        <v>76</v>
      </c>
      <c r="N132" s="73" t="s">
        <v>47</v>
      </c>
      <c r="O132" s="76"/>
      <c r="P132" s="77" t="s">
        <v>77</v>
      </c>
      <c r="Q132" s="85" t="s">
        <v>78</v>
      </c>
      <c r="R132" s="85"/>
      <c r="S132" s="85"/>
      <c r="T132" s="73" t="s">
        <v>47</v>
      </c>
      <c r="U132" s="307"/>
      <c r="V132" s="307"/>
      <c r="W132" s="81" t="s">
        <v>53</v>
      </c>
      <c r="X132" s="82">
        <f>+IF(X123-U123&lt;0,0,X123-U123)+IF(X127-U127&lt;0,0,X127-U127)</f>
        <v>0</v>
      </c>
    </row>
    <row r="133" spans="1:24" ht="18.75" customHeight="1">
      <c r="A133" s="86" t="s">
        <v>79</v>
      </c>
      <c r="B133" s="87"/>
      <c r="C133" s="76"/>
      <c r="D133" s="77" t="s">
        <v>57</v>
      </c>
      <c r="E133" s="296" t="s">
        <v>80</v>
      </c>
      <c r="F133" s="296"/>
      <c r="G133" s="296"/>
      <c r="H133" s="73" t="s">
        <v>47</v>
      </c>
      <c r="I133" s="307">
        <v>312000</v>
      </c>
      <c r="J133" s="307"/>
      <c r="K133" s="81" t="s">
        <v>53</v>
      </c>
      <c r="L133" s="82"/>
      <c r="M133" s="86" t="s">
        <v>79</v>
      </c>
      <c r="N133" s="87"/>
      <c r="O133" s="76"/>
      <c r="P133" s="77" t="s">
        <v>57</v>
      </c>
      <c r="Q133" s="296" t="s">
        <v>80</v>
      </c>
      <c r="R133" s="296"/>
      <c r="S133" s="296"/>
      <c r="T133" s="73" t="s">
        <v>47</v>
      </c>
      <c r="U133" s="307">
        <v>324000</v>
      </c>
      <c r="V133" s="307"/>
      <c r="W133" s="81" t="s">
        <v>53</v>
      </c>
      <c r="X133" s="82"/>
    </row>
    <row r="134" spans="1:24" ht="18.75" customHeight="1">
      <c r="A134" s="314" t="s">
        <v>81</v>
      </c>
      <c r="B134" s="308"/>
      <c r="C134" s="76"/>
      <c r="D134" s="77"/>
      <c r="E134" s="78"/>
      <c r="F134" s="78"/>
      <c r="G134" s="78"/>
      <c r="H134" s="73" t="s">
        <v>47</v>
      </c>
      <c r="I134" s="307">
        <f>'[2]LUONG T7'!P17</f>
        <v>0</v>
      </c>
      <c r="J134" s="307"/>
      <c r="K134" s="81" t="s">
        <v>53</v>
      </c>
      <c r="L134" s="82"/>
      <c r="M134" s="314" t="s">
        <v>81</v>
      </c>
      <c r="N134" s="308"/>
      <c r="O134" s="76"/>
      <c r="P134" s="77"/>
      <c r="Q134" s="78"/>
      <c r="R134" s="78"/>
      <c r="S134" s="78"/>
      <c r="T134" s="73" t="s">
        <v>47</v>
      </c>
      <c r="U134" s="307">
        <f>'[2]LUONG T7'!P19</f>
        <v>0</v>
      </c>
      <c r="V134" s="307"/>
      <c r="W134" s="81" t="s">
        <v>53</v>
      </c>
      <c r="X134" s="82"/>
    </row>
    <row r="135" spans="1:24" ht="18.75" customHeight="1">
      <c r="A135" s="75" t="s">
        <v>82</v>
      </c>
      <c r="B135" s="73" t="s">
        <v>47</v>
      </c>
      <c r="C135" s="76"/>
      <c r="D135" s="77"/>
      <c r="E135" s="78" t="s">
        <v>83</v>
      </c>
      <c r="F135" s="78"/>
      <c r="G135" s="78"/>
      <c r="H135" s="73" t="s">
        <v>47</v>
      </c>
      <c r="I135" s="307">
        <f>L132</f>
        <v>0</v>
      </c>
      <c r="J135" s="307"/>
      <c r="K135" s="81" t="s">
        <v>53</v>
      </c>
      <c r="L135" s="82"/>
      <c r="M135" s="75" t="s">
        <v>82</v>
      </c>
      <c r="N135" s="73" t="s">
        <v>47</v>
      </c>
      <c r="O135" s="76"/>
      <c r="P135" s="77"/>
      <c r="Q135" s="78" t="s">
        <v>83</v>
      </c>
      <c r="R135" s="78"/>
      <c r="S135" s="78"/>
      <c r="T135" s="73" t="s">
        <v>47</v>
      </c>
      <c r="U135" s="307">
        <f>X132</f>
        <v>0</v>
      </c>
      <c r="V135" s="307"/>
      <c r="W135" s="81" t="s">
        <v>53</v>
      </c>
      <c r="X135" s="82"/>
    </row>
    <row r="136" spans="1:24" ht="18.75" customHeight="1">
      <c r="A136" s="311" t="s">
        <v>84</v>
      </c>
      <c r="B136" s="312"/>
      <c r="C136" s="312"/>
      <c r="D136" s="312"/>
      <c r="E136" s="312"/>
      <c r="F136" s="312"/>
      <c r="G136" s="73" t="s">
        <v>47</v>
      </c>
      <c r="H136" s="313">
        <f>I123+I124+I125+I126+I127+I130+I134+I135+I133+I131</f>
        <v>4764124.763128492</v>
      </c>
      <c r="I136" s="313"/>
      <c r="J136" s="313"/>
      <c r="K136" s="81" t="s">
        <v>53</v>
      </c>
      <c r="M136" s="311" t="s">
        <v>84</v>
      </c>
      <c r="N136" s="312"/>
      <c r="O136" s="312"/>
      <c r="P136" s="312"/>
      <c r="Q136" s="312"/>
      <c r="R136" s="312"/>
      <c r="S136" s="73" t="s">
        <v>47</v>
      </c>
      <c r="T136" s="313">
        <f>U123+U124+U125+U126+U127+U130+U134+U135+U133</f>
        <v>6607915.4335135138</v>
      </c>
      <c r="U136" s="313"/>
      <c r="V136" s="313"/>
      <c r="W136" s="81" t="s">
        <v>53</v>
      </c>
    </row>
    <row r="137" spans="1:24" ht="18.75" customHeight="1">
      <c r="A137" s="88"/>
      <c r="B137" s="89"/>
      <c r="C137" s="89"/>
      <c r="D137" s="89"/>
      <c r="E137" s="89"/>
      <c r="F137" s="89"/>
      <c r="G137" s="89"/>
      <c r="H137" s="89"/>
      <c r="I137" s="89"/>
      <c r="J137" s="89"/>
      <c r="K137" s="90"/>
      <c r="M137" s="88"/>
      <c r="N137" s="89"/>
      <c r="O137" s="89"/>
      <c r="P137" s="89"/>
      <c r="Q137" s="89"/>
      <c r="R137" s="89"/>
      <c r="S137" s="89"/>
      <c r="T137" s="89"/>
      <c r="U137" s="89"/>
      <c r="V137" s="89"/>
      <c r="W137" s="90"/>
    </row>
    <row r="138" spans="1:24" ht="18.75" customHeight="1">
      <c r="A138" s="321" t="s">
        <v>85</v>
      </c>
      <c r="B138" s="322"/>
      <c r="C138" s="322"/>
      <c r="D138" s="322"/>
      <c r="E138" s="322"/>
      <c r="F138" s="322"/>
      <c r="G138" s="73"/>
      <c r="H138" s="73"/>
      <c r="I138" s="73"/>
      <c r="J138" s="73"/>
      <c r="K138" s="81"/>
      <c r="M138" s="321" t="s">
        <v>85</v>
      </c>
      <c r="N138" s="322"/>
      <c r="O138" s="322"/>
      <c r="P138" s="322"/>
      <c r="Q138" s="322"/>
      <c r="R138" s="322"/>
      <c r="S138" s="73"/>
      <c r="T138" s="73"/>
      <c r="U138" s="73"/>
      <c r="V138" s="73"/>
      <c r="W138" s="81"/>
    </row>
    <row r="139" spans="1:24" ht="18.75" customHeight="1">
      <c r="A139" s="315" t="s">
        <v>86</v>
      </c>
      <c r="B139" s="316"/>
      <c r="C139" s="316"/>
      <c r="D139" s="316"/>
      <c r="E139" s="316"/>
      <c r="F139" s="316"/>
      <c r="G139" s="73" t="s">
        <v>47</v>
      </c>
      <c r="H139" s="323">
        <f>IF(($L$1-(C123+C124+C125+C126))&gt;12,0,F120*8%)</f>
        <v>310080</v>
      </c>
      <c r="I139" s="323"/>
      <c r="J139" s="323"/>
      <c r="K139" s="81" t="s">
        <v>53</v>
      </c>
      <c r="M139" s="315" t="s">
        <v>86</v>
      </c>
      <c r="N139" s="316"/>
      <c r="O139" s="316"/>
      <c r="P139" s="316"/>
      <c r="Q139" s="316"/>
      <c r="R139" s="316"/>
      <c r="S139" s="73" t="s">
        <v>47</v>
      </c>
      <c r="T139" s="323">
        <f>IF(($L$1-(O123+O124+O125+O126))&gt;12,0,R120*8%)</f>
        <v>310080</v>
      </c>
      <c r="U139" s="323"/>
      <c r="V139" s="323"/>
      <c r="W139" s="81" t="s">
        <v>53</v>
      </c>
    </row>
    <row r="140" spans="1:24" ht="18.75" customHeight="1">
      <c r="A140" s="315" t="s">
        <v>87</v>
      </c>
      <c r="B140" s="316"/>
      <c r="C140" s="316"/>
      <c r="D140" s="316"/>
      <c r="E140" s="316"/>
      <c r="F140" s="316"/>
      <c r="G140" s="73" t="s">
        <v>47</v>
      </c>
      <c r="H140" s="317">
        <f>IF(($L$1-(C123+C124+C125+C126))&gt;12,0,F120*1.5%)</f>
        <v>58140</v>
      </c>
      <c r="I140" s="317"/>
      <c r="J140" s="317"/>
      <c r="K140" s="81" t="s">
        <v>53</v>
      </c>
      <c r="M140" s="315" t="s">
        <v>87</v>
      </c>
      <c r="N140" s="316"/>
      <c r="O140" s="316"/>
      <c r="P140" s="316"/>
      <c r="Q140" s="316"/>
      <c r="R140" s="316"/>
      <c r="S140" s="73" t="s">
        <v>47</v>
      </c>
      <c r="T140" s="317">
        <f>IF(($L$1-(O123+O124+O125+O126))&gt;12,0,R120*1.5%)</f>
        <v>58140</v>
      </c>
      <c r="U140" s="317"/>
      <c r="V140" s="317"/>
      <c r="W140" s="81" t="s">
        <v>53</v>
      </c>
    </row>
    <row r="141" spans="1:24" ht="18.75" customHeight="1">
      <c r="A141" s="315" t="s">
        <v>88</v>
      </c>
      <c r="B141" s="316"/>
      <c r="C141" s="316"/>
      <c r="D141" s="316"/>
      <c r="E141" s="316"/>
      <c r="F141" s="316"/>
      <c r="G141" s="73" t="s">
        <v>47</v>
      </c>
      <c r="H141" s="317">
        <f>IF(($L$1-(C123+C124+C125+C126))&gt;12,0,F120*1%)</f>
        <v>38760</v>
      </c>
      <c r="I141" s="317"/>
      <c r="J141" s="317"/>
      <c r="K141" s="81" t="s">
        <v>53</v>
      </c>
      <c r="M141" s="315" t="s">
        <v>88</v>
      </c>
      <c r="N141" s="316"/>
      <c r="O141" s="316"/>
      <c r="P141" s="316"/>
      <c r="Q141" s="316"/>
      <c r="R141" s="316"/>
      <c r="S141" s="73" t="s">
        <v>47</v>
      </c>
      <c r="T141" s="317">
        <f>IF(($L$1-(O123+O124+O125+O126))&gt;12,0,R120*1%)</f>
        <v>38760</v>
      </c>
      <c r="U141" s="317"/>
      <c r="V141" s="317"/>
      <c r="W141" s="81" t="s">
        <v>53</v>
      </c>
    </row>
    <row r="142" spans="1:24" ht="18.75" customHeight="1">
      <c r="A142" s="315" t="s">
        <v>89</v>
      </c>
      <c r="B142" s="316"/>
      <c r="C142" s="316"/>
      <c r="D142" s="316"/>
      <c r="E142" s="316"/>
      <c r="F142" s="316"/>
      <c r="G142" s="73" t="s">
        <v>47</v>
      </c>
      <c r="H142" s="317">
        <v>0</v>
      </c>
      <c r="I142" s="317"/>
      <c r="J142" s="317"/>
      <c r="K142" s="81" t="s">
        <v>53</v>
      </c>
      <c r="M142" s="315" t="s">
        <v>89</v>
      </c>
      <c r="N142" s="316"/>
      <c r="O142" s="316"/>
      <c r="P142" s="316"/>
      <c r="Q142" s="316"/>
      <c r="R142" s="316"/>
      <c r="S142" s="73" t="s">
        <v>47</v>
      </c>
      <c r="T142" s="317">
        <v>0</v>
      </c>
      <c r="U142" s="317"/>
      <c r="V142" s="317"/>
      <c r="W142" s="81" t="s">
        <v>53</v>
      </c>
    </row>
    <row r="143" spans="1:24" ht="18.75" customHeight="1">
      <c r="A143" s="318" t="s">
        <v>90</v>
      </c>
      <c r="B143" s="319"/>
      <c r="C143" s="319"/>
      <c r="D143" s="319"/>
      <c r="E143" s="319"/>
      <c r="F143" s="319"/>
      <c r="G143" s="73" t="s">
        <v>47</v>
      </c>
      <c r="H143" s="320">
        <f>SUM(H139:J142)</f>
        <v>406980</v>
      </c>
      <c r="I143" s="320"/>
      <c r="J143" s="320"/>
      <c r="K143" s="81" t="s">
        <v>53</v>
      </c>
      <c r="M143" s="318" t="s">
        <v>90</v>
      </c>
      <c r="N143" s="319"/>
      <c r="O143" s="319"/>
      <c r="P143" s="319"/>
      <c r="Q143" s="319"/>
      <c r="R143" s="319"/>
      <c r="S143" s="73" t="s">
        <v>47</v>
      </c>
      <c r="T143" s="320">
        <f>SUM(T139:V142)</f>
        <v>406980</v>
      </c>
      <c r="U143" s="320"/>
      <c r="V143" s="320"/>
      <c r="W143" s="81" t="s">
        <v>53</v>
      </c>
    </row>
    <row r="144" spans="1:24" ht="18.75" customHeight="1">
      <c r="A144" s="315" t="s">
        <v>91</v>
      </c>
      <c r="B144" s="316"/>
      <c r="C144" s="316"/>
      <c r="D144" s="316"/>
      <c r="E144" s="316"/>
      <c r="F144" s="316"/>
      <c r="G144" s="73" t="s">
        <v>47</v>
      </c>
      <c r="H144" s="327">
        <f>ROUND(H136-H143,-2)</f>
        <v>4357100</v>
      </c>
      <c r="I144" s="327"/>
      <c r="J144" s="327"/>
      <c r="K144" s="81" t="s">
        <v>53</v>
      </c>
      <c r="M144" s="315" t="s">
        <v>91</v>
      </c>
      <c r="N144" s="316"/>
      <c r="O144" s="316"/>
      <c r="P144" s="316"/>
      <c r="Q144" s="316"/>
      <c r="R144" s="316"/>
      <c r="S144" s="73" t="s">
        <v>47</v>
      </c>
      <c r="T144" s="327">
        <f>ROUND(T136-T143,-2)</f>
        <v>6200900</v>
      </c>
      <c r="U144" s="327"/>
      <c r="V144" s="327"/>
      <c r="W144" s="81" t="s">
        <v>53</v>
      </c>
    </row>
    <row r="145" spans="1:24" ht="18.75" customHeight="1">
      <c r="A145" s="91"/>
      <c r="B145" s="92"/>
      <c r="C145" s="92"/>
      <c r="D145" s="92"/>
      <c r="E145" s="92"/>
      <c r="F145" s="92"/>
      <c r="G145" s="92"/>
      <c r="H145" s="92"/>
      <c r="I145" s="92"/>
      <c r="J145" s="92"/>
      <c r="K145" s="93"/>
      <c r="M145" s="91"/>
      <c r="N145" s="92"/>
      <c r="O145" s="92"/>
      <c r="P145" s="92"/>
      <c r="Q145" s="92"/>
      <c r="R145" s="92"/>
      <c r="S145" s="92"/>
      <c r="T145" s="92"/>
      <c r="U145" s="92"/>
      <c r="V145" s="92"/>
      <c r="W145" s="93"/>
    </row>
    <row r="146" spans="1:24" ht="18.75" customHeight="1">
      <c r="A146" s="94"/>
      <c r="B146" s="73"/>
      <c r="C146" s="73"/>
      <c r="D146" s="73"/>
      <c r="E146" s="73"/>
      <c r="F146" s="73"/>
      <c r="G146" s="73"/>
      <c r="H146" s="73"/>
      <c r="I146" s="324" t="s">
        <v>92</v>
      </c>
      <c r="J146" s="324"/>
      <c r="K146" s="328"/>
      <c r="M146" s="94"/>
      <c r="N146" s="73"/>
      <c r="O146" s="73"/>
      <c r="P146" s="73"/>
      <c r="Q146" s="73"/>
      <c r="R146" s="73"/>
      <c r="S146" s="73"/>
      <c r="T146" s="73"/>
      <c r="U146" s="324" t="s">
        <v>92</v>
      </c>
      <c r="V146" s="324"/>
      <c r="W146" s="328"/>
    </row>
    <row r="147" spans="1:24" ht="18.75" customHeight="1">
      <c r="A147" s="94"/>
      <c r="B147" s="324"/>
      <c r="C147" s="324"/>
      <c r="D147" s="324"/>
      <c r="E147" s="324"/>
      <c r="F147" s="73"/>
      <c r="G147" s="73"/>
      <c r="H147" s="73"/>
      <c r="I147" s="73"/>
      <c r="J147" s="73"/>
      <c r="K147" s="74"/>
      <c r="M147" s="94"/>
      <c r="N147" s="324"/>
      <c r="O147" s="324"/>
      <c r="P147" s="324"/>
      <c r="Q147" s="324"/>
      <c r="R147" s="73"/>
      <c r="S147" s="73"/>
      <c r="T147" s="73"/>
      <c r="U147" s="73"/>
      <c r="V147" s="73"/>
      <c r="W147" s="74"/>
    </row>
    <row r="148" spans="1:24" ht="18.75" customHeight="1" thickBot="1">
      <c r="A148" s="95"/>
      <c r="B148" s="96"/>
      <c r="C148" s="96"/>
      <c r="D148" s="96"/>
      <c r="E148" s="96"/>
      <c r="F148" s="96"/>
      <c r="G148" s="96"/>
      <c r="H148" s="96"/>
      <c r="I148" s="325" t="s">
        <v>93</v>
      </c>
      <c r="J148" s="325"/>
      <c r="K148" s="326"/>
      <c r="M148" s="95"/>
      <c r="N148" s="96"/>
      <c r="O148" s="96"/>
      <c r="P148" s="96"/>
      <c r="Q148" s="96"/>
      <c r="R148" s="96"/>
      <c r="S148" s="96"/>
      <c r="T148" s="96"/>
      <c r="U148" s="325" t="s">
        <v>93</v>
      </c>
      <c r="V148" s="325"/>
      <c r="W148" s="326"/>
    </row>
    <row r="150" spans="1:24" ht="18.75" customHeight="1" thickTop="1">
      <c r="A150" s="300" t="s">
        <v>41</v>
      </c>
      <c r="B150" s="301"/>
      <c r="C150" s="301"/>
      <c r="D150" s="301"/>
      <c r="E150" s="301"/>
      <c r="F150" s="301"/>
      <c r="G150" s="301"/>
      <c r="H150" s="301"/>
      <c r="I150" s="301"/>
      <c r="J150" s="301"/>
      <c r="K150" s="302"/>
      <c r="L150" s="69">
        <v>25</v>
      </c>
      <c r="M150" s="300" t="s">
        <v>41</v>
      </c>
      <c r="N150" s="301"/>
      <c r="O150" s="301"/>
      <c r="P150" s="301"/>
      <c r="Q150" s="301"/>
      <c r="R150" s="301"/>
      <c r="S150" s="301"/>
      <c r="T150" s="301"/>
      <c r="U150" s="301"/>
      <c r="V150" s="301"/>
      <c r="W150" s="302"/>
      <c r="X150" s="69">
        <v>25</v>
      </c>
    </row>
    <row r="151" spans="1:24" ht="18.75" customHeight="1">
      <c r="A151" s="70" t="s">
        <v>108</v>
      </c>
      <c r="B151" s="71"/>
      <c r="C151" s="71"/>
      <c r="D151" s="71"/>
      <c r="E151" s="71"/>
      <c r="F151" s="71"/>
      <c r="G151" s="71"/>
      <c r="H151" s="71"/>
      <c r="I151" s="71"/>
      <c r="J151" s="71"/>
      <c r="K151" s="72"/>
      <c r="M151" s="70" t="s">
        <v>109</v>
      </c>
      <c r="N151" s="71"/>
      <c r="O151" s="71"/>
      <c r="P151" s="71"/>
      <c r="Q151" s="71"/>
      <c r="R151" s="71"/>
      <c r="S151" s="71"/>
      <c r="T151" s="71"/>
      <c r="U151" s="71"/>
      <c r="V151" s="71"/>
      <c r="W151" s="72"/>
    </row>
    <row r="152" spans="1:24" ht="18.75" customHeight="1">
      <c r="A152" s="303" t="s">
        <v>45</v>
      </c>
      <c r="B152" s="304"/>
      <c r="C152" s="304"/>
      <c r="D152" s="304"/>
      <c r="E152" s="304"/>
      <c r="F152" s="304"/>
      <c r="G152" s="304"/>
      <c r="H152" s="304"/>
      <c r="I152" s="304"/>
      <c r="J152" s="304"/>
      <c r="K152" s="305"/>
      <c r="M152" s="303" t="s">
        <v>45</v>
      </c>
      <c r="N152" s="304"/>
      <c r="O152" s="304"/>
      <c r="P152" s="304"/>
      <c r="Q152" s="304"/>
      <c r="R152" s="304"/>
      <c r="S152" s="304"/>
      <c r="T152" s="304"/>
      <c r="U152" s="304"/>
      <c r="V152" s="304"/>
      <c r="W152" s="305"/>
    </row>
    <row r="153" spans="1:24" ht="18.75" customHeight="1">
      <c r="A153" s="295" t="s">
        <v>46</v>
      </c>
      <c r="B153" s="296"/>
      <c r="C153" s="296"/>
      <c r="D153" s="296"/>
      <c r="E153" s="73" t="s">
        <v>47</v>
      </c>
      <c r="F153" s="297" t="s">
        <v>110</v>
      </c>
      <c r="G153" s="296"/>
      <c r="H153" s="296"/>
      <c r="I153" s="296"/>
      <c r="J153" s="296"/>
      <c r="K153" s="299"/>
      <c r="M153" s="295" t="s">
        <v>46</v>
      </c>
      <c r="N153" s="296"/>
      <c r="O153" s="296"/>
      <c r="P153" s="296"/>
      <c r="Q153" s="73" t="s">
        <v>47</v>
      </c>
      <c r="R153" s="297" t="s">
        <v>101</v>
      </c>
      <c r="S153" s="296"/>
      <c r="T153" s="296"/>
      <c r="U153" s="296"/>
      <c r="V153" s="296"/>
      <c r="W153" s="299"/>
    </row>
    <row r="154" spans="1:24" ht="18.75" customHeight="1">
      <c r="A154" s="295" t="s">
        <v>49</v>
      </c>
      <c r="B154" s="296"/>
      <c r="C154" s="296"/>
      <c r="D154" s="296"/>
      <c r="E154" s="73" t="s">
        <v>47</v>
      </c>
      <c r="F154" s="297">
        <v>5007</v>
      </c>
      <c r="G154" s="297"/>
      <c r="H154" s="297"/>
      <c r="I154" s="297"/>
      <c r="J154" s="297"/>
      <c r="K154" s="298"/>
      <c r="M154" s="295" t="s">
        <v>49</v>
      </c>
      <c r="N154" s="296"/>
      <c r="O154" s="296"/>
      <c r="P154" s="296"/>
      <c r="Q154" s="73" t="s">
        <v>47</v>
      </c>
      <c r="R154" s="297">
        <v>50079</v>
      </c>
      <c r="S154" s="297"/>
      <c r="T154" s="297"/>
      <c r="U154" s="297"/>
      <c r="V154" s="297"/>
      <c r="W154" s="298"/>
    </row>
    <row r="155" spans="1:24" ht="18.75" customHeight="1">
      <c r="A155" s="295" t="s">
        <v>50</v>
      </c>
      <c r="B155" s="296"/>
      <c r="C155" s="296"/>
      <c r="D155" s="296"/>
      <c r="E155" s="73" t="s">
        <v>47</v>
      </c>
      <c r="F155" s="296" t="str">
        <f>$L$2</f>
        <v>Gián tiếp</v>
      </c>
      <c r="G155" s="296"/>
      <c r="H155" s="296"/>
      <c r="I155" s="296"/>
      <c r="J155" s="296"/>
      <c r="K155" s="299"/>
      <c r="M155" s="295" t="s">
        <v>50</v>
      </c>
      <c r="N155" s="296"/>
      <c r="O155" s="296"/>
      <c r="P155" s="296"/>
      <c r="Q155" s="73" t="s">
        <v>47</v>
      </c>
      <c r="R155" s="296" t="str">
        <f>$L$2</f>
        <v>Gián tiếp</v>
      </c>
      <c r="S155" s="296"/>
      <c r="T155" s="296"/>
      <c r="U155" s="296"/>
      <c r="V155" s="296"/>
      <c r="W155" s="299"/>
    </row>
    <row r="156" spans="1:24" ht="18.75" customHeight="1">
      <c r="A156" s="303" t="s">
        <v>51</v>
      </c>
      <c r="B156" s="304"/>
      <c r="C156" s="304"/>
      <c r="D156" s="304"/>
      <c r="E156" s="304"/>
      <c r="F156" s="304"/>
      <c r="G156" s="304"/>
      <c r="H156" s="304"/>
      <c r="I156" s="304"/>
      <c r="J156" s="304"/>
      <c r="K156" s="305"/>
      <c r="M156" s="303" t="s">
        <v>51</v>
      </c>
      <c r="N156" s="304"/>
      <c r="O156" s="304"/>
      <c r="P156" s="304"/>
      <c r="Q156" s="304"/>
      <c r="R156" s="304"/>
      <c r="S156" s="304"/>
      <c r="T156" s="304"/>
      <c r="U156" s="304"/>
      <c r="V156" s="304"/>
      <c r="W156" s="305"/>
    </row>
    <row r="157" spans="1:24" ht="18.75" customHeight="1">
      <c r="A157" s="295" t="s">
        <v>52</v>
      </c>
      <c r="B157" s="296"/>
      <c r="C157" s="296"/>
      <c r="D157" s="296"/>
      <c r="E157" s="73" t="s">
        <v>47</v>
      </c>
      <c r="F157" s="310">
        <v>3876000</v>
      </c>
      <c r="G157" s="310"/>
      <c r="H157" s="310"/>
      <c r="I157" s="310"/>
      <c r="J157" s="73" t="s">
        <v>53</v>
      </c>
      <c r="K157" s="74"/>
      <c r="M157" s="295" t="s">
        <v>52</v>
      </c>
      <c r="N157" s="296"/>
      <c r="O157" s="296"/>
      <c r="P157" s="296"/>
      <c r="Q157" s="73" t="s">
        <v>47</v>
      </c>
      <c r="R157" s="310">
        <v>3876000</v>
      </c>
      <c r="S157" s="310"/>
      <c r="T157" s="310"/>
      <c r="U157" s="310"/>
      <c r="V157" s="73" t="s">
        <v>53</v>
      </c>
      <c r="W157" s="74"/>
    </row>
    <row r="158" spans="1:24" ht="18.75" customHeight="1">
      <c r="A158" s="75" t="s">
        <v>54</v>
      </c>
      <c r="B158" s="73"/>
      <c r="C158" s="76"/>
      <c r="D158" s="77"/>
      <c r="E158" s="78"/>
      <c r="F158" s="78"/>
      <c r="G158" s="78"/>
      <c r="H158" s="73"/>
      <c r="I158" s="79">
        <f>'[2]LUONG T7'!F21</f>
        <v>0</v>
      </c>
      <c r="J158" s="80"/>
      <c r="K158" s="81"/>
      <c r="M158" s="75" t="s">
        <v>54</v>
      </c>
      <c r="N158" s="73"/>
      <c r="O158" s="76"/>
      <c r="P158" s="77"/>
      <c r="Q158" s="78"/>
      <c r="R158" s="78"/>
      <c r="S158" s="78"/>
      <c r="T158" s="73"/>
      <c r="U158" s="79">
        <f>'[2]LUONG T7'!F23</f>
        <v>0</v>
      </c>
      <c r="V158" s="80"/>
      <c r="W158" s="81"/>
    </row>
    <row r="159" spans="1:24" ht="18.75" customHeight="1">
      <c r="A159" s="75" t="s">
        <v>55</v>
      </c>
      <c r="B159" s="73"/>
      <c r="C159" s="76"/>
      <c r="D159" s="77"/>
      <c r="E159" s="78"/>
      <c r="F159" s="78"/>
      <c r="G159" s="78"/>
      <c r="H159" s="73"/>
      <c r="I159" s="79" t="e">
        <f>I160/C160/8</f>
        <v>#DIV/0!</v>
      </c>
      <c r="J159" s="80"/>
      <c r="K159" s="81"/>
      <c r="M159" s="75" t="s">
        <v>55</v>
      </c>
      <c r="N159" s="73"/>
      <c r="O159" s="76"/>
      <c r="P159" s="77"/>
      <c r="Q159" s="78"/>
      <c r="R159" s="78"/>
      <c r="S159" s="78"/>
      <c r="T159" s="73"/>
      <c r="U159" s="79" t="e">
        <f>U160/O160/8</f>
        <v>#DIV/0!</v>
      </c>
      <c r="V159" s="80"/>
      <c r="W159" s="81"/>
    </row>
    <row r="160" spans="1:24" ht="18.75" customHeight="1">
      <c r="A160" s="75" t="s">
        <v>56</v>
      </c>
      <c r="B160" s="73" t="s">
        <v>47</v>
      </c>
      <c r="C160" s="76">
        <f>'[2]LUONG T7'!I20</f>
        <v>0</v>
      </c>
      <c r="D160" s="77" t="s">
        <v>57</v>
      </c>
      <c r="E160" s="308" t="s">
        <v>58</v>
      </c>
      <c r="F160" s="308"/>
      <c r="G160" s="308"/>
      <c r="H160" s="73" t="s">
        <v>47</v>
      </c>
      <c r="I160" s="309">
        <f>'[2]LUONG T7'!I21</f>
        <v>0</v>
      </c>
      <c r="J160" s="309"/>
      <c r="K160" s="81" t="s">
        <v>53</v>
      </c>
      <c r="L160" s="82">
        <f>F157/L150*C160</f>
        <v>0</v>
      </c>
      <c r="M160" s="75" t="s">
        <v>56</v>
      </c>
      <c r="N160" s="73" t="s">
        <v>47</v>
      </c>
      <c r="O160" s="76">
        <f>'[2]LUONG T7'!I22</f>
        <v>0</v>
      </c>
      <c r="P160" s="77" t="s">
        <v>57</v>
      </c>
      <c r="Q160" s="308" t="s">
        <v>58</v>
      </c>
      <c r="R160" s="308"/>
      <c r="S160" s="308"/>
      <c r="T160" s="73" t="s">
        <v>47</v>
      </c>
      <c r="U160" s="309">
        <f>'[2]LUONG T7'!I23</f>
        <v>0</v>
      </c>
      <c r="V160" s="309"/>
      <c r="W160" s="81" t="s">
        <v>53</v>
      </c>
      <c r="X160" s="82">
        <f>R157/X150*O160</f>
        <v>0</v>
      </c>
    </row>
    <row r="161" spans="1:24" ht="18.75" customHeight="1">
      <c r="A161" s="75" t="s">
        <v>59</v>
      </c>
      <c r="B161" s="73" t="s">
        <v>47</v>
      </c>
      <c r="C161" s="76">
        <f>'[2]LUONG T7'!J20</f>
        <v>0</v>
      </c>
      <c r="D161" s="77" t="s">
        <v>57</v>
      </c>
      <c r="E161" s="296" t="s">
        <v>60</v>
      </c>
      <c r="F161" s="296"/>
      <c r="G161" s="296"/>
      <c r="H161" s="73" t="s">
        <v>47</v>
      </c>
      <c r="I161" s="307">
        <f>$F$8/$L$1*C161</f>
        <v>0</v>
      </c>
      <c r="J161" s="307"/>
      <c r="K161" s="81" t="s">
        <v>53</v>
      </c>
      <c r="L161" s="82"/>
      <c r="M161" s="75" t="s">
        <v>59</v>
      </c>
      <c r="N161" s="73" t="s">
        <v>47</v>
      </c>
      <c r="O161" s="76">
        <f>'[2]LUONG T7'!J22</f>
        <v>0</v>
      </c>
      <c r="P161" s="77" t="s">
        <v>57</v>
      </c>
      <c r="Q161" s="296" t="s">
        <v>60</v>
      </c>
      <c r="R161" s="296"/>
      <c r="S161" s="296"/>
      <c r="T161" s="73" t="s">
        <v>47</v>
      </c>
      <c r="U161" s="307">
        <f>$F$8/$L$1*O161</f>
        <v>0</v>
      </c>
      <c r="V161" s="307"/>
      <c r="W161" s="81" t="s">
        <v>53</v>
      </c>
      <c r="X161" s="82"/>
    </row>
    <row r="162" spans="1:24" ht="18.75" customHeight="1">
      <c r="A162" s="75" t="s">
        <v>61</v>
      </c>
      <c r="B162" s="73" t="s">
        <v>47</v>
      </c>
      <c r="C162" s="76">
        <f>'[2]LUONG T7'!K20</f>
        <v>0</v>
      </c>
      <c r="D162" s="77" t="s">
        <v>57</v>
      </c>
      <c r="E162" s="306" t="s">
        <v>62</v>
      </c>
      <c r="F162" s="306"/>
      <c r="G162" s="306"/>
      <c r="H162" s="73" t="s">
        <v>47</v>
      </c>
      <c r="I162" s="307">
        <f>F157/$L$1*C162</f>
        <v>0</v>
      </c>
      <c r="J162" s="307"/>
      <c r="K162" s="81" t="s">
        <v>53</v>
      </c>
      <c r="L162" s="82"/>
      <c r="M162" s="75" t="s">
        <v>61</v>
      </c>
      <c r="N162" s="73" t="s">
        <v>47</v>
      </c>
      <c r="O162" s="76">
        <f>'[2]LUONG T7'!K22</f>
        <v>0</v>
      </c>
      <c r="P162" s="77" t="s">
        <v>57</v>
      </c>
      <c r="Q162" s="306" t="s">
        <v>62</v>
      </c>
      <c r="R162" s="306"/>
      <c r="S162" s="306"/>
      <c r="T162" s="73" t="s">
        <v>47</v>
      </c>
      <c r="U162" s="307">
        <f>$F$8/$L$1*O162</f>
        <v>0</v>
      </c>
      <c r="V162" s="307"/>
      <c r="W162" s="81" t="s">
        <v>53</v>
      </c>
      <c r="X162" s="82"/>
    </row>
    <row r="163" spans="1:24" ht="18.75" customHeight="1">
      <c r="A163" s="75" t="s">
        <v>63</v>
      </c>
      <c r="B163" s="73" t="s">
        <v>47</v>
      </c>
      <c r="C163" s="76">
        <f>'[2]LUONG T7'!L20</f>
        <v>0</v>
      </c>
      <c r="D163" s="77" t="s">
        <v>57</v>
      </c>
      <c r="E163" s="306" t="s">
        <v>64</v>
      </c>
      <c r="F163" s="306"/>
      <c r="G163" s="306"/>
      <c r="H163" s="73" t="s">
        <v>47</v>
      </c>
      <c r="I163" s="307">
        <f>$F$8/$L$1*C163</f>
        <v>0</v>
      </c>
      <c r="J163" s="307"/>
      <c r="K163" s="81" t="s">
        <v>53</v>
      </c>
      <c r="L163" s="82"/>
      <c r="M163" s="75" t="s">
        <v>63</v>
      </c>
      <c r="N163" s="73" t="s">
        <v>47</v>
      </c>
      <c r="O163" s="76">
        <f>'[2]LUONG T7'!L22</f>
        <v>0</v>
      </c>
      <c r="P163" s="77" t="s">
        <v>57</v>
      </c>
      <c r="Q163" s="306" t="s">
        <v>64</v>
      </c>
      <c r="R163" s="306"/>
      <c r="S163" s="306"/>
      <c r="T163" s="73" t="s">
        <v>47</v>
      </c>
      <c r="U163" s="307">
        <f>$F$8/$L$1*O163</f>
        <v>0</v>
      </c>
      <c r="V163" s="307"/>
      <c r="W163" s="81" t="s">
        <v>53</v>
      </c>
      <c r="X163" s="82"/>
    </row>
    <row r="164" spans="1:24" ht="18.75" customHeight="1">
      <c r="A164" s="75" t="s">
        <v>65</v>
      </c>
      <c r="B164" s="73" t="s">
        <v>47</v>
      </c>
      <c r="C164" s="76">
        <f>'[2]LUONG T7'!Q20</f>
        <v>0</v>
      </c>
      <c r="D164" s="77" t="s">
        <v>66</v>
      </c>
      <c r="E164" s="296" t="s">
        <v>67</v>
      </c>
      <c r="F164" s="296"/>
      <c r="G164" s="296"/>
      <c r="H164" s="73" t="s">
        <v>47</v>
      </c>
      <c r="I164" s="307">
        <f>'[2]LUONG T7'!Q21</f>
        <v>0</v>
      </c>
      <c r="J164" s="307"/>
      <c r="K164" s="81" t="s">
        <v>53</v>
      </c>
      <c r="L164" s="82">
        <f>F157*C164/L150/8*1.5</f>
        <v>0</v>
      </c>
      <c r="M164" s="75" t="s">
        <v>65</v>
      </c>
      <c r="N164" s="73" t="s">
        <v>47</v>
      </c>
      <c r="O164" s="76">
        <f>'[2]LUONG T7'!Q22</f>
        <v>0</v>
      </c>
      <c r="P164" s="77" t="s">
        <v>66</v>
      </c>
      <c r="Q164" s="296" t="s">
        <v>67</v>
      </c>
      <c r="R164" s="296"/>
      <c r="S164" s="296"/>
      <c r="T164" s="73" t="s">
        <v>47</v>
      </c>
      <c r="U164" s="307">
        <f>'[2]LUONG T7'!Q23</f>
        <v>0</v>
      </c>
      <c r="V164" s="307"/>
      <c r="W164" s="81" t="s">
        <v>53</v>
      </c>
      <c r="X164" s="82">
        <f>R157*O164/X150/8*1.5</f>
        <v>0</v>
      </c>
    </row>
    <row r="165" spans="1:24" ht="18.75" customHeight="1">
      <c r="A165" s="295" t="s">
        <v>68</v>
      </c>
      <c r="B165" s="296"/>
      <c r="C165" s="76"/>
      <c r="D165" s="77" t="s">
        <v>57</v>
      </c>
      <c r="E165" s="296" t="s">
        <v>69</v>
      </c>
      <c r="F165" s="296"/>
      <c r="G165" s="296"/>
      <c r="H165" s="83" t="s">
        <v>47</v>
      </c>
      <c r="I165" s="307"/>
      <c r="J165" s="307"/>
      <c r="K165" s="81" t="s">
        <v>53</v>
      </c>
      <c r="L165" s="82"/>
      <c r="M165" s="295" t="s">
        <v>68</v>
      </c>
      <c r="N165" s="296"/>
      <c r="O165" s="76"/>
      <c r="P165" s="77" t="s">
        <v>57</v>
      </c>
      <c r="Q165" s="296" t="s">
        <v>69</v>
      </c>
      <c r="R165" s="296"/>
      <c r="S165" s="296"/>
      <c r="T165" s="83" t="s">
        <v>47</v>
      </c>
      <c r="U165" s="307"/>
      <c r="V165" s="307"/>
      <c r="W165" s="81" t="s">
        <v>53</v>
      </c>
      <c r="X165" s="82"/>
    </row>
    <row r="166" spans="1:24" ht="18.75" customHeight="1">
      <c r="A166" s="75" t="s">
        <v>70</v>
      </c>
      <c r="B166" s="73" t="s">
        <v>47</v>
      </c>
      <c r="C166" s="76"/>
      <c r="D166" s="77" t="s">
        <v>57</v>
      </c>
      <c r="E166" s="296" t="s">
        <v>71</v>
      </c>
      <c r="F166" s="296"/>
      <c r="G166" s="296"/>
      <c r="H166" s="73" t="s">
        <v>47</v>
      </c>
      <c r="I166" s="307"/>
      <c r="J166" s="307"/>
      <c r="K166" s="81" t="s">
        <v>53</v>
      </c>
      <c r="L166" s="82"/>
      <c r="M166" s="75" t="s">
        <v>70</v>
      </c>
      <c r="N166" s="73" t="s">
        <v>47</v>
      </c>
      <c r="O166" s="76"/>
      <c r="P166" s="77" t="s">
        <v>57</v>
      </c>
      <c r="Q166" s="296" t="s">
        <v>71</v>
      </c>
      <c r="R166" s="296"/>
      <c r="S166" s="296"/>
      <c r="T166" s="73" t="s">
        <v>47</v>
      </c>
      <c r="U166" s="307"/>
      <c r="V166" s="307"/>
      <c r="W166" s="81" t="s">
        <v>53</v>
      </c>
      <c r="X166" s="82"/>
    </row>
    <row r="167" spans="1:24" ht="18.75" customHeight="1">
      <c r="A167" s="84" t="s">
        <v>72</v>
      </c>
      <c r="B167" s="73"/>
      <c r="C167" s="76">
        <f>'[2]LUONG T7'!M20</f>
        <v>0</v>
      </c>
      <c r="D167" s="77" t="s">
        <v>66</v>
      </c>
      <c r="E167" s="296" t="s">
        <v>73</v>
      </c>
      <c r="F167" s="296"/>
      <c r="G167" s="296"/>
      <c r="H167" s="73" t="s">
        <v>47</v>
      </c>
      <c r="I167" s="307">
        <v>10000</v>
      </c>
      <c r="J167" s="307"/>
      <c r="K167" s="81" t="s">
        <v>53</v>
      </c>
      <c r="L167" s="82"/>
      <c r="M167" s="84" t="s">
        <v>72</v>
      </c>
      <c r="N167" s="73"/>
      <c r="O167" s="76">
        <f>'[2]LUONG T7'!M22</f>
        <v>0</v>
      </c>
      <c r="P167" s="77" t="s">
        <v>66</v>
      </c>
      <c r="Q167" s="296" t="s">
        <v>73</v>
      </c>
      <c r="R167" s="296"/>
      <c r="S167" s="296"/>
      <c r="T167" s="73" t="s">
        <v>47</v>
      </c>
      <c r="U167" s="307">
        <v>20000</v>
      </c>
      <c r="V167" s="307"/>
      <c r="W167" s="81" t="s">
        <v>53</v>
      </c>
      <c r="X167" s="82"/>
    </row>
    <row r="168" spans="1:24" ht="18.75" customHeight="1">
      <c r="A168" s="75" t="s">
        <v>103</v>
      </c>
      <c r="B168" s="73" t="s">
        <v>47</v>
      </c>
      <c r="C168" s="76"/>
      <c r="D168" s="77" t="s">
        <v>66</v>
      </c>
      <c r="E168" s="296" t="s">
        <v>111</v>
      </c>
      <c r="F168" s="296"/>
      <c r="G168" s="296"/>
      <c r="H168" s="73" t="s">
        <v>47</v>
      </c>
      <c r="I168" s="309">
        <v>232500</v>
      </c>
      <c r="J168" s="309"/>
      <c r="K168" s="81" t="s">
        <v>53</v>
      </c>
      <c r="L168" s="82"/>
      <c r="M168" s="75" t="s">
        <v>74</v>
      </c>
      <c r="N168" s="73" t="s">
        <v>47</v>
      </c>
      <c r="O168" s="76"/>
      <c r="P168" s="77" t="s">
        <v>66</v>
      </c>
      <c r="Q168" s="296" t="s">
        <v>111</v>
      </c>
      <c r="R168" s="296"/>
      <c r="S168" s="296"/>
      <c r="T168" s="73" t="s">
        <v>47</v>
      </c>
      <c r="U168" s="309">
        <v>240000</v>
      </c>
      <c r="V168" s="309"/>
      <c r="W168" s="81" t="s">
        <v>53</v>
      </c>
      <c r="X168" s="82"/>
    </row>
    <row r="169" spans="1:24" ht="18.75" customHeight="1">
      <c r="A169" s="75" t="s">
        <v>76</v>
      </c>
      <c r="B169" s="73" t="s">
        <v>47</v>
      </c>
      <c r="C169" s="76"/>
      <c r="D169" s="77" t="s">
        <v>77</v>
      </c>
      <c r="E169" s="85" t="s">
        <v>78</v>
      </c>
      <c r="F169" s="85"/>
      <c r="G169" s="85"/>
      <c r="H169" s="73" t="s">
        <v>47</v>
      </c>
      <c r="I169" s="307"/>
      <c r="J169" s="307"/>
      <c r="K169" s="81" t="s">
        <v>53</v>
      </c>
      <c r="L169" s="82">
        <f>+IF(L160-I160&lt;0,0,L160-I160)+IF(L164-I164&lt;0,0,L164-I164)</f>
        <v>0</v>
      </c>
      <c r="M169" s="75" t="s">
        <v>76</v>
      </c>
      <c r="N169" s="73" t="s">
        <v>47</v>
      </c>
      <c r="O169" s="76"/>
      <c r="P169" s="77" t="s">
        <v>77</v>
      </c>
      <c r="Q169" s="85" t="s">
        <v>78</v>
      </c>
      <c r="R169" s="85"/>
      <c r="S169" s="85"/>
      <c r="T169" s="73" t="s">
        <v>47</v>
      </c>
      <c r="U169" s="307"/>
      <c r="V169" s="307"/>
      <c r="W169" s="81" t="s">
        <v>53</v>
      </c>
      <c r="X169" s="82">
        <f>+IF(X160-U160&lt;0,0,X160-U160)+IF(X164-U164&lt;0,0,X164-U164)</f>
        <v>0</v>
      </c>
    </row>
    <row r="170" spans="1:24" ht="18.75" customHeight="1">
      <c r="A170" s="86" t="s">
        <v>79</v>
      </c>
      <c r="B170" s="87"/>
      <c r="C170" s="76"/>
      <c r="D170" s="77" t="s">
        <v>57</v>
      </c>
      <c r="E170" s="296" t="s">
        <v>80</v>
      </c>
      <c r="F170" s="296"/>
      <c r="G170" s="296"/>
      <c r="H170" s="73" t="s">
        <v>47</v>
      </c>
      <c r="I170" s="307">
        <v>318000</v>
      </c>
      <c r="J170" s="307"/>
      <c r="K170" s="81" t="s">
        <v>53</v>
      </c>
      <c r="L170" s="82"/>
      <c r="M170" s="86" t="s">
        <v>79</v>
      </c>
      <c r="N170" s="87"/>
      <c r="O170" s="76"/>
      <c r="P170" s="77" t="s">
        <v>57</v>
      </c>
      <c r="Q170" s="296" t="s">
        <v>80</v>
      </c>
      <c r="R170" s="296"/>
      <c r="S170" s="296"/>
      <c r="T170" s="73" t="s">
        <v>47</v>
      </c>
      <c r="U170" s="307">
        <v>324000</v>
      </c>
      <c r="V170" s="307"/>
      <c r="W170" s="81" t="s">
        <v>53</v>
      </c>
      <c r="X170" s="82"/>
    </row>
    <row r="171" spans="1:24" ht="18.75" customHeight="1">
      <c r="A171" s="314" t="s">
        <v>81</v>
      </c>
      <c r="B171" s="308"/>
      <c r="C171" s="76"/>
      <c r="D171" s="77"/>
      <c r="E171" s="78"/>
      <c r="F171" s="78"/>
      <c r="G171" s="78"/>
      <c r="H171" s="73" t="s">
        <v>47</v>
      </c>
      <c r="I171" s="307">
        <f>'[2]LUONG T7'!P21</f>
        <v>0</v>
      </c>
      <c r="J171" s="307"/>
      <c r="K171" s="81" t="s">
        <v>53</v>
      </c>
      <c r="L171" s="82"/>
      <c r="M171" s="314" t="s">
        <v>81</v>
      </c>
      <c r="N171" s="308"/>
      <c r="O171" s="76"/>
      <c r="P171" s="77"/>
      <c r="Q171" s="78"/>
      <c r="R171" s="78"/>
      <c r="S171" s="78"/>
      <c r="T171" s="73" t="s">
        <v>47</v>
      </c>
      <c r="U171" s="307">
        <f>'[2]LUONG T7'!P23</f>
        <v>0</v>
      </c>
      <c r="V171" s="307"/>
      <c r="W171" s="81" t="s">
        <v>53</v>
      </c>
      <c r="X171" s="82"/>
    </row>
    <row r="172" spans="1:24" ht="18.75" customHeight="1">
      <c r="A172" s="75" t="s">
        <v>82</v>
      </c>
      <c r="B172" s="73" t="s">
        <v>47</v>
      </c>
      <c r="C172" s="76"/>
      <c r="D172" s="77"/>
      <c r="E172" s="78" t="s">
        <v>83</v>
      </c>
      <c r="F172" s="78"/>
      <c r="G172" s="78"/>
      <c r="H172" s="73" t="s">
        <v>47</v>
      </c>
      <c r="I172" s="307">
        <f>L169</f>
        <v>0</v>
      </c>
      <c r="J172" s="307"/>
      <c r="K172" s="81" t="s">
        <v>53</v>
      </c>
      <c r="L172" s="82"/>
      <c r="M172" s="75" t="s">
        <v>82</v>
      </c>
      <c r="N172" s="73" t="s">
        <v>47</v>
      </c>
      <c r="O172" s="76"/>
      <c r="P172" s="77"/>
      <c r="Q172" s="78" t="s">
        <v>83</v>
      </c>
      <c r="R172" s="78"/>
      <c r="S172" s="78"/>
      <c r="T172" s="73" t="s">
        <v>47</v>
      </c>
      <c r="U172" s="307">
        <f>X169</f>
        <v>0</v>
      </c>
      <c r="V172" s="307"/>
      <c r="W172" s="81" t="s">
        <v>53</v>
      </c>
      <c r="X172" s="82"/>
    </row>
    <row r="173" spans="1:24" ht="18.75" customHeight="1">
      <c r="A173" s="311" t="s">
        <v>84</v>
      </c>
      <c r="B173" s="312"/>
      <c r="C173" s="312"/>
      <c r="D173" s="312"/>
      <c r="E173" s="312"/>
      <c r="F173" s="312"/>
      <c r="G173" s="73" t="s">
        <v>47</v>
      </c>
      <c r="H173" s="313">
        <f>I160+I161+I162+I163+I164+I167+I171+I172+I170+I168</f>
        <v>560500</v>
      </c>
      <c r="I173" s="313"/>
      <c r="J173" s="313"/>
      <c r="K173" s="81" t="s">
        <v>53</v>
      </c>
      <c r="M173" s="311" t="s">
        <v>84</v>
      </c>
      <c r="N173" s="312"/>
      <c r="O173" s="312"/>
      <c r="P173" s="312"/>
      <c r="Q173" s="312"/>
      <c r="R173" s="312"/>
      <c r="S173" s="73" t="s">
        <v>47</v>
      </c>
      <c r="T173" s="313">
        <f>U160+U161+U162+U163+U164+U167+U171+U172+U170+U168</f>
        <v>584000</v>
      </c>
      <c r="U173" s="313"/>
      <c r="V173" s="313"/>
      <c r="W173" s="81" t="s">
        <v>53</v>
      </c>
    </row>
    <row r="174" spans="1:24" ht="18.75" customHeight="1">
      <c r="A174" s="88"/>
      <c r="B174" s="89"/>
      <c r="C174" s="89"/>
      <c r="D174" s="89"/>
      <c r="E174" s="89"/>
      <c r="F174" s="89"/>
      <c r="G174" s="89"/>
      <c r="H174" s="89"/>
      <c r="I174" s="89"/>
      <c r="J174" s="89"/>
      <c r="K174" s="90"/>
      <c r="M174" s="88"/>
      <c r="N174" s="89"/>
      <c r="O174" s="89"/>
      <c r="P174" s="89"/>
      <c r="Q174" s="89"/>
      <c r="R174" s="89"/>
      <c r="S174" s="89"/>
      <c r="T174" s="89"/>
      <c r="U174" s="89"/>
      <c r="V174" s="89"/>
      <c r="W174" s="90"/>
    </row>
    <row r="175" spans="1:24" ht="18.75" customHeight="1">
      <c r="A175" s="321" t="s">
        <v>85</v>
      </c>
      <c r="B175" s="322"/>
      <c r="C175" s="322"/>
      <c r="D175" s="322"/>
      <c r="E175" s="322"/>
      <c r="F175" s="322"/>
      <c r="G175" s="73"/>
      <c r="H175" s="73"/>
      <c r="I175" s="73"/>
      <c r="J175" s="73"/>
      <c r="K175" s="81"/>
      <c r="M175" s="321" t="s">
        <v>85</v>
      </c>
      <c r="N175" s="322"/>
      <c r="O175" s="322"/>
      <c r="P175" s="322"/>
      <c r="Q175" s="322"/>
      <c r="R175" s="322"/>
      <c r="S175" s="73"/>
      <c r="T175" s="73"/>
      <c r="U175" s="73"/>
      <c r="V175" s="73"/>
      <c r="W175" s="81"/>
    </row>
    <row r="176" spans="1:24" ht="18.75" customHeight="1">
      <c r="A176" s="315" t="s">
        <v>86</v>
      </c>
      <c r="B176" s="316"/>
      <c r="C176" s="316"/>
      <c r="D176" s="316"/>
      <c r="E176" s="316"/>
      <c r="F176" s="316"/>
      <c r="G176" s="73" t="s">
        <v>47</v>
      </c>
      <c r="H176" s="323">
        <f>IF(($L$1-(C160+C161+C162+C163))&gt;12,0,F157*8%)</f>
        <v>0</v>
      </c>
      <c r="I176" s="323"/>
      <c r="J176" s="323"/>
      <c r="K176" s="81" t="s">
        <v>53</v>
      </c>
      <c r="M176" s="315" t="s">
        <v>86</v>
      </c>
      <c r="N176" s="316"/>
      <c r="O176" s="316"/>
      <c r="P176" s="316"/>
      <c r="Q176" s="316"/>
      <c r="R176" s="316"/>
      <c r="S176" s="73" t="s">
        <v>47</v>
      </c>
      <c r="T176" s="323">
        <f>IF(($L$1-(O160+O161+O162+O163))&gt;12,0,R157*8%)</f>
        <v>0</v>
      </c>
      <c r="U176" s="323"/>
      <c r="V176" s="323"/>
      <c r="W176" s="81" t="s">
        <v>53</v>
      </c>
    </row>
    <row r="177" spans="1:24" ht="18.75" customHeight="1">
      <c r="A177" s="315" t="s">
        <v>87</v>
      </c>
      <c r="B177" s="316"/>
      <c r="C177" s="316"/>
      <c r="D177" s="316"/>
      <c r="E177" s="316"/>
      <c r="F177" s="316"/>
      <c r="G177" s="73" t="s">
        <v>47</v>
      </c>
      <c r="H177" s="317">
        <f>IF(($L$1-(C160+C161+C162+C163))&gt;12,0,F157*1.5%)</f>
        <v>0</v>
      </c>
      <c r="I177" s="317"/>
      <c r="J177" s="317"/>
      <c r="K177" s="81" t="s">
        <v>53</v>
      </c>
      <c r="M177" s="315" t="s">
        <v>87</v>
      </c>
      <c r="N177" s="316"/>
      <c r="O177" s="316"/>
      <c r="P177" s="316"/>
      <c r="Q177" s="316"/>
      <c r="R177" s="316"/>
      <c r="S177" s="73" t="s">
        <v>47</v>
      </c>
      <c r="T177" s="317">
        <f>IF(($L$1-(O160+O161+O162+O163))&gt;12,0,R157*1.5%)</f>
        <v>0</v>
      </c>
      <c r="U177" s="317"/>
      <c r="V177" s="317"/>
      <c r="W177" s="81" t="s">
        <v>53</v>
      </c>
    </row>
    <row r="178" spans="1:24" ht="18.75" customHeight="1">
      <c r="A178" s="315" t="s">
        <v>88</v>
      </c>
      <c r="B178" s="316"/>
      <c r="C178" s="316"/>
      <c r="D178" s="316"/>
      <c r="E178" s="316"/>
      <c r="F178" s="316"/>
      <c r="G178" s="73" t="s">
        <v>47</v>
      </c>
      <c r="H178" s="317">
        <f>IF(($L$1-(C160+C161+C162+C163))&gt;12,0,F157*1%)</f>
        <v>0</v>
      </c>
      <c r="I178" s="317"/>
      <c r="J178" s="317"/>
      <c r="K178" s="81" t="s">
        <v>53</v>
      </c>
      <c r="M178" s="315" t="s">
        <v>88</v>
      </c>
      <c r="N178" s="316"/>
      <c r="O178" s="316"/>
      <c r="P178" s="316"/>
      <c r="Q178" s="316"/>
      <c r="R178" s="316"/>
      <c r="S178" s="73" t="s">
        <v>47</v>
      </c>
      <c r="T178" s="317">
        <f>IF(($L$1-(O160+O161+O162+O163))&gt;12,0,R157*1%)</f>
        <v>0</v>
      </c>
      <c r="U178" s="317"/>
      <c r="V178" s="317"/>
      <c r="W178" s="81" t="s">
        <v>53</v>
      </c>
    </row>
    <row r="179" spans="1:24" ht="18.75" customHeight="1">
      <c r="A179" s="315" t="s">
        <v>89</v>
      </c>
      <c r="B179" s="316"/>
      <c r="C179" s="316"/>
      <c r="D179" s="316"/>
      <c r="E179" s="316"/>
      <c r="F179" s="316"/>
      <c r="G179" s="73" t="s">
        <v>47</v>
      </c>
      <c r="H179" s="317">
        <v>0</v>
      </c>
      <c r="I179" s="317"/>
      <c r="J179" s="317"/>
      <c r="K179" s="81" t="s">
        <v>53</v>
      </c>
      <c r="M179" s="315" t="s">
        <v>89</v>
      </c>
      <c r="N179" s="316"/>
      <c r="O179" s="316"/>
      <c r="P179" s="316"/>
      <c r="Q179" s="316"/>
      <c r="R179" s="316"/>
      <c r="S179" s="73" t="s">
        <v>47</v>
      </c>
      <c r="T179" s="317">
        <v>0</v>
      </c>
      <c r="U179" s="317"/>
      <c r="V179" s="317"/>
      <c r="W179" s="81" t="s">
        <v>53</v>
      </c>
    </row>
    <row r="180" spans="1:24" ht="18.75" customHeight="1">
      <c r="A180" s="318" t="s">
        <v>90</v>
      </c>
      <c r="B180" s="319"/>
      <c r="C180" s="319"/>
      <c r="D180" s="319"/>
      <c r="E180" s="319"/>
      <c r="F180" s="319"/>
      <c r="G180" s="73" t="s">
        <v>47</v>
      </c>
      <c r="H180" s="320">
        <f>SUM(H176:J179)</f>
        <v>0</v>
      </c>
      <c r="I180" s="320"/>
      <c r="J180" s="320"/>
      <c r="K180" s="81" t="s">
        <v>53</v>
      </c>
      <c r="M180" s="318" t="s">
        <v>90</v>
      </c>
      <c r="N180" s="319"/>
      <c r="O180" s="319"/>
      <c r="P180" s="319"/>
      <c r="Q180" s="319"/>
      <c r="R180" s="319"/>
      <c r="S180" s="73" t="s">
        <v>47</v>
      </c>
      <c r="T180" s="320">
        <f>SUM(T176:V179)</f>
        <v>0</v>
      </c>
      <c r="U180" s="320"/>
      <c r="V180" s="320"/>
      <c r="W180" s="81" t="s">
        <v>53</v>
      </c>
    </row>
    <row r="181" spans="1:24" ht="18.75" customHeight="1">
      <c r="A181" s="315" t="s">
        <v>91</v>
      </c>
      <c r="B181" s="316"/>
      <c r="C181" s="316"/>
      <c r="D181" s="316"/>
      <c r="E181" s="316"/>
      <c r="F181" s="316"/>
      <c r="G181" s="73" t="s">
        <v>47</v>
      </c>
      <c r="H181" s="327">
        <f>ROUND(H173-H180,-2)</f>
        <v>560500</v>
      </c>
      <c r="I181" s="327"/>
      <c r="J181" s="327"/>
      <c r="K181" s="81" t="s">
        <v>53</v>
      </c>
      <c r="M181" s="315" t="s">
        <v>91</v>
      </c>
      <c r="N181" s="316"/>
      <c r="O181" s="316"/>
      <c r="P181" s="316"/>
      <c r="Q181" s="316"/>
      <c r="R181" s="316"/>
      <c r="S181" s="73" t="s">
        <v>47</v>
      </c>
      <c r="T181" s="327">
        <f>ROUND(T173-T180,-2)</f>
        <v>584000</v>
      </c>
      <c r="U181" s="327"/>
      <c r="V181" s="327"/>
      <c r="W181" s="81" t="s">
        <v>53</v>
      </c>
    </row>
    <row r="182" spans="1:24" ht="18.75" customHeight="1">
      <c r="A182" s="91"/>
      <c r="B182" s="92"/>
      <c r="C182" s="92"/>
      <c r="D182" s="92"/>
      <c r="E182" s="92"/>
      <c r="F182" s="92"/>
      <c r="G182" s="92"/>
      <c r="H182" s="92"/>
      <c r="I182" s="92"/>
      <c r="J182" s="92"/>
      <c r="K182" s="93"/>
      <c r="M182" s="91"/>
      <c r="N182" s="92"/>
      <c r="O182" s="92"/>
      <c r="P182" s="92"/>
      <c r="Q182" s="92"/>
      <c r="R182" s="92"/>
      <c r="S182" s="92"/>
      <c r="T182" s="92"/>
      <c r="U182" s="92"/>
      <c r="V182" s="92"/>
      <c r="W182" s="93"/>
    </row>
    <row r="183" spans="1:24" ht="18.75" customHeight="1">
      <c r="A183" s="94"/>
      <c r="B183" s="73"/>
      <c r="C183" s="73"/>
      <c r="D183" s="73"/>
      <c r="E183" s="73"/>
      <c r="F183" s="73"/>
      <c r="G183" s="73"/>
      <c r="H183" s="73"/>
      <c r="I183" s="324" t="s">
        <v>92</v>
      </c>
      <c r="J183" s="324"/>
      <c r="K183" s="328"/>
      <c r="M183" s="94"/>
      <c r="N183" s="73"/>
      <c r="O183" s="73"/>
      <c r="P183" s="73"/>
      <c r="Q183" s="73"/>
      <c r="R183" s="73"/>
      <c r="S183" s="73"/>
      <c r="T183" s="73"/>
      <c r="U183" s="324" t="s">
        <v>92</v>
      </c>
      <c r="V183" s="324"/>
      <c r="W183" s="328"/>
    </row>
    <row r="184" spans="1:24" ht="18.75" customHeight="1">
      <c r="A184" s="94"/>
      <c r="B184" s="324"/>
      <c r="C184" s="324"/>
      <c r="D184" s="324"/>
      <c r="E184" s="324"/>
      <c r="F184" s="73"/>
      <c r="G184" s="73"/>
      <c r="H184" s="73"/>
      <c r="I184" s="73"/>
      <c r="J184" s="73"/>
      <c r="K184" s="74"/>
      <c r="M184" s="94"/>
      <c r="N184" s="324"/>
      <c r="O184" s="324"/>
      <c r="P184" s="324"/>
      <c r="Q184" s="324"/>
      <c r="R184" s="73"/>
      <c r="S184" s="73"/>
      <c r="T184" s="73"/>
      <c r="U184" s="73"/>
      <c r="V184" s="73"/>
      <c r="W184" s="74"/>
    </row>
    <row r="185" spans="1:24" ht="18.75" customHeight="1" thickBot="1">
      <c r="A185" s="95"/>
      <c r="B185" s="96"/>
      <c r="C185" s="96"/>
      <c r="D185" s="96"/>
      <c r="E185" s="96"/>
      <c r="F185" s="96"/>
      <c r="G185" s="96"/>
      <c r="H185" s="96"/>
      <c r="I185" s="325" t="s">
        <v>93</v>
      </c>
      <c r="J185" s="325"/>
      <c r="K185" s="326"/>
      <c r="M185" s="95"/>
      <c r="N185" s="96"/>
      <c r="O185" s="96"/>
      <c r="P185" s="96"/>
      <c r="Q185" s="96"/>
      <c r="R185" s="96"/>
      <c r="S185" s="96"/>
      <c r="T185" s="96"/>
      <c r="U185" s="325" t="s">
        <v>93</v>
      </c>
      <c r="V185" s="325"/>
      <c r="W185" s="326"/>
    </row>
    <row r="187" spans="1:24" ht="18.75" customHeight="1" thickTop="1">
      <c r="A187" s="300" t="s">
        <v>41</v>
      </c>
      <c r="B187" s="301"/>
      <c r="C187" s="301"/>
      <c r="D187" s="301"/>
      <c r="E187" s="301"/>
      <c r="F187" s="301"/>
      <c r="G187" s="301"/>
      <c r="H187" s="301"/>
      <c r="I187" s="301"/>
      <c r="J187" s="301"/>
      <c r="K187" s="302"/>
      <c r="L187" s="69">
        <v>25</v>
      </c>
      <c r="M187" s="300" t="s">
        <v>41</v>
      </c>
      <c r="N187" s="301"/>
      <c r="O187" s="301"/>
      <c r="P187" s="301"/>
      <c r="Q187" s="301"/>
      <c r="R187" s="301"/>
      <c r="S187" s="301"/>
      <c r="T187" s="301"/>
      <c r="U187" s="301"/>
      <c r="V187" s="301"/>
      <c r="W187" s="302"/>
      <c r="X187" s="69">
        <v>25</v>
      </c>
    </row>
    <row r="188" spans="1:24" ht="18.75" customHeight="1">
      <c r="A188" s="70" t="s">
        <v>112</v>
      </c>
      <c r="B188" s="71"/>
      <c r="C188" s="71"/>
      <c r="D188" s="71"/>
      <c r="E188" s="71"/>
      <c r="F188" s="71"/>
      <c r="G188" s="71"/>
      <c r="H188" s="71"/>
      <c r="I188" s="71"/>
      <c r="J188" s="71"/>
      <c r="K188" s="72"/>
      <c r="M188" s="70" t="s">
        <v>113</v>
      </c>
      <c r="N188" s="71"/>
      <c r="O188" s="71"/>
      <c r="P188" s="71"/>
      <c r="Q188" s="71"/>
      <c r="R188" s="71"/>
      <c r="S188" s="71"/>
      <c r="T188" s="71"/>
      <c r="U188" s="71"/>
      <c r="V188" s="71"/>
      <c r="W188" s="72"/>
    </row>
    <row r="189" spans="1:24" ht="18.75" customHeight="1">
      <c r="A189" s="303" t="s">
        <v>45</v>
      </c>
      <c r="B189" s="304"/>
      <c r="C189" s="304"/>
      <c r="D189" s="304"/>
      <c r="E189" s="304"/>
      <c r="F189" s="304"/>
      <c r="G189" s="304"/>
      <c r="H189" s="304"/>
      <c r="I189" s="304"/>
      <c r="J189" s="304"/>
      <c r="K189" s="305"/>
      <c r="M189" s="303" t="s">
        <v>45</v>
      </c>
      <c r="N189" s="304"/>
      <c r="O189" s="304"/>
      <c r="P189" s="304"/>
      <c r="Q189" s="304"/>
      <c r="R189" s="304"/>
      <c r="S189" s="304"/>
      <c r="T189" s="304"/>
      <c r="U189" s="304"/>
      <c r="V189" s="304"/>
      <c r="W189" s="305"/>
    </row>
    <row r="190" spans="1:24" ht="18.75" customHeight="1">
      <c r="A190" s="295" t="s">
        <v>46</v>
      </c>
      <c r="B190" s="296"/>
      <c r="C190" s="296"/>
      <c r="D190" s="296"/>
      <c r="E190" s="73" t="s">
        <v>47</v>
      </c>
      <c r="F190" s="297" t="s">
        <v>114</v>
      </c>
      <c r="G190" s="296"/>
      <c r="H190" s="296"/>
      <c r="I190" s="296"/>
      <c r="J190" s="296"/>
      <c r="K190" s="299"/>
      <c r="M190" s="295" t="s">
        <v>46</v>
      </c>
      <c r="N190" s="296"/>
      <c r="O190" s="296"/>
      <c r="P190" s="296"/>
      <c r="Q190" s="73" t="s">
        <v>47</v>
      </c>
      <c r="R190" s="297" t="s">
        <v>115</v>
      </c>
      <c r="S190" s="296"/>
      <c r="T190" s="296"/>
      <c r="U190" s="296"/>
      <c r="V190" s="296"/>
      <c r="W190" s="299"/>
    </row>
    <row r="191" spans="1:24" ht="18.75" customHeight="1">
      <c r="A191" s="295" t="s">
        <v>49</v>
      </c>
      <c r="B191" s="296"/>
      <c r="C191" s="296"/>
      <c r="D191" s="296"/>
      <c r="E191" s="73" t="s">
        <v>47</v>
      </c>
      <c r="F191" s="297">
        <v>50169</v>
      </c>
      <c r="G191" s="297"/>
      <c r="H191" s="297"/>
      <c r="I191" s="297"/>
      <c r="J191" s="297"/>
      <c r="K191" s="298"/>
      <c r="M191" s="295" t="s">
        <v>49</v>
      </c>
      <c r="N191" s="296"/>
      <c r="O191" s="296"/>
      <c r="P191" s="296"/>
      <c r="Q191" s="73" t="s">
        <v>47</v>
      </c>
      <c r="R191" s="297">
        <v>50175</v>
      </c>
      <c r="S191" s="297"/>
      <c r="T191" s="297"/>
      <c r="U191" s="297"/>
      <c r="V191" s="297"/>
      <c r="W191" s="298"/>
    </row>
    <row r="192" spans="1:24" ht="18.75" customHeight="1">
      <c r="A192" s="295" t="s">
        <v>50</v>
      </c>
      <c r="B192" s="296"/>
      <c r="C192" s="296"/>
      <c r="D192" s="296"/>
      <c r="E192" s="73" t="s">
        <v>47</v>
      </c>
      <c r="F192" s="296" t="str">
        <f>$L$2</f>
        <v>Gián tiếp</v>
      </c>
      <c r="G192" s="296"/>
      <c r="H192" s="296"/>
      <c r="I192" s="296"/>
      <c r="J192" s="296"/>
      <c r="K192" s="299"/>
      <c r="M192" s="295" t="s">
        <v>50</v>
      </c>
      <c r="N192" s="296"/>
      <c r="O192" s="296"/>
      <c r="P192" s="296"/>
      <c r="Q192" s="73" t="s">
        <v>47</v>
      </c>
      <c r="R192" s="296" t="str">
        <f>$L$2</f>
        <v>Gián tiếp</v>
      </c>
      <c r="S192" s="296"/>
      <c r="T192" s="296"/>
      <c r="U192" s="296"/>
      <c r="V192" s="296"/>
      <c r="W192" s="299"/>
    </row>
    <row r="193" spans="1:24" ht="18.75" customHeight="1">
      <c r="A193" s="303" t="s">
        <v>51</v>
      </c>
      <c r="B193" s="304"/>
      <c r="C193" s="304"/>
      <c r="D193" s="304"/>
      <c r="E193" s="304"/>
      <c r="F193" s="304"/>
      <c r="G193" s="304"/>
      <c r="H193" s="304"/>
      <c r="I193" s="304"/>
      <c r="J193" s="304"/>
      <c r="K193" s="305"/>
      <c r="M193" s="303" t="s">
        <v>51</v>
      </c>
      <c r="N193" s="304"/>
      <c r="O193" s="304"/>
      <c r="P193" s="304"/>
      <c r="Q193" s="304"/>
      <c r="R193" s="304"/>
      <c r="S193" s="304"/>
      <c r="T193" s="304"/>
      <c r="U193" s="304"/>
      <c r="V193" s="304"/>
      <c r="W193" s="305"/>
    </row>
    <row r="194" spans="1:24" ht="18.75" customHeight="1">
      <c r="A194" s="295" t="s">
        <v>52</v>
      </c>
      <c r="B194" s="296"/>
      <c r="C194" s="296"/>
      <c r="D194" s="296"/>
      <c r="E194" s="73" t="s">
        <v>47</v>
      </c>
      <c r="F194" s="310">
        <v>3671000</v>
      </c>
      <c r="G194" s="310"/>
      <c r="H194" s="310"/>
      <c r="I194" s="310"/>
      <c r="J194" s="73" t="s">
        <v>53</v>
      </c>
      <c r="K194" s="74"/>
      <c r="M194" s="295" t="s">
        <v>52</v>
      </c>
      <c r="N194" s="296"/>
      <c r="O194" s="296"/>
      <c r="P194" s="296"/>
      <c r="Q194" s="73" t="s">
        <v>47</v>
      </c>
      <c r="R194" s="310">
        <v>3876000</v>
      </c>
      <c r="S194" s="310"/>
      <c r="T194" s="310"/>
      <c r="U194" s="310"/>
      <c r="V194" s="73" t="s">
        <v>53</v>
      </c>
      <c r="W194" s="74"/>
    </row>
    <row r="195" spans="1:24" ht="18.75" customHeight="1">
      <c r="A195" s="75" t="s">
        <v>54</v>
      </c>
      <c r="B195" s="73"/>
      <c r="C195" s="76"/>
      <c r="D195" s="77"/>
      <c r="E195" s="78"/>
      <c r="F195" s="78"/>
      <c r="G195" s="78"/>
      <c r="H195" s="73"/>
      <c r="I195" s="79">
        <f>'[2]LUONG T7'!F25</f>
        <v>0</v>
      </c>
      <c r="J195" s="80"/>
      <c r="K195" s="81"/>
      <c r="M195" s="75" t="s">
        <v>54</v>
      </c>
      <c r="N195" s="73"/>
      <c r="O195" s="76"/>
      <c r="P195" s="77"/>
      <c r="Q195" s="78"/>
      <c r="R195" s="78"/>
      <c r="S195" s="78"/>
      <c r="T195" s="73"/>
      <c r="U195" s="79">
        <f>'[2]LUONG T7'!F27</f>
        <v>0</v>
      </c>
      <c r="V195" s="80"/>
      <c r="W195" s="81"/>
    </row>
    <row r="196" spans="1:24" ht="18.75" customHeight="1">
      <c r="A196" s="75" t="s">
        <v>55</v>
      </c>
      <c r="B196" s="73"/>
      <c r="C196" s="76"/>
      <c r="D196" s="77"/>
      <c r="E196" s="78"/>
      <c r="F196" s="78"/>
      <c r="G196" s="78"/>
      <c r="H196" s="73"/>
      <c r="I196" s="79" t="e">
        <f>I197/C197/8</f>
        <v>#DIV/0!</v>
      </c>
      <c r="J196" s="80"/>
      <c r="K196" s="81"/>
      <c r="M196" s="75" t="s">
        <v>55</v>
      </c>
      <c r="N196" s="73"/>
      <c r="O196" s="76"/>
      <c r="P196" s="77"/>
      <c r="Q196" s="78"/>
      <c r="R196" s="78"/>
      <c r="S196" s="78"/>
      <c r="T196" s="73"/>
      <c r="U196" s="79" t="e">
        <f>U197/O197/8</f>
        <v>#DIV/0!</v>
      </c>
      <c r="V196" s="80"/>
      <c r="W196" s="81"/>
    </row>
    <row r="197" spans="1:24" ht="18.75" customHeight="1">
      <c r="A197" s="75" t="s">
        <v>56</v>
      </c>
      <c r="B197" s="73" t="s">
        <v>47</v>
      </c>
      <c r="C197" s="76">
        <f>'[2]LUONG T7'!I24</f>
        <v>0</v>
      </c>
      <c r="D197" s="77" t="s">
        <v>57</v>
      </c>
      <c r="E197" s="308" t="s">
        <v>58</v>
      </c>
      <c r="F197" s="308"/>
      <c r="G197" s="308"/>
      <c r="H197" s="73" t="s">
        <v>47</v>
      </c>
      <c r="I197" s="309">
        <f>'[2]LUONG T7'!I25</f>
        <v>0</v>
      </c>
      <c r="J197" s="309"/>
      <c r="K197" s="81" t="s">
        <v>53</v>
      </c>
      <c r="L197" s="82">
        <f>F194/L187*C197</f>
        <v>0</v>
      </c>
      <c r="M197" s="75" t="s">
        <v>56</v>
      </c>
      <c r="N197" s="73" t="s">
        <v>47</v>
      </c>
      <c r="O197" s="76">
        <f>'[2]LUONG T7'!I26</f>
        <v>0</v>
      </c>
      <c r="P197" s="77" t="s">
        <v>57</v>
      </c>
      <c r="Q197" s="308" t="s">
        <v>58</v>
      </c>
      <c r="R197" s="308"/>
      <c r="S197" s="308"/>
      <c r="T197" s="73" t="s">
        <v>47</v>
      </c>
      <c r="U197" s="309">
        <f>'[2]LUONG T7'!I27</f>
        <v>0</v>
      </c>
      <c r="V197" s="309"/>
      <c r="W197" s="81" t="s">
        <v>53</v>
      </c>
      <c r="X197" s="82">
        <f>R194/X187*O197</f>
        <v>0</v>
      </c>
    </row>
    <row r="198" spans="1:24" ht="18.75" customHeight="1">
      <c r="A198" s="75" t="s">
        <v>59</v>
      </c>
      <c r="B198" s="73" t="s">
        <v>47</v>
      </c>
      <c r="C198" s="76">
        <f>'[2]LUONG T7'!J24</f>
        <v>0</v>
      </c>
      <c r="D198" s="77" t="s">
        <v>57</v>
      </c>
      <c r="E198" s="296" t="s">
        <v>60</v>
      </c>
      <c r="F198" s="296"/>
      <c r="G198" s="296"/>
      <c r="H198" s="73" t="s">
        <v>47</v>
      </c>
      <c r="I198" s="307">
        <f>$F$8/$L$1*C198</f>
        <v>0</v>
      </c>
      <c r="J198" s="307"/>
      <c r="K198" s="81" t="s">
        <v>53</v>
      </c>
      <c r="L198" s="82"/>
      <c r="M198" s="75" t="s">
        <v>59</v>
      </c>
      <c r="N198" s="73" t="s">
        <v>47</v>
      </c>
      <c r="O198" s="76">
        <f>'[2]LUONG T7'!J26</f>
        <v>0</v>
      </c>
      <c r="P198" s="77" t="s">
        <v>57</v>
      </c>
      <c r="Q198" s="296" t="s">
        <v>60</v>
      </c>
      <c r="R198" s="296"/>
      <c r="S198" s="296"/>
      <c r="T198" s="73" t="s">
        <v>47</v>
      </c>
      <c r="U198" s="307">
        <f>$F$8/$L$1*O198</f>
        <v>0</v>
      </c>
      <c r="V198" s="307"/>
      <c r="W198" s="81" t="s">
        <v>53</v>
      </c>
      <c r="X198" s="82"/>
    </row>
    <row r="199" spans="1:24" ht="18.75" customHeight="1">
      <c r="A199" s="75" t="s">
        <v>61</v>
      </c>
      <c r="B199" s="73" t="s">
        <v>47</v>
      </c>
      <c r="C199" s="76">
        <f>'[2]LUONG T7'!K24</f>
        <v>0</v>
      </c>
      <c r="D199" s="77" t="s">
        <v>57</v>
      </c>
      <c r="E199" s="306" t="s">
        <v>62</v>
      </c>
      <c r="F199" s="306"/>
      <c r="G199" s="306"/>
      <c r="H199" s="73" t="s">
        <v>47</v>
      </c>
      <c r="I199" s="307">
        <f>F194/$L$1*C199</f>
        <v>0</v>
      </c>
      <c r="J199" s="307"/>
      <c r="K199" s="81" t="s">
        <v>53</v>
      </c>
      <c r="L199" s="82"/>
      <c r="M199" s="75" t="s">
        <v>61</v>
      </c>
      <c r="N199" s="73" t="s">
        <v>47</v>
      </c>
      <c r="O199" s="76">
        <f>'[2]LUONG T7'!K26</f>
        <v>0</v>
      </c>
      <c r="P199" s="77" t="s">
        <v>57</v>
      </c>
      <c r="Q199" s="306" t="s">
        <v>62</v>
      </c>
      <c r="R199" s="306"/>
      <c r="S199" s="306"/>
      <c r="T199" s="73" t="s">
        <v>47</v>
      </c>
      <c r="U199" s="307">
        <f>$F$8/$L$1*O199</f>
        <v>0</v>
      </c>
      <c r="V199" s="307"/>
      <c r="W199" s="81" t="s">
        <v>53</v>
      </c>
      <c r="X199" s="82"/>
    </row>
    <row r="200" spans="1:24" ht="18.75" customHeight="1">
      <c r="A200" s="75" t="s">
        <v>63</v>
      </c>
      <c r="B200" s="73" t="s">
        <v>47</v>
      </c>
      <c r="C200" s="76">
        <f>'[2]LUONG T7'!L24</f>
        <v>0</v>
      </c>
      <c r="D200" s="77" t="s">
        <v>57</v>
      </c>
      <c r="E200" s="306" t="s">
        <v>64</v>
      </c>
      <c r="F200" s="306"/>
      <c r="G200" s="306"/>
      <c r="H200" s="73" t="s">
        <v>47</v>
      </c>
      <c r="I200" s="307">
        <f>$F$8/$L$1*C200</f>
        <v>0</v>
      </c>
      <c r="J200" s="307"/>
      <c r="K200" s="81" t="s">
        <v>53</v>
      </c>
      <c r="L200" s="82"/>
      <c r="M200" s="75" t="s">
        <v>63</v>
      </c>
      <c r="N200" s="73" t="s">
        <v>47</v>
      </c>
      <c r="O200" s="76">
        <f>'[2]LUONG T7'!L26</f>
        <v>0</v>
      </c>
      <c r="P200" s="77" t="s">
        <v>57</v>
      </c>
      <c r="Q200" s="306" t="s">
        <v>64</v>
      </c>
      <c r="R200" s="306"/>
      <c r="S200" s="306"/>
      <c r="T200" s="73" t="s">
        <v>47</v>
      </c>
      <c r="U200" s="307">
        <f>$F$8/$L$1*O200</f>
        <v>0</v>
      </c>
      <c r="V200" s="307"/>
      <c r="W200" s="81" t="s">
        <v>53</v>
      </c>
      <c r="X200" s="82"/>
    </row>
    <row r="201" spans="1:24" ht="18.75" customHeight="1">
      <c r="A201" s="75" t="s">
        <v>65</v>
      </c>
      <c r="B201" s="73" t="s">
        <v>47</v>
      </c>
      <c r="C201" s="76">
        <f>'[2]LUONG T7'!Q24</f>
        <v>0</v>
      </c>
      <c r="D201" s="77" t="s">
        <v>66</v>
      </c>
      <c r="E201" s="296" t="s">
        <v>67</v>
      </c>
      <c r="F201" s="296"/>
      <c r="G201" s="296"/>
      <c r="H201" s="73" t="s">
        <v>47</v>
      </c>
      <c r="I201" s="307">
        <f>'[2]LUONG T7'!Q25</f>
        <v>0</v>
      </c>
      <c r="J201" s="307"/>
      <c r="K201" s="81" t="s">
        <v>53</v>
      </c>
      <c r="L201" s="82">
        <f>F194*C201/L187/8*1.5</f>
        <v>0</v>
      </c>
      <c r="M201" s="75" t="s">
        <v>65</v>
      </c>
      <c r="N201" s="73" t="s">
        <v>47</v>
      </c>
      <c r="O201" s="76">
        <f>'[2]LUONG T7'!Q26</f>
        <v>0</v>
      </c>
      <c r="P201" s="77" t="s">
        <v>66</v>
      </c>
      <c r="Q201" s="296" t="s">
        <v>67</v>
      </c>
      <c r="R201" s="296"/>
      <c r="S201" s="296"/>
      <c r="T201" s="73" t="s">
        <v>47</v>
      </c>
      <c r="U201" s="307">
        <f>'[2]LUONG T7'!Q27</f>
        <v>0</v>
      </c>
      <c r="V201" s="307"/>
      <c r="W201" s="81" t="s">
        <v>53</v>
      </c>
      <c r="X201" s="82">
        <f>R194*O201/X187/8*1.5</f>
        <v>0</v>
      </c>
    </row>
    <row r="202" spans="1:24" ht="18.75" customHeight="1">
      <c r="A202" s="295" t="s">
        <v>68</v>
      </c>
      <c r="B202" s="296"/>
      <c r="C202" s="76"/>
      <c r="D202" s="77" t="s">
        <v>57</v>
      </c>
      <c r="E202" s="296" t="s">
        <v>69</v>
      </c>
      <c r="F202" s="296"/>
      <c r="G202" s="296"/>
      <c r="H202" s="83" t="s">
        <v>47</v>
      </c>
      <c r="I202" s="307"/>
      <c r="J202" s="307"/>
      <c r="K202" s="81" t="s">
        <v>53</v>
      </c>
      <c r="L202" s="82"/>
      <c r="M202" s="295" t="s">
        <v>68</v>
      </c>
      <c r="N202" s="296"/>
      <c r="O202" s="76"/>
      <c r="P202" s="77" t="s">
        <v>57</v>
      </c>
      <c r="Q202" s="296" t="s">
        <v>69</v>
      </c>
      <c r="R202" s="296"/>
      <c r="S202" s="296"/>
      <c r="T202" s="83" t="s">
        <v>47</v>
      </c>
      <c r="U202" s="307"/>
      <c r="V202" s="307"/>
      <c r="W202" s="81" t="s">
        <v>53</v>
      </c>
      <c r="X202" s="82"/>
    </row>
    <row r="203" spans="1:24" ht="18.75" customHeight="1">
      <c r="A203" s="75" t="s">
        <v>70</v>
      </c>
      <c r="B203" s="73" t="s">
        <v>47</v>
      </c>
      <c r="C203" s="76"/>
      <c r="D203" s="77" t="s">
        <v>57</v>
      </c>
      <c r="E203" s="296" t="s">
        <v>71</v>
      </c>
      <c r="F203" s="296"/>
      <c r="G203" s="296"/>
      <c r="H203" s="73" t="s">
        <v>47</v>
      </c>
      <c r="I203" s="307"/>
      <c r="J203" s="307"/>
      <c r="K203" s="81" t="s">
        <v>53</v>
      </c>
      <c r="L203" s="82"/>
      <c r="M203" s="75" t="s">
        <v>70</v>
      </c>
      <c r="N203" s="73" t="s">
        <v>47</v>
      </c>
      <c r="O203" s="76"/>
      <c r="P203" s="77" t="s">
        <v>57</v>
      </c>
      <c r="Q203" s="296" t="s">
        <v>71</v>
      </c>
      <c r="R203" s="296"/>
      <c r="S203" s="296"/>
      <c r="T203" s="73" t="s">
        <v>47</v>
      </c>
      <c r="U203" s="307"/>
      <c r="V203" s="307"/>
      <c r="W203" s="81" t="s">
        <v>53</v>
      </c>
      <c r="X203" s="82"/>
    </row>
    <row r="204" spans="1:24" ht="18.75" customHeight="1">
      <c r="A204" s="84" t="s">
        <v>72</v>
      </c>
      <c r="B204" s="73"/>
      <c r="C204" s="76">
        <f>'[2]LUONG T7'!M24</f>
        <v>0</v>
      </c>
      <c r="D204" s="77" t="s">
        <v>66</v>
      </c>
      <c r="E204" s="296" t="s">
        <v>73</v>
      </c>
      <c r="F204" s="296"/>
      <c r="G204" s="296"/>
      <c r="H204" s="73" t="s">
        <v>47</v>
      </c>
      <c r="I204" s="307">
        <f>$F$8*C204/8/$L$1</f>
        <v>0</v>
      </c>
      <c r="J204" s="307"/>
      <c r="K204" s="81" t="s">
        <v>53</v>
      </c>
      <c r="L204" s="82"/>
      <c r="M204" s="84" t="s">
        <v>72</v>
      </c>
      <c r="N204" s="73"/>
      <c r="O204" s="76">
        <f>'[2]LUONG T7'!M26</f>
        <v>0</v>
      </c>
      <c r="P204" s="77" t="s">
        <v>66</v>
      </c>
      <c r="Q204" s="296" t="s">
        <v>73</v>
      </c>
      <c r="R204" s="296"/>
      <c r="S204" s="296"/>
      <c r="T204" s="73" t="s">
        <v>47</v>
      </c>
      <c r="U204" s="307">
        <f>$F$8*O204/8/$L$1</f>
        <v>0</v>
      </c>
      <c r="V204" s="307"/>
      <c r="W204" s="81" t="s">
        <v>53</v>
      </c>
      <c r="X204" s="82"/>
    </row>
    <row r="205" spans="1:24" ht="18.75" customHeight="1">
      <c r="A205" s="75" t="s">
        <v>103</v>
      </c>
      <c r="B205" s="73" t="s">
        <v>47</v>
      </c>
      <c r="C205" s="76"/>
      <c r="D205" s="77" t="s">
        <v>66</v>
      </c>
      <c r="E205" s="296" t="s">
        <v>111</v>
      </c>
      <c r="F205" s="296"/>
      <c r="G205" s="296"/>
      <c r="H205" s="73" t="s">
        <v>47</v>
      </c>
      <c r="I205" s="309">
        <v>240000</v>
      </c>
      <c r="J205" s="309"/>
      <c r="K205" s="81" t="s">
        <v>53</v>
      </c>
      <c r="L205" s="82"/>
      <c r="M205" s="75" t="s">
        <v>103</v>
      </c>
      <c r="N205" s="73" t="s">
        <v>47</v>
      </c>
      <c r="O205" s="76"/>
      <c r="P205" s="77" t="s">
        <v>66</v>
      </c>
      <c r="Q205" s="296" t="s">
        <v>111</v>
      </c>
      <c r="R205" s="296"/>
      <c r="S205" s="296"/>
      <c r="T205" s="73" t="s">
        <v>47</v>
      </c>
      <c r="U205" s="309">
        <v>324000</v>
      </c>
      <c r="V205" s="309"/>
      <c r="W205" s="81" t="s">
        <v>53</v>
      </c>
      <c r="X205" s="82"/>
    </row>
    <row r="206" spans="1:24" ht="18.75" customHeight="1">
      <c r="A206" s="75" t="s">
        <v>76</v>
      </c>
      <c r="B206" s="73" t="s">
        <v>47</v>
      </c>
      <c r="C206" s="76"/>
      <c r="D206" s="77" t="s">
        <v>77</v>
      </c>
      <c r="E206" s="85" t="s">
        <v>78</v>
      </c>
      <c r="F206" s="85"/>
      <c r="G206" s="85"/>
      <c r="H206" s="73" t="s">
        <v>47</v>
      </c>
      <c r="I206" s="307"/>
      <c r="J206" s="307"/>
      <c r="K206" s="81" t="s">
        <v>53</v>
      </c>
      <c r="L206" s="82">
        <f>+IF(L197-I197&lt;0,0,L197-I197)+IF(L201-I201&lt;0,0,L201-I201)</f>
        <v>0</v>
      </c>
      <c r="M206" s="75" t="s">
        <v>76</v>
      </c>
      <c r="N206" s="73" t="s">
        <v>47</v>
      </c>
      <c r="O206" s="76"/>
      <c r="P206" s="77" t="s">
        <v>77</v>
      </c>
      <c r="Q206" s="85" t="s">
        <v>78</v>
      </c>
      <c r="R206" s="85"/>
      <c r="S206" s="85"/>
      <c r="T206" s="73" t="s">
        <v>47</v>
      </c>
      <c r="U206" s="307"/>
      <c r="V206" s="307"/>
      <c r="W206" s="81" t="s">
        <v>53</v>
      </c>
      <c r="X206" s="82">
        <f>+IF(X197-U197&lt;0,0,X197-U197)+IF(X201-U201&lt;0,0,X201-U201)</f>
        <v>0</v>
      </c>
    </row>
    <row r="207" spans="1:24" ht="18.75" customHeight="1">
      <c r="A207" s="86" t="s">
        <v>79</v>
      </c>
      <c r="B207" s="87"/>
      <c r="C207" s="76"/>
      <c r="D207" s="77" t="s">
        <v>57</v>
      </c>
      <c r="E207" s="296" t="s">
        <v>80</v>
      </c>
      <c r="F207" s="296"/>
      <c r="G207" s="296"/>
      <c r="H207" s="73" t="s">
        <v>47</v>
      </c>
      <c r="I207" s="307">
        <v>324000</v>
      </c>
      <c r="J207" s="307"/>
      <c r="K207" s="81" t="s">
        <v>53</v>
      </c>
      <c r="L207" s="82"/>
      <c r="M207" s="86" t="s">
        <v>79</v>
      </c>
      <c r="N207" s="87"/>
      <c r="O207" s="76"/>
      <c r="P207" s="77" t="s">
        <v>57</v>
      </c>
      <c r="Q207" s="296" t="s">
        <v>80</v>
      </c>
      <c r="R207" s="296"/>
      <c r="S207" s="296"/>
      <c r="T207" s="73" t="s">
        <v>47</v>
      </c>
      <c r="U207" s="307"/>
      <c r="V207" s="307"/>
      <c r="W207" s="81" t="s">
        <v>53</v>
      </c>
      <c r="X207" s="82"/>
    </row>
    <row r="208" spans="1:24" ht="18.75" customHeight="1">
      <c r="A208" s="314" t="s">
        <v>81</v>
      </c>
      <c r="B208" s="308"/>
      <c r="C208" s="76"/>
      <c r="D208" s="77"/>
      <c r="E208" s="78"/>
      <c r="F208" s="78"/>
      <c r="G208" s="78"/>
      <c r="H208" s="73" t="s">
        <v>47</v>
      </c>
      <c r="I208" s="307">
        <f>'[2]LUONG T7'!P25</f>
        <v>0</v>
      </c>
      <c r="J208" s="307"/>
      <c r="K208" s="81" t="s">
        <v>53</v>
      </c>
      <c r="L208" s="82"/>
      <c r="M208" s="314" t="s">
        <v>81</v>
      </c>
      <c r="N208" s="308"/>
      <c r="O208" s="76"/>
      <c r="P208" s="77"/>
      <c r="Q208" s="78"/>
      <c r="R208" s="78"/>
      <c r="S208" s="78"/>
      <c r="T208" s="73" t="s">
        <v>47</v>
      </c>
      <c r="U208" s="307">
        <f>'[2]LUONG T7'!P27</f>
        <v>0</v>
      </c>
      <c r="V208" s="307"/>
      <c r="W208" s="81" t="s">
        <v>53</v>
      </c>
      <c r="X208" s="82"/>
    </row>
    <row r="209" spans="1:24" ht="18.75" customHeight="1">
      <c r="A209" s="75" t="s">
        <v>82</v>
      </c>
      <c r="B209" s="73" t="s">
        <v>47</v>
      </c>
      <c r="C209" s="76"/>
      <c r="D209" s="77"/>
      <c r="E209" s="78" t="s">
        <v>83</v>
      </c>
      <c r="F209" s="78"/>
      <c r="G209" s="78"/>
      <c r="H209" s="73" t="s">
        <v>47</v>
      </c>
      <c r="I209" s="307">
        <f>L206</f>
        <v>0</v>
      </c>
      <c r="J209" s="307"/>
      <c r="K209" s="81" t="s">
        <v>53</v>
      </c>
      <c r="L209" s="82"/>
      <c r="M209" s="75" t="s">
        <v>82</v>
      </c>
      <c r="N209" s="73" t="s">
        <v>47</v>
      </c>
      <c r="O209" s="76"/>
      <c r="P209" s="77"/>
      <c r="Q209" s="78" t="s">
        <v>83</v>
      </c>
      <c r="R209" s="78"/>
      <c r="S209" s="78"/>
      <c r="T209" s="73" t="s">
        <v>47</v>
      </c>
      <c r="U209" s="307">
        <f>X206</f>
        <v>0</v>
      </c>
      <c r="V209" s="307"/>
      <c r="W209" s="81" t="s">
        <v>53</v>
      </c>
      <c r="X209" s="82"/>
    </row>
    <row r="210" spans="1:24" ht="18.75" customHeight="1">
      <c r="A210" s="311" t="s">
        <v>84</v>
      </c>
      <c r="B210" s="312"/>
      <c r="C210" s="312"/>
      <c r="D210" s="312"/>
      <c r="E210" s="312"/>
      <c r="F210" s="312"/>
      <c r="G210" s="73" t="s">
        <v>47</v>
      </c>
      <c r="H210" s="313">
        <f>I197+I198+I199+I200+I201+I204+I208+I209+I207+I205</f>
        <v>564000</v>
      </c>
      <c r="I210" s="313"/>
      <c r="J210" s="313"/>
      <c r="K210" s="81" t="s">
        <v>53</v>
      </c>
      <c r="M210" s="311" t="s">
        <v>84</v>
      </c>
      <c r="N210" s="312"/>
      <c r="O210" s="312"/>
      <c r="P210" s="312"/>
      <c r="Q210" s="312"/>
      <c r="R210" s="312"/>
      <c r="S210" s="73" t="s">
        <v>47</v>
      </c>
      <c r="T210" s="313">
        <f>U197+U198+U199+U200+U201+U204+U208+U209+U207+U205</f>
        <v>324000</v>
      </c>
      <c r="U210" s="313"/>
      <c r="V210" s="313"/>
      <c r="W210" s="81" t="s">
        <v>53</v>
      </c>
    </row>
    <row r="211" spans="1:24" ht="18.75" customHeight="1">
      <c r="A211" s="88"/>
      <c r="B211" s="89"/>
      <c r="C211" s="89"/>
      <c r="D211" s="89"/>
      <c r="E211" s="89"/>
      <c r="F211" s="89"/>
      <c r="G211" s="89"/>
      <c r="H211" s="89"/>
      <c r="I211" s="89"/>
      <c r="J211" s="89"/>
      <c r="K211" s="90"/>
      <c r="M211" s="88"/>
      <c r="N211" s="89"/>
      <c r="O211" s="89"/>
      <c r="P211" s="89"/>
      <c r="Q211" s="89"/>
      <c r="R211" s="89"/>
      <c r="S211" s="89"/>
      <c r="T211" s="89"/>
      <c r="U211" s="89"/>
      <c r="V211" s="89"/>
      <c r="W211" s="90"/>
    </row>
    <row r="212" spans="1:24" ht="18.75" customHeight="1">
      <c r="A212" s="321" t="s">
        <v>85</v>
      </c>
      <c r="B212" s="322"/>
      <c r="C212" s="322"/>
      <c r="D212" s="322"/>
      <c r="E212" s="322"/>
      <c r="F212" s="322"/>
      <c r="G212" s="73"/>
      <c r="H212" s="73"/>
      <c r="I212" s="73"/>
      <c r="J212" s="73"/>
      <c r="K212" s="81"/>
      <c r="M212" s="321" t="s">
        <v>85</v>
      </c>
      <c r="N212" s="322"/>
      <c r="O212" s="322"/>
      <c r="P212" s="322"/>
      <c r="Q212" s="322"/>
      <c r="R212" s="322"/>
      <c r="S212" s="73"/>
      <c r="T212" s="73"/>
      <c r="U212" s="73"/>
      <c r="V212" s="73"/>
      <c r="W212" s="81"/>
    </row>
    <row r="213" spans="1:24" ht="18.75" customHeight="1">
      <c r="A213" s="315" t="s">
        <v>86</v>
      </c>
      <c r="B213" s="316"/>
      <c r="C213" s="316"/>
      <c r="D213" s="316"/>
      <c r="E213" s="316"/>
      <c r="F213" s="316"/>
      <c r="G213" s="73" t="s">
        <v>47</v>
      </c>
      <c r="H213" s="323">
        <f>IF(($L$1-(C197+C198+C199+C200))&gt;12,0,F194*8%)</f>
        <v>0</v>
      </c>
      <c r="I213" s="323"/>
      <c r="J213" s="323"/>
      <c r="K213" s="81" t="s">
        <v>53</v>
      </c>
      <c r="M213" s="315" t="s">
        <v>86</v>
      </c>
      <c r="N213" s="316"/>
      <c r="O213" s="316"/>
      <c r="P213" s="316"/>
      <c r="Q213" s="316"/>
      <c r="R213" s="316"/>
      <c r="S213" s="73" t="s">
        <v>47</v>
      </c>
      <c r="T213" s="323">
        <f>IF(($L$1-(O197+O198+O199+O200))&gt;12,0,R194*8%)</f>
        <v>0</v>
      </c>
      <c r="U213" s="323"/>
      <c r="V213" s="323"/>
      <c r="W213" s="81" t="s">
        <v>53</v>
      </c>
    </row>
    <row r="214" spans="1:24" ht="18.75" customHeight="1">
      <c r="A214" s="315" t="s">
        <v>87</v>
      </c>
      <c r="B214" s="316"/>
      <c r="C214" s="316"/>
      <c r="D214" s="316"/>
      <c r="E214" s="316"/>
      <c r="F214" s="316"/>
      <c r="G214" s="73" t="s">
        <v>47</v>
      </c>
      <c r="H214" s="317">
        <f>IF(($L$1-(C197+C198+C199+C200))&gt;12,0,F194*1.5%)</f>
        <v>0</v>
      </c>
      <c r="I214" s="317"/>
      <c r="J214" s="317"/>
      <c r="K214" s="81" t="s">
        <v>53</v>
      </c>
      <c r="M214" s="315" t="s">
        <v>87</v>
      </c>
      <c r="N214" s="316"/>
      <c r="O214" s="316"/>
      <c r="P214" s="316"/>
      <c r="Q214" s="316"/>
      <c r="R214" s="316"/>
      <c r="S214" s="73" t="s">
        <v>47</v>
      </c>
      <c r="T214" s="317">
        <f>IF(($L$1-(O197+O198+O199+O200))&gt;12,0,R194*1.5%)</f>
        <v>0</v>
      </c>
      <c r="U214" s="317"/>
      <c r="V214" s="317"/>
      <c r="W214" s="81" t="s">
        <v>53</v>
      </c>
    </row>
    <row r="215" spans="1:24" ht="18.75" customHeight="1">
      <c r="A215" s="315" t="s">
        <v>88</v>
      </c>
      <c r="B215" s="316"/>
      <c r="C215" s="316"/>
      <c r="D215" s="316"/>
      <c r="E215" s="316"/>
      <c r="F215" s="316"/>
      <c r="G215" s="73" t="s">
        <v>47</v>
      </c>
      <c r="H215" s="317">
        <f>IF(($L$1-(C197+C198+C199+C200))&gt;12,0,F194*1%)</f>
        <v>0</v>
      </c>
      <c r="I215" s="317"/>
      <c r="J215" s="317"/>
      <c r="K215" s="81" t="s">
        <v>53</v>
      </c>
      <c r="M215" s="315" t="s">
        <v>88</v>
      </c>
      <c r="N215" s="316"/>
      <c r="O215" s="316"/>
      <c r="P215" s="316"/>
      <c r="Q215" s="316"/>
      <c r="R215" s="316"/>
      <c r="S215" s="73" t="s">
        <v>47</v>
      </c>
      <c r="T215" s="317">
        <f>IF(($L$1-(O197+O198+O199+O200))&gt;12,0,R194*1%)</f>
        <v>0</v>
      </c>
      <c r="U215" s="317"/>
      <c r="V215" s="317"/>
      <c r="W215" s="81" t="s">
        <v>53</v>
      </c>
    </row>
    <row r="216" spans="1:24" ht="18.75" customHeight="1">
      <c r="A216" s="315" t="s">
        <v>89</v>
      </c>
      <c r="B216" s="316"/>
      <c r="C216" s="316"/>
      <c r="D216" s="316"/>
      <c r="E216" s="316"/>
      <c r="F216" s="316"/>
      <c r="G216" s="73" t="s">
        <v>47</v>
      </c>
      <c r="H216" s="317">
        <v>0</v>
      </c>
      <c r="I216" s="317"/>
      <c r="J216" s="317"/>
      <c r="K216" s="81" t="s">
        <v>53</v>
      </c>
      <c r="M216" s="315" t="s">
        <v>89</v>
      </c>
      <c r="N216" s="316"/>
      <c r="O216" s="316"/>
      <c r="P216" s="316"/>
      <c r="Q216" s="316"/>
      <c r="R216" s="316"/>
      <c r="S216" s="73" t="s">
        <v>47</v>
      </c>
      <c r="T216" s="317">
        <v>0</v>
      </c>
      <c r="U216" s="317"/>
      <c r="V216" s="317"/>
      <c r="W216" s="81" t="s">
        <v>53</v>
      </c>
    </row>
    <row r="217" spans="1:24" ht="18.75" customHeight="1">
      <c r="A217" s="318" t="s">
        <v>90</v>
      </c>
      <c r="B217" s="319"/>
      <c r="C217" s="319"/>
      <c r="D217" s="319"/>
      <c r="E217" s="319"/>
      <c r="F217" s="319"/>
      <c r="G217" s="73" t="s">
        <v>47</v>
      </c>
      <c r="H217" s="320">
        <f>SUM(H213:J216)</f>
        <v>0</v>
      </c>
      <c r="I217" s="320"/>
      <c r="J217" s="320"/>
      <c r="K217" s="81" t="s">
        <v>53</v>
      </c>
      <c r="M217" s="318" t="s">
        <v>90</v>
      </c>
      <c r="N217" s="319"/>
      <c r="O217" s="319"/>
      <c r="P217" s="319"/>
      <c r="Q217" s="319"/>
      <c r="R217" s="319"/>
      <c r="S217" s="73" t="s">
        <v>47</v>
      </c>
      <c r="T217" s="320">
        <f>SUM(T213:V216)</f>
        <v>0</v>
      </c>
      <c r="U217" s="320"/>
      <c r="V217" s="320"/>
      <c r="W217" s="81" t="s">
        <v>53</v>
      </c>
    </row>
    <row r="218" spans="1:24" ht="18.75" customHeight="1">
      <c r="A218" s="315" t="s">
        <v>91</v>
      </c>
      <c r="B218" s="316"/>
      <c r="C218" s="316"/>
      <c r="D218" s="316"/>
      <c r="E218" s="316"/>
      <c r="F218" s="316"/>
      <c r="G218" s="73" t="s">
        <v>47</v>
      </c>
      <c r="H218" s="327">
        <f>ROUND(H210-H217,-2)</f>
        <v>564000</v>
      </c>
      <c r="I218" s="327"/>
      <c r="J218" s="327"/>
      <c r="K218" s="81" t="s">
        <v>53</v>
      </c>
      <c r="M218" s="315" t="s">
        <v>91</v>
      </c>
      <c r="N218" s="316"/>
      <c r="O218" s="316"/>
      <c r="P218" s="316"/>
      <c r="Q218" s="316"/>
      <c r="R218" s="316"/>
      <c r="S218" s="73" t="s">
        <v>47</v>
      </c>
      <c r="T218" s="327">
        <f>ROUND(T210-T217,-2)</f>
        <v>324000</v>
      </c>
      <c r="U218" s="327"/>
      <c r="V218" s="327"/>
      <c r="W218" s="81" t="s">
        <v>53</v>
      </c>
    </row>
    <row r="219" spans="1:24" ht="18.75" customHeight="1">
      <c r="A219" s="91"/>
      <c r="B219" s="92"/>
      <c r="C219" s="92"/>
      <c r="D219" s="92"/>
      <c r="E219" s="92"/>
      <c r="F219" s="92"/>
      <c r="G219" s="92"/>
      <c r="H219" s="92"/>
      <c r="I219" s="92"/>
      <c r="J219" s="92"/>
      <c r="K219" s="93"/>
      <c r="M219" s="91"/>
      <c r="N219" s="92"/>
      <c r="O219" s="92"/>
      <c r="P219" s="92"/>
      <c r="Q219" s="92"/>
      <c r="R219" s="92"/>
      <c r="S219" s="92"/>
      <c r="T219" s="92"/>
      <c r="U219" s="92"/>
      <c r="V219" s="92"/>
      <c r="W219" s="93"/>
    </row>
    <row r="220" spans="1:24" ht="18.75" customHeight="1">
      <c r="A220" s="94"/>
      <c r="B220" s="73"/>
      <c r="C220" s="73"/>
      <c r="D220" s="73"/>
      <c r="E220" s="73"/>
      <c r="F220" s="73"/>
      <c r="G220" s="73"/>
      <c r="H220" s="73"/>
      <c r="I220" s="324" t="s">
        <v>92</v>
      </c>
      <c r="J220" s="324"/>
      <c r="K220" s="328"/>
      <c r="M220" s="94"/>
      <c r="N220" s="73"/>
      <c r="O220" s="73"/>
      <c r="P220" s="73"/>
      <c r="Q220" s="73"/>
      <c r="R220" s="73"/>
      <c r="S220" s="73"/>
      <c r="T220" s="73"/>
      <c r="U220" s="324" t="s">
        <v>92</v>
      </c>
      <c r="V220" s="324"/>
      <c r="W220" s="328"/>
    </row>
    <row r="221" spans="1:24" ht="18.75" customHeight="1">
      <c r="A221" s="94"/>
      <c r="B221" s="324"/>
      <c r="C221" s="324"/>
      <c r="D221" s="324"/>
      <c r="E221" s="324"/>
      <c r="F221" s="73"/>
      <c r="G221" s="73"/>
      <c r="H221" s="73"/>
      <c r="I221" s="73"/>
      <c r="J221" s="73"/>
      <c r="K221" s="74"/>
      <c r="M221" s="94"/>
      <c r="N221" s="324"/>
      <c r="O221" s="324"/>
      <c r="P221" s="324"/>
      <c r="Q221" s="324"/>
      <c r="R221" s="73"/>
      <c r="S221" s="73"/>
      <c r="T221" s="73"/>
      <c r="U221" s="73"/>
      <c r="V221" s="73"/>
      <c r="W221" s="74"/>
    </row>
    <row r="222" spans="1:24" ht="18.75" customHeight="1" thickBot="1">
      <c r="A222" s="95"/>
      <c r="B222" s="96"/>
      <c r="C222" s="96"/>
      <c r="D222" s="96"/>
      <c r="E222" s="96"/>
      <c r="F222" s="96"/>
      <c r="G222" s="96"/>
      <c r="H222" s="96"/>
      <c r="I222" s="325" t="s">
        <v>93</v>
      </c>
      <c r="J222" s="325"/>
      <c r="K222" s="326"/>
      <c r="M222" s="95"/>
      <c r="N222" s="96"/>
      <c r="O222" s="96"/>
      <c r="P222" s="96"/>
      <c r="Q222" s="96"/>
      <c r="R222" s="96"/>
      <c r="S222" s="96"/>
      <c r="T222" s="96"/>
      <c r="U222" s="325" t="s">
        <v>93</v>
      </c>
      <c r="V222" s="325"/>
      <c r="W222" s="326"/>
    </row>
    <row r="224" spans="1:24" ht="18.75" customHeight="1" thickTop="1">
      <c r="A224" s="300" t="s">
        <v>41</v>
      </c>
      <c r="B224" s="301"/>
      <c r="C224" s="301"/>
      <c r="D224" s="301"/>
      <c r="E224" s="301"/>
      <c r="F224" s="301"/>
      <c r="G224" s="301"/>
      <c r="H224" s="301"/>
      <c r="I224" s="301"/>
      <c r="J224" s="301"/>
      <c r="K224" s="302"/>
      <c r="L224" s="69">
        <v>25</v>
      </c>
      <c r="M224" s="300" t="s">
        <v>41</v>
      </c>
      <c r="N224" s="301"/>
      <c r="O224" s="301"/>
      <c r="P224" s="301"/>
      <c r="Q224" s="301"/>
      <c r="R224" s="301"/>
      <c r="S224" s="301"/>
      <c r="T224" s="301"/>
      <c r="U224" s="301"/>
      <c r="V224" s="301"/>
      <c r="W224" s="302"/>
      <c r="X224" s="69">
        <v>25</v>
      </c>
    </row>
    <row r="225" spans="1:24" ht="18.75" customHeight="1">
      <c r="A225" s="70" t="s">
        <v>116</v>
      </c>
      <c r="B225" s="71"/>
      <c r="C225" s="71"/>
      <c r="D225" s="71"/>
      <c r="E225" s="71"/>
      <c r="F225" s="71"/>
      <c r="G225" s="71"/>
      <c r="H225" s="71"/>
      <c r="I225" s="71"/>
      <c r="J225" s="71"/>
      <c r="K225" s="72"/>
      <c r="M225" s="70" t="s">
        <v>117</v>
      </c>
      <c r="N225" s="71"/>
      <c r="O225" s="71"/>
      <c r="P225" s="71"/>
      <c r="Q225" s="71"/>
      <c r="R225" s="71"/>
      <c r="S225" s="71"/>
      <c r="T225" s="71"/>
      <c r="U225" s="71"/>
      <c r="V225" s="71"/>
      <c r="W225" s="72"/>
    </row>
    <row r="226" spans="1:24" ht="18.75" customHeight="1">
      <c r="A226" s="303" t="s">
        <v>45</v>
      </c>
      <c r="B226" s="304"/>
      <c r="C226" s="304"/>
      <c r="D226" s="304"/>
      <c r="E226" s="304"/>
      <c r="F226" s="304"/>
      <c r="G226" s="304"/>
      <c r="H226" s="304"/>
      <c r="I226" s="304"/>
      <c r="J226" s="304"/>
      <c r="K226" s="305"/>
      <c r="M226" s="303" t="s">
        <v>45</v>
      </c>
      <c r="N226" s="304"/>
      <c r="O226" s="304"/>
      <c r="P226" s="304"/>
      <c r="Q226" s="304"/>
      <c r="R226" s="304"/>
      <c r="S226" s="304"/>
      <c r="T226" s="304"/>
      <c r="U226" s="304"/>
      <c r="V226" s="304"/>
      <c r="W226" s="305"/>
    </row>
    <row r="227" spans="1:24" ht="18.75" customHeight="1">
      <c r="A227" s="295" t="s">
        <v>46</v>
      </c>
      <c r="B227" s="296"/>
      <c r="C227" s="296"/>
      <c r="D227" s="296"/>
      <c r="E227" s="73" t="s">
        <v>47</v>
      </c>
      <c r="F227" s="297" t="s">
        <v>19</v>
      </c>
      <c r="G227" s="296"/>
      <c r="H227" s="296"/>
      <c r="I227" s="296"/>
      <c r="J227" s="296"/>
      <c r="K227" s="299"/>
      <c r="M227" s="295" t="s">
        <v>46</v>
      </c>
      <c r="N227" s="296"/>
      <c r="O227" s="296"/>
      <c r="P227" s="296"/>
      <c r="Q227" s="73" t="s">
        <v>47</v>
      </c>
      <c r="R227" s="297" t="s">
        <v>118</v>
      </c>
      <c r="S227" s="296"/>
      <c r="T227" s="296"/>
      <c r="U227" s="296"/>
      <c r="V227" s="296"/>
      <c r="W227" s="299"/>
    </row>
    <row r="228" spans="1:24" ht="18.75" customHeight="1">
      <c r="A228" s="295" t="s">
        <v>49</v>
      </c>
      <c r="B228" s="296"/>
      <c r="C228" s="296"/>
      <c r="D228" s="296"/>
      <c r="E228" s="73" t="s">
        <v>47</v>
      </c>
      <c r="F228" s="297">
        <v>50228</v>
      </c>
      <c r="G228" s="297"/>
      <c r="H228" s="297"/>
      <c r="I228" s="297"/>
      <c r="J228" s="297"/>
      <c r="K228" s="298"/>
      <c r="M228" s="295" t="s">
        <v>49</v>
      </c>
      <c r="N228" s="296"/>
      <c r="O228" s="296"/>
      <c r="P228" s="296"/>
      <c r="Q228" s="73" t="s">
        <v>47</v>
      </c>
      <c r="R228" s="297">
        <v>50257</v>
      </c>
      <c r="S228" s="297"/>
      <c r="T228" s="297"/>
      <c r="U228" s="297"/>
      <c r="V228" s="297"/>
      <c r="W228" s="298"/>
    </row>
    <row r="229" spans="1:24" ht="18.75" customHeight="1">
      <c r="A229" s="295" t="s">
        <v>50</v>
      </c>
      <c r="B229" s="296"/>
      <c r="C229" s="296"/>
      <c r="D229" s="296"/>
      <c r="E229" s="73" t="s">
        <v>47</v>
      </c>
      <c r="F229" s="296" t="s">
        <v>43</v>
      </c>
      <c r="G229" s="296"/>
      <c r="H229" s="296"/>
      <c r="I229" s="296"/>
      <c r="J229" s="296"/>
      <c r="K229" s="299"/>
      <c r="M229" s="295" t="s">
        <v>50</v>
      </c>
      <c r="N229" s="296"/>
      <c r="O229" s="296"/>
      <c r="P229" s="296"/>
      <c r="Q229" s="73" t="s">
        <v>47</v>
      </c>
      <c r="R229" s="296" t="s">
        <v>43</v>
      </c>
      <c r="S229" s="296"/>
      <c r="T229" s="296"/>
      <c r="U229" s="296"/>
      <c r="V229" s="296"/>
      <c r="W229" s="299"/>
    </row>
    <row r="230" spans="1:24" ht="18.75" customHeight="1">
      <c r="A230" s="303" t="s">
        <v>51</v>
      </c>
      <c r="B230" s="304"/>
      <c r="C230" s="304"/>
      <c r="D230" s="304"/>
      <c r="E230" s="304"/>
      <c r="F230" s="304"/>
      <c r="G230" s="304"/>
      <c r="H230" s="304"/>
      <c r="I230" s="304"/>
      <c r="J230" s="304"/>
      <c r="K230" s="305"/>
      <c r="M230" s="303" t="s">
        <v>51</v>
      </c>
      <c r="N230" s="304"/>
      <c r="O230" s="304"/>
      <c r="P230" s="304"/>
      <c r="Q230" s="304"/>
      <c r="R230" s="304"/>
      <c r="S230" s="304"/>
      <c r="T230" s="304"/>
      <c r="U230" s="304"/>
      <c r="V230" s="304"/>
      <c r="W230" s="305"/>
    </row>
    <row r="231" spans="1:24" ht="18.75" customHeight="1">
      <c r="A231" s="295" t="s">
        <v>52</v>
      </c>
      <c r="B231" s="296"/>
      <c r="C231" s="296"/>
      <c r="D231" s="296"/>
      <c r="E231" s="73" t="s">
        <v>47</v>
      </c>
      <c r="F231" s="310">
        <v>3671000</v>
      </c>
      <c r="G231" s="310"/>
      <c r="H231" s="310"/>
      <c r="I231" s="310"/>
      <c r="J231" s="73" t="s">
        <v>53</v>
      </c>
      <c r="K231" s="74"/>
      <c r="M231" s="295" t="s">
        <v>52</v>
      </c>
      <c r="N231" s="296"/>
      <c r="O231" s="296"/>
      <c r="P231" s="296"/>
      <c r="Q231" s="73" t="s">
        <v>47</v>
      </c>
      <c r="R231" s="310">
        <v>3876000</v>
      </c>
      <c r="S231" s="310"/>
      <c r="T231" s="310"/>
      <c r="U231" s="310"/>
      <c r="V231" s="73" t="s">
        <v>53</v>
      </c>
      <c r="W231" s="74"/>
    </row>
    <row r="232" spans="1:24" ht="18.75" customHeight="1">
      <c r="A232" s="75" t="s">
        <v>54</v>
      </c>
      <c r="B232" s="73"/>
      <c r="C232" s="76"/>
      <c r="D232" s="77"/>
      <c r="E232" s="78"/>
      <c r="F232" s="78"/>
      <c r="G232" s="78"/>
      <c r="H232" s="73"/>
      <c r="I232" s="79">
        <f>'[2]LUONG T7'!F29</f>
        <v>0</v>
      </c>
      <c r="J232" s="80"/>
      <c r="K232" s="81"/>
      <c r="M232" s="75" t="s">
        <v>54</v>
      </c>
      <c r="N232" s="73"/>
      <c r="O232" s="76"/>
      <c r="P232" s="77"/>
      <c r="Q232" s="78"/>
      <c r="R232" s="78"/>
      <c r="S232" s="78"/>
      <c r="T232" s="73"/>
      <c r="U232" s="79">
        <f>'[2]LUONG T7'!F31</f>
        <v>0</v>
      </c>
      <c r="V232" s="80"/>
      <c r="W232" s="81"/>
    </row>
    <row r="233" spans="1:24" ht="18.75" customHeight="1">
      <c r="A233" s="75" t="s">
        <v>55</v>
      </c>
      <c r="B233" s="73"/>
      <c r="C233" s="76"/>
      <c r="D233" s="77"/>
      <c r="E233" s="78"/>
      <c r="F233" s="78"/>
      <c r="G233" s="78"/>
      <c r="H233" s="73"/>
      <c r="I233" s="79" t="e">
        <f>I234/C234/8</f>
        <v>#DIV/0!</v>
      </c>
      <c r="J233" s="80"/>
      <c r="K233" s="81"/>
      <c r="M233" s="75" t="s">
        <v>55</v>
      </c>
      <c r="N233" s="73"/>
      <c r="O233" s="76"/>
      <c r="P233" s="77"/>
      <c r="Q233" s="78"/>
      <c r="R233" s="78"/>
      <c r="S233" s="78"/>
      <c r="T233" s="73"/>
      <c r="U233" s="79" t="e">
        <f>U234/O234/8</f>
        <v>#DIV/0!</v>
      </c>
      <c r="V233" s="80"/>
      <c r="W233" s="81"/>
    </row>
    <row r="234" spans="1:24" ht="18.75" customHeight="1">
      <c r="A234" s="75" t="s">
        <v>56</v>
      </c>
      <c r="B234" s="73" t="s">
        <v>47</v>
      </c>
      <c r="C234" s="76">
        <f>'[2]LUONG T7'!I28</f>
        <v>0</v>
      </c>
      <c r="D234" s="77" t="s">
        <v>57</v>
      </c>
      <c r="E234" s="308" t="s">
        <v>58</v>
      </c>
      <c r="F234" s="308"/>
      <c r="G234" s="308"/>
      <c r="H234" s="73" t="s">
        <v>47</v>
      </c>
      <c r="I234" s="309">
        <f>'[2]LUONG T7'!I29</f>
        <v>0</v>
      </c>
      <c r="J234" s="309"/>
      <c r="K234" s="81" t="s">
        <v>53</v>
      </c>
      <c r="L234" s="82">
        <f>F231/L224*C234</f>
        <v>0</v>
      </c>
      <c r="M234" s="75" t="s">
        <v>56</v>
      </c>
      <c r="N234" s="73" t="s">
        <v>47</v>
      </c>
      <c r="O234" s="76">
        <f>'[2]LUONG T7'!I30</f>
        <v>0</v>
      </c>
      <c r="P234" s="77" t="s">
        <v>57</v>
      </c>
      <c r="Q234" s="308" t="s">
        <v>58</v>
      </c>
      <c r="R234" s="308"/>
      <c r="S234" s="308"/>
      <c r="T234" s="73" t="s">
        <v>47</v>
      </c>
      <c r="U234" s="309">
        <f>'[2]LUONG T7'!I31</f>
        <v>0</v>
      </c>
      <c r="V234" s="309"/>
      <c r="W234" s="81" t="s">
        <v>53</v>
      </c>
      <c r="X234" s="82">
        <f>R231/X224*O234</f>
        <v>0</v>
      </c>
    </row>
    <row r="235" spans="1:24" ht="18.75" customHeight="1">
      <c r="A235" s="75" t="s">
        <v>59</v>
      </c>
      <c r="B235" s="73" t="s">
        <v>47</v>
      </c>
      <c r="C235" s="76">
        <f>'[2]LUONG T7'!J28</f>
        <v>0</v>
      </c>
      <c r="D235" s="77" t="s">
        <v>57</v>
      </c>
      <c r="E235" s="296" t="s">
        <v>60</v>
      </c>
      <c r="F235" s="296"/>
      <c r="G235" s="296"/>
      <c r="H235" s="73" t="s">
        <v>47</v>
      </c>
      <c r="I235" s="307">
        <f>$F$8/$L$1*C235</f>
        <v>0</v>
      </c>
      <c r="J235" s="307"/>
      <c r="K235" s="81" t="s">
        <v>53</v>
      </c>
      <c r="L235" s="82"/>
      <c r="M235" s="75" t="s">
        <v>59</v>
      </c>
      <c r="N235" s="73" t="s">
        <v>47</v>
      </c>
      <c r="O235" s="76">
        <f>'[2]LUONG T7'!J30</f>
        <v>0</v>
      </c>
      <c r="P235" s="77" t="s">
        <v>57</v>
      </c>
      <c r="Q235" s="296" t="s">
        <v>60</v>
      </c>
      <c r="R235" s="296"/>
      <c r="S235" s="296"/>
      <c r="T235" s="73" t="s">
        <v>47</v>
      </c>
      <c r="U235" s="307">
        <f>$F$8/$L$1*O235</f>
        <v>0</v>
      </c>
      <c r="V235" s="307"/>
      <c r="W235" s="81" t="s">
        <v>53</v>
      </c>
      <c r="X235" s="82"/>
    </row>
    <row r="236" spans="1:24" ht="18.75" customHeight="1">
      <c r="A236" s="75" t="s">
        <v>61</v>
      </c>
      <c r="B236" s="73" t="s">
        <v>47</v>
      </c>
      <c r="C236" s="76">
        <f>'[2]LUONG T7'!K28</f>
        <v>0</v>
      </c>
      <c r="D236" s="77" t="s">
        <v>57</v>
      </c>
      <c r="E236" s="306" t="s">
        <v>62</v>
      </c>
      <c r="F236" s="306"/>
      <c r="G236" s="306"/>
      <c r="H236" s="73" t="s">
        <v>47</v>
      </c>
      <c r="I236" s="307">
        <f>F231/$L$1*C236</f>
        <v>0</v>
      </c>
      <c r="J236" s="307"/>
      <c r="K236" s="81" t="s">
        <v>53</v>
      </c>
      <c r="L236" s="82"/>
      <c r="M236" s="75" t="s">
        <v>61</v>
      </c>
      <c r="N236" s="73" t="s">
        <v>47</v>
      </c>
      <c r="O236" s="76">
        <f>'[2]LUONG T7'!K30</f>
        <v>0</v>
      </c>
      <c r="P236" s="77" t="s">
        <v>57</v>
      </c>
      <c r="Q236" s="306" t="s">
        <v>62</v>
      </c>
      <c r="R236" s="306"/>
      <c r="S236" s="306"/>
      <c r="T236" s="73" t="s">
        <v>47</v>
      </c>
      <c r="U236" s="307">
        <f>$F$8/$L$1*O236</f>
        <v>0</v>
      </c>
      <c r="V236" s="307"/>
      <c r="W236" s="81" t="s">
        <v>53</v>
      </c>
      <c r="X236" s="82"/>
    </row>
    <row r="237" spans="1:24" ht="18.75" customHeight="1">
      <c r="A237" s="75" t="s">
        <v>63</v>
      </c>
      <c r="B237" s="73" t="s">
        <v>47</v>
      </c>
      <c r="C237" s="76">
        <f>'[2]LUONG T7'!L28</f>
        <v>0</v>
      </c>
      <c r="D237" s="77" t="s">
        <v>57</v>
      </c>
      <c r="E237" s="306" t="s">
        <v>64</v>
      </c>
      <c r="F237" s="306"/>
      <c r="G237" s="306"/>
      <c r="H237" s="73" t="s">
        <v>47</v>
      </c>
      <c r="I237" s="307">
        <f>$F$8/$L$1*C237</f>
        <v>0</v>
      </c>
      <c r="J237" s="307"/>
      <c r="K237" s="81" t="s">
        <v>53</v>
      </c>
      <c r="L237" s="82"/>
      <c r="M237" s="75" t="s">
        <v>63</v>
      </c>
      <c r="N237" s="73" t="s">
        <v>47</v>
      </c>
      <c r="O237" s="76">
        <f>'[2]LUONG T7'!L30</f>
        <v>0</v>
      </c>
      <c r="P237" s="77" t="s">
        <v>57</v>
      </c>
      <c r="Q237" s="306" t="s">
        <v>64</v>
      </c>
      <c r="R237" s="306"/>
      <c r="S237" s="306"/>
      <c r="T237" s="73" t="s">
        <v>47</v>
      </c>
      <c r="U237" s="307">
        <f>1150000/$L$1*O237</f>
        <v>0</v>
      </c>
      <c r="V237" s="307"/>
      <c r="W237" s="81" t="s">
        <v>53</v>
      </c>
      <c r="X237" s="82"/>
    </row>
    <row r="238" spans="1:24" ht="18.75" customHeight="1">
      <c r="A238" s="75" t="s">
        <v>65</v>
      </c>
      <c r="B238" s="73" t="s">
        <v>47</v>
      </c>
      <c r="C238" s="76">
        <f>'[2]LUONG T7'!Q28</f>
        <v>0</v>
      </c>
      <c r="D238" s="77" t="s">
        <v>66</v>
      </c>
      <c r="E238" s="296" t="s">
        <v>67</v>
      </c>
      <c r="F238" s="296"/>
      <c r="G238" s="296"/>
      <c r="H238" s="73" t="s">
        <v>47</v>
      </c>
      <c r="I238" s="307">
        <f>'[2]LUONG T7'!Q29</f>
        <v>0</v>
      </c>
      <c r="J238" s="307"/>
      <c r="K238" s="81" t="s">
        <v>53</v>
      </c>
      <c r="L238" s="82">
        <f>F231*C238/L224/8*1.5</f>
        <v>0</v>
      </c>
      <c r="M238" s="75" t="s">
        <v>65</v>
      </c>
      <c r="N238" s="73" t="s">
        <v>47</v>
      </c>
      <c r="O238" s="76">
        <f>'[2]LUONG T7'!Q30</f>
        <v>0</v>
      </c>
      <c r="P238" s="77" t="s">
        <v>66</v>
      </c>
      <c r="Q238" s="296" t="s">
        <v>67</v>
      </c>
      <c r="R238" s="296"/>
      <c r="S238" s="296"/>
      <c r="T238" s="73" t="s">
        <v>47</v>
      </c>
      <c r="U238" s="307">
        <f>'[2]LUONG T7'!Q31</f>
        <v>0</v>
      </c>
      <c r="V238" s="307"/>
      <c r="W238" s="81" t="s">
        <v>53</v>
      </c>
      <c r="X238" s="82">
        <f>R231*O238/X224/8*1.5</f>
        <v>0</v>
      </c>
    </row>
    <row r="239" spans="1:24" ht="18.75" customHeight="1">
      <c r="A239" s="295" t="s">
        <v>68</v>
      </c>
      <c r="B239" s="296"/>
      <c r="C239" s="76"/>
      <c r="D239" s="77" t="s">
        <v>57</v>
      </c>
      <c r="E239" s="296" t="s">
        <v>69</v>
      </c>
      <c r="F239" s="296"/>
      <c r="G239" s="296"/>
      <c r="H239" s="83" t="s">
        <v>47</v>
      </c>
      <c r="I239" s="307"/>
      <c r="J239" s="307"/>
      <c r="K239" s="81" t="s">
        <v>53</v>
      </c>
      <c r="L239" s="82"/>
      <c r="M239" s="295" t="s">
        <v>68</v>
      </c>
      <c r="N239" s="296"/>
      <c r="O239" s="76"/>
      <c r="P239" s="77" t="s">
        <v>57</v>
      </c>
      <c r="Q239" s="296" t="s">
        <v>69</v>
      </c>
      <c r="R239" s="296"/>
      <c r="S239" s="296"/>
      <c r="T239" s="83" t="s">
        <v>47</v>
      </c>
      <c r="U239" s="307"/>
      <c r="V239" s="307"/>
      <c r="W239" s="81" t="s">
        <v>53</v>
      </c>
      <c r="X239" s="82"/>
    </row>
    <row r="240" spans="1:24" ht="18.75" customHeight="1">
      <c r="A240" s="75" t="s">
        <v>70</v>
      </c>
      <c r="B240" s="73" t="s">
        <v>47</v>
      </c>
      <c r="C240" s="76"/>
      <c r="D240" s="77" t="s">
        <v>57</v>
      </c>
      <c r="E240" s="296" t="s">
        <v>71</v>
      </c>
      <c r="F240" s="296"/>
      <c r="G240" s="296"/>
      <c r="H240" s="73" t="s">
        <v>47</v>
      </c>
      <c r="I240" s="307"/>
      <c r="J240" s="307"/>
      <c r="K240" s="81" t="s">
        <v>53</v>
      </c>
      <c r="L240" s="82"/>
      <c r="M240" s="75" t="s">
        <v>70</v>
      </c>
      <c r="N240" s="73" t="s">
        <v>47</v>
      </c>
      <c r="O240" s="76"/>
      <c r="P240" s="77" t="s">
        <v>57</v>
      </c>
      <c r="Q240" s="296" t="s">
        <v>71</v>
      </c>
      <c r="R240" s="296"/>
      <c r="S240" s="296"/>
      <c r="T240" s="73" t="s">
        <v>47</v>
      </c>
      <c r="U240" s="307"/>
      <c r="V240" s="307"/>
      <c r="W240" s="81" t="s">
        <v>53</v>
      </c>
      <c r="X240" s="82"/>
    </row>
    <row r="241" spans="1:24" ht="18.75" customHeight="1">
      <c r="A241" s="84" t="s">
        <v>72</v>
      </c>
      <c r="B241" s="73"/>
      <c r="C241" s="76">
        <f>'[2]LUONG T7'!M28</f>
        <v>0</v>
      </c>
      <c r="D241" s="77" t="s">
        <v>66</v>
      </c>
      <c r="E241" s="296" t="s">
        <v>73</v>
      </c>
      <c r="F241" s="296"/>
      <c r="G241" s="296"/>
      <c r="H241" s="73" t="s">
        <v>47</v>
      </c>
      <c r="I241" s="307">
        <f>$F$8*C241/8/$L$1</f>
        <v>0</v>
      </c>
      <c r="J241" s="307"/>
      <c r="K241" s="81" t="s">
        <v>53</v>
      </c>
      <c r="L241" s="82"/>
      <c r="M241" s="84" t="s">
        <v>72</v>
      </c>
      <c r="N241" s="73"/>
      <c r="O241" s="76">
        <f>'[2]LUONG T7'!M30</f>
        <v>0</v>
      </c>
      <c r="P241" s="77" t="s">
        <v>66</v>
      </c>
      <c r="Q241" s="296" t="s">
        <v>73</v>
      </c>
      <c r="R241" s="296"/>
      <c r="S241" s="296"/>
      <c r="T241" s="73" t="s">
        <v>47</v>
      </c>
      <c r="U241" s="307">
        <f>$F$8*O241/8/$L$1</f>
        <v>0</v>
      </c>
      <c r="V241" s="307"/>
      <c r="W241" s="81" t="s">
        <v>53</v>
      </c>
      <c r="X241" s="82"/>
    </row>
    <row r="242" spans="1:24" ht="18.75" customHeight="1">
      <c r="A242" s="75" t="s">
        <v>74</v>
      </c>
      <c r="B242" s="73" t="s">
        <v>47</v>
      </c>
      <c r="C242" s="76"/>
      <c r="D242" s="77" t="s">
        <v>66</v>
      </c>
      <c r="E242" s="296" t="s">
        <v>98</v>
      </c>
      <c r="F242" s="296"/>
      <c r="G242" s="296"/>
      <c r="H242" s="73" t="s">
        <v>47</v>
      </c>
      <c r="I242" s="309"/>
      <c r="J242" s="309"/>
      <c r="K242" s="81" t="s">
        <v>53</v>
      </c>
      <c r="L242" s="82"/>
      <c r="M242" s="75" t="s">
        <v>103</v>
      </c>
      <c r="N242" s="73" t="s">
        <v>47</v>
      </c>
      <c r="O242" s="76"/>
      <c r="P242" s="77" t="s">
        <v>66</v>
      </c>
      <c r="Q242" s="296" t="s">
        <v>111</v>
      </c>
      <c r="R242" s="296"/>
      <c r="S242" s="296"/>
      <c r="T242" s="73" t="s">
        <v>47</v>
      </c>
      <c r="U242" s="309">
        <v>240000</v>
      </c>
      <c r="V242" s="309"/>
      <c r="W242" s="81" t="s">
        <v>53</v>
      </c>
      <c r="X242" s="82"/>
    </row>
    <row r="243" spans="1:24" ht="18.75" customHeight="1">
      <c r="A243" s="75" t="s">
        <v>76</v>
      </c>
      <c r="B243" s="73" t="s">
        <v>47</v>
      </c>
      <c r="C243" s="76"/>
      <c r="D243" s="77" t="s">
        <v>77</v>
      </c>
      <c r="E243" s="85" t="s">
        <v>78</v>
      </c>
      <c r="F243" s="85"/>
      <c r="G243" s="85"/>
      <c r="H243" s="73" t="s">
        <v>47</v>
      </c>
      <c r="I243" s="307"/>
      <c r="J243" s="307"/>
      <c r="K243" s="81" t="s">
        <v>53</v>
      </c>
      <c r="L243" s="82">
        <f>+IF(L234-I234&lt;0,0,L234-I234)+IF(L238-I238&lt;0,0,L238-I238)</f>
        <v>0</v>
      </c>
      <c r="M243" s="75" t="s">
        <v>76</v>
      </c>
      <c r="N243" s="73" t="s">
        <v>47</v>
      </c>
      <c r="O243" s="76"/>
      <c r="P243" s="77" t="s">
        <v>77</v>
      </c>
      <c r="Q243" s="85" t="s">
        <v>78</v>
      </c>
      <c r="R243" s="85"/>
      <c r="S243" s="85"/>
      <c r="T243" s="73" t="s">
        <v>47</v>
      </c>
      <c r="U243" s="307"/>
      <c r="V243" s="307"/>
      <c r="W243" s="81" t="s">
        <v>53</v>
      </c>
      <c r="X243" s="82">
        <f>+IF(X234-U234&lt;0,0,X234-U234)+IF(X238-U238&lt;0,0,X238-U238)</f>
        <v>0</v>
      </c>
    </row>
    <row r="244" spans="1:24" ht="18.75" customHeight="1">
      <c r="A244" s="86" t="s">
        <v>79</v>
      </c>
      <c r="B244" s="87"/>
      <c r="C244" s="76"/>
      <c r="D244" s="77" t="s">
        <v>57</v>
      </c>
      <c r="E244" s="296" t="s">
        <v>80</v>
      </c>
      <c r="F244" s="296"/>
      <c r="G244" s="296"/>
      <c r="H244" s="73" t="s">
        <v>47</v>
      </c>
      <c r="I244" s="307">
        <v>324000</v>
      </c>
      <c r="J244" s="307"/>
      <c r="K244" s="81" t="s">
        <v>53</v>
      </c>
      <c r="L244" s="82"/>
      <c r="M244" s="86" t="s">
        <v>79</v>
      </c>
      <c r="N244" s="87"/>
      <c r="O244" s="76"/>
      <c r="P244" s="77" t="s">
        <v>57</v>
      </c>
      <c r="Q244" s="296" t="s">
        <v>80</v>
      </c>
      <c r="R244" s="296"/>
      <c r="S244" s="296"/>
      <c r="T244" s="73" t="s">
        <v>47</v>
      </c>
      <c r="U244" s="307">
        <v>324000</v>
      </c>
      <c r="V244" s="307"/>
      <c r="W244" s="81" t="s">
        <v>53</v>
      </c>
      <c r="X244" s="82"/>
    </row>
    <row r="245" spans="1:24" ht="18.75" customHeight="1">
      <c r="A245" s="314" t="s">
        <v>81</v>
      </c>
      <c r="B245" s="308"/>
      <c r="C245" s="76"/>
      <c r="D245" s="77"/>
      <c r="E245" s="78"/>
      <c r="F245" s="78"/>
      <c r="G245" s="78"/>
      <c r="H245" s="73" t="s">
        <v>47</v>
      </c>
      <c r="I245" s="307">
        <f>'[2]LUONG T7'!P29</f>
        <v>0</v>
      </c>
      <c r="J245" s="307"/>
      <c r="K245" s="81" t="s">
        <v>53</v>
      </c>
      <c r="L245" s="82"/>
      <c r="M245" s="314" t="s">
        <v>81</v>
      </c>
      <c r="N245" s="308"/>
      <c r="O245" s="76"/>
      <c r="P245" s="77"/>
      <c r="Q245" s="78"/>
      <c r="R245" s="78"/>
      <c r="S245" s="78"/>
      <c r="T245" s="73" t="s">
        <v>47</v>
      </c>
      <c r="U245" s="307">
        <f>'[2]LUONG T7'!P31</f>
        <v>0</v>
      </c>
      <c r="V245" s="307"/>
      <c r="W245" s="81" t="s">
        <v>53</v>
      </c>
      <c r="X245" s="82"/>
    </row>
    <row r="246" spans="1:24" ht="18.75" customHeight="1">
      <c r="A246" s="75" t="s">
        <v>82</v>
      </c>
      <c r="B246" s="73" t="s">
        <v>47</v>
      </c>
      <c r="C246" s="76"/>
      <c r="D246" s="77"/>
      <c r="E246" s="78" t="s">
        <v>83</v>
      </c>
      <c r="F246" s="78"/>
      <c r="G246" s="78"/>
      <c r="H246" s="73" t="s">
        <v>47</v>
      </c>
      <c r="I246" s="307">
        <f>L243</f>
        <v>0</v>
      </c>
      <c r="J246" s="307"/>
      <c r="K246" s="81" t="s">
        <v>53</v>
      </c>
      <c r="L246" s="82"/>
      <c r="M246" s="75" t="s">
        <v>82</v>
      </c>
      <c r="N246" s="73" t="s">
        <v>47</v>
      </c>
      <c r="O246" s="76"/>
      <c r="P246" s="77"/>
      <c r="Q246" s="78" t="s">
        <v>83</v>
      </c>
      <c r="R246" s="78"/>
      <c r="S246" s="78"/>
      <c r="T246" s="73" t="s">
        <v>47</v>
      </c>
      <c r="U246" s="307">
        <f>X243</f>
        <v>0</v>
      </c>
      <c r="V246" s="307"/>
      <c r="W246" s="81" t="s">
        <v>53</v>
      </c>
      <c r="X246" s="82"/>
    </row>
    <row r="247" spans="1:24" ht="18.75" customHeight="1">
      <c r="A247" s="311" t="s">
        <v>84</v>
      </c>
      <c r="B247" s="312"/>
      <c r="C247" s="312"/>
      <c r="D247" s="312"/>
      <c r="E247" s="312"/>
      <c r="F247" s="312"/>
      <c r="G247" s="73" t="s">
        <v>47</v>
      </c>
      <c r="H247" s="313">
        <f>I234+I235+I236+I237+I238+I241+I245+I246+I244+I242</f>
        <v>324000</v>
      </c>
      <c r="I247" s="313"/>
      <c r="J247" s="313"/>
      <c r="K247" s="81" t="s">
        <v>53</v>
      </c>
      <c r="M247" s="311" t="s">
        <v>84</v>
      </c>
      <c r="N247" s="312"/>
      <c r="O247" s="312"/>
      <c r="P247" s="312"/>
      <c r="Q247" s="312"/>
      <c r="R247" s="312"/>
      <c r="S247" s="73" t="s">
        <v>47</v>
      </c>
      <c r="T247" s="313">
        <f>U234+U235+U236+U237+U238+U241+U245+U246+U244+U242</f>
        <v>564000</v>
      </c>
      <c r="U247" s="313"/>
      <c r="V247" s="313"/>
      <c r="W247" s="81" t="s">
        <v>53</v>
      </c>
    </row>
    <row r="248" spans="1:24" ht="18.75" customHeight="1">
      <c r="A248" s="88"/>
      <c r="B248" s="89"/>
      <c r="C248" s="89"/>
      <c r="D248" s="89"/>
      <c r="E248" s="89"/>
      <c r="F248" s="89"/>
      <c r="G248" s="89"/>
      <c r="H248" s="89"/>
      <c r="I248" s="89"/>
      <c r="J248" s="89"/>
      <c r="K248" s="90"/>
      <c r="M248" s="88"/>
      <c r="N248" s="89"/>
      <c r="O248" s="89"/>
      <c r="P248" s="89"/>
      <c r="Q248" s="89"/>
      <c r="R248" s="89"/>
      <c r="S248" s="89"/>
      <c r="T248" s="89"/>
      <c r="U248" s="89"/>
      <c r="V248" s="89"/>
      <c r="W248" s="90"/>
    </row>
    <row r="249" spans="1:24" ht="18.75" customHeight="1">
      <c r="A249" s="321" t="s">
        <v>85</v>
      </c>
      <c r="B249" s="322"/>
      <c r="C249" s="322"/>
      <c r="D249" s="322"/>
      <c r="E249" s="322"/>
      <c r="F249" s="322"/>
      <c r="G249" s="73"/>
      <c r="H249" s="73"/>
      <c r="I249" s="73"/>
      <c r="J249" s="73"/>
      <c r="K249" s="81"/>
      <c r="M249" s="321" t="s">
        <v>85</v>
      </c>
      <c r="N249" s="322"/>
      <c r="O249" s="322"/>
      <c r="P249" s="322"/>
      <c r="Q249" s="322"/>
      <c r="R249" s="322"/>
      <c r="S249" s="73"/>
      <c r="T249" s="73"/>
      <c r="U249" s="73"/>
      <c r="V249" s="73"/>
      <c r="W249" s="81"/>
    </row>
    <row r="250" spans="1:24" ht="18.75" customHeight="1">
      <c r="A250" s="315" t="s">
        <v>86</v>
      </c>
      <c r="B250" s="316"/>
      <c r="C250" s="316"/>
      <c r="D250" s="316"/>
      <c r="E250" s="316"/>
      <c r="F250" s="316"/>
      <c r="G250" s="73" t="s">
        <v>47</v>
      </c>
      <c r="H250" s="323">
        <f>IF(($L$1-(C234+C235+C236+C237))&gt;12,0,F231*8%)</f>
        <v>0</v>
      </c>
      <c r="I250" s="323"/>
      <c r="J250" s="323"/>
      <c r="K250" s="81" t="s">
        <v>53</v>
      </c>
      <c r="M250" s="315" t="s">
        <v>86</v>
      </c>
      <c r="N250" s="316"/>
      <c r="O250" s="316"/>
      <c r="P250" s="316"/>
      <c r="Q250" s="316"/>
      <c r="R250" s="316"/>
      <c r="S250" s="73" t="s">
        <v>47</v>
      </c>
      <c r="T250" s="323">
        <f>IF(($L$1-(O234+O235+O236+O237))&gt;12,0,R231*8%)</f>
        <v>0</v>
      </c>
      <c r="U250" s="323"/>
      <c r="V250" s="323"/>
      <c r="W250" s="81" t="s">
        <v>53</v>
      </c>
    </row>
    <row r="251" spans="1:24" ht="18.75" customHeight="1">
      <c r="A251" s="315" t="s">
        <v>87</v>
      </c>
      <c r="B251" s="316"/>
      <c r="C251" s="316"/>
      <c r="D251" s="316"/>
      <c r="E251" s="316"/>
      <c r="F251" s="316"/>
      <c r="G251" s="73" t="s">
        <v>47</v>
      </c>
      <c r="H251" s="317">
        <f>IF(($L$1-(C234+C235+C236+C237))&gt;12,0,F231*1.5%)</f>
        <v>0</v>
      </c>
      <c r="I251" s="317"/>
      <c r="J251" s="317"/>
      <c r="K251" s="81" t="s">
        <v>53</v>
      </c>
      <c r="M251" s="315" t="s">
        <v>87</v>
      </c>
      <c r="N251" s="316"/>
      <c r="O251" s="316"/>
      <c r="P251" s="316"/>
      <c r="Q251" s="316"/>
      <c r="R251" s="316"/>
      <c r="S251" s="73" t="s">
        <v>47</v>
      </c>
      <c r="T251" s="317">
        <f>IF(($L$1-(O234+O235+O236+O237))&gt;12,0,R231*1.5%)</f>
        <v>0</v>
      </c>
      <c r="U251" s="317"/>
      <c r="V251" s="317"/>
      <c r="W251" s="81" t="s">
        <v>53</v>
      </c>
    </row>
    <row r="252" spans="1:24" ht="18.75" customHeight="1">
      <c r="A252" s="315" t="s">
        <v>88</v>
      </c>
      <c r="B252" s="316"/>
      <c r="C252" s="316"/>
      <c r="D252" s="316"/>
      <c r="E252" s="316"/>
      <c r="F252" s="316"/>
      <c r="G252" s="73" t="s">
        <v>47</v>
      </c>
      <c r="H252" s="317">
        <f>IF(($L$1-(C234+C235+C236+C237))&gt;12,0,F231*1%)</f>
        <v>0</v>
      </c>
      <c r="I252" s="317"/>
      <c r="J252" s="317"/>
      <c r="K252" s="81" t="s">
        <v>53</v>
      </c>
      <c r="M252" s="315" t="s">
        <v>88</v>
      </c>
      <c r="N252" s="316"/>
      <c r="O252" s="316"/>
      <c r="P252" s="316"/>
      <c r="Q252" s="316"/>
      <c r="R252" s="316"/>
      <c r="S252" s="73" t="s">
        <v>47</v>
      </c>
      <c r="T252" s="317">
        <f>IF(($L$1-(O234+O235+O236+O237))&gt;12,0,R231*1%)</f>
        <v>0</v>
      </c>
      <c r="U252" s="317"/>
      <c r="V252" s="317"/>
      <c r="W252" s="81" t="s">
        <v>53</v>
      </c>
    </row>
    <row r="253" spans="1:24" ht="18.75" customHeight="1">
      <c r="A253" s="315" t="s">
        <v>89</v>
      </c>
      <c r="B253" s="316"/>
      <c r="C253" s="316"/>
      <c r="D253" s="316"/>
      <c r="E253" s="316"/>
      <c r="F253" s="316"/>
      <c r="G253" s="73" t="s">
        <v>47</v>
      </c>
      <c r="H253" s="317">
        <v>0</v>
      </c>
      <c r="I253" s="317"/>
      <c r="J253" s="317"/>
      <c r="K253" s="81" t="s">
        <v>53</v>
      </c>
      <c r="M253" s="315" t="s">
        <v>89</v>
      </c>
      <c r="N253" s="316"/>
      <c r="O253" s="316"/>
      <c r="P253" s="316"/>
      <c r="Q253" s="316"/>
      <c r="R253" s="316"/>
      <c r="S253" s="73" t="s">
        <v>47</v>
      </c>
      <c r="T253" s="317">
        <v>0</v>
      </c>
      <c r="U253" s="317"/>
      <c r="V253" s="317"/>
      <c r="W253" s="81" t="s">
        <v>53</v>
      </c>
    </row>
    <row r="254" spans="1:24" ht="18.75" customHeight="1">
      <c r="A254" s="318" t="s">
        <v>90</v>
      </c>
      <c r="B254" s="319"/>
      <c r="C254" s="319"/>
      <c r="D254" s="319"/>
      <c r="E254" s="319"/>
      <c r="F254" s="319"/>
      <c r="G254" s="73" t="s">
        <v>47</v>
      </c>
      <c r="H254" s="320">
        <f>SUM(H250:J253)</f>
        <v>0</v>
      </c>
      <c r="I254" s="320"/>
      <c r="J254" s="320"/>
      <c r="K254" s="81" t="s">
        <v>53</v>
      </c>
      <c r="M254" s="318" t="s">
        <v>90</v>
      </c>
      <c r="N254" s="319"/>
      <c r="O254" s="319"/>
      <c r="P254" s="319"/>
      <c r="Q254" s="319"/>
      <c r="R254" s="319"/>
      <c r="S254" s="73" t="s">
        <v>47</v>
      </c>
      <c r="T254" s="320">
        <f>SUM(T250:V253)</f>
        <v>0</v>
      </c>
      <c r="U254" s="320"/>
      <c r="V254" s="320"/>
      <c r="W254" s="81" t="s">
        <v>53</v>
      </c>
    </row>
    <row r="255" spans="1:24" ht="18.75" customHeight="1">
      <c r="A255" s="315" t="s">
        <v>91</v>
      </c>
      <c r="B255" s="316"/>
      <c r="C255" s="316"/>
      <c r="D255" s="316"/>
      <c r="E255" s="316"/>
      <c r="F255" s="316"/>
      <c r="G255" s="73" t="s">
        <v>47</v>
      </c>
      <c r="H255" s="327">
        <f>ROUND(H247-H254,-2)</f>
        <v>324000</v>
      </c>
      <c r="I255" s="327"/>
      <c r="J255" s="327"/>
      <c r="K255" s="81" t="s">
        <v>53</v>
      </c>
      <c r="M255" s="315" t="s">
        <v>91</v>
      </c>
      <c r="N255" s="316"/>
      <c r="O255" s="316"/>
      <c r="P255" s="316"/>
      <c r="Q255" s="316"/>
      <c r="R255" s="316"/>
      <c r="S255" s="73" t="s">
        <v>47</v>
      </c>
      <c r="T255" s="327">
        <f>ROUND(T247-T254,-2)</f>
        <v>564000</v>
      </c>
      <c r="U255" s="327"/>
      <c r="V255" s="327"/>
      <c r="W255" s="81" t="s">
        <v>53</v>
      </c>
    </row>
    <row r="256" spans="1:24" ht="18.75" customHeight="1">
      <c r="A256" s="91"/>
      <c r="B256" s="92"/>
      <c r="C256" s="92"/>
      <c r="D256" s="92"/>
      <c r="E256" s="92"/>
      <c r="F256" s="92"/>
      <c r="G256" s="92"/>
      <c r="H256" s="92"/>
      <c r="I256" s="92"/>
      <c r="J256" s="92"/>
      <c r="K256" s="93"/>
      <c r="M256" s="91"/>
      <c r="N256" s="92"/>
      <c r="O256" s="92"/>
      <c r="P256" s="92"/>
      <c r="Q256" s="92"/>
      <c r="R256" s="92"/>
      <c r="S256" s="92"/>
      <c r="T256" s="92"/>
      <c r="U256" s="92"/>
      <c r="V256" s="92"/>
      <c r="W256" s="93"/>
    </row>
    <row r="257" spans="1:24" ht="18.75" customHeight="1">
      <c r="A257" s="94"/>
      <c r="B257" s="73"/>
      <c r="C257" s="73"/>
      <c r="D257" s="73"/>
      <c r="E257" s="73"/>
      <c r="F257" s="73"/>
      <c r="G257" s="73"/>
      <c r="H257" s="73"/>
      <c r="I257" s="324" t="s">
        <v>92</v>
      </c>
      <c r="J257" s="324"/>
      <c r="K257" s="328"/>
      <c r="M257" s="94"/>
      <c r="N257" s="73"/>
      <c r="O257" s="73"/>
      <c r="P257" s="73"/>
      <c r="Q257" s="73"/>
      <c r="R257" s="73"/>
      <c r="S257" s="73"/>
      <c r="T257" s="73"/>
      <c r="U257" s="324" t="s">
        <v>92</v>
      </c>
      <c r="V257" s="324"/>
      <c r="W257" s="328"/>
    </row>
    <row r="258" spans="1:24" ht="18.75" customHeight="1">
      <c r="A258" s="94"/>
      <c r="B258" s="324"/>
      <c r="C258" s="324"/>
      <c r="D258" s="324"/>
      <c r="E258" s="324"/>
      <c r="F258" s="73"/>
      <c r="G258" s="73"/>
      <c r="H258" s="73"/>
      <c r="I258" s="73"/>
      <c r="J258" s="73"/>
      <c r="K258" s="74"/>
      <c r="M258" s="94"/>
      <c r="N258" s="324"/>
      <c r="O258" s="324"/>
      <c r="P258" s="324"/>
      <c r="Q258" s="324"/>
      <c r="R258" s="73"/>
      <c r="S258" s="73"/>
      <c r="T258" s="73"/>
      <c r="U258" s="73"/>
      <c r="V258" s="73"/>
      <c r="W258" s="74"/>
    </row>
    <row r="259" spans="1:24" ht="18.75" customHeight="1" thickBot="1">
      <c r="A259" s="95"/>
      <c r="B259" s="96"/>
      <c r="C259" s="96"/>
      <c r="D259" s="96"/>
      <c r="E259" s="96"/>
      <c r="F259" s="96"/>
      <c r="G259" s="96"/>
      <c r="H259" s="96"/>
      <c r="I259" s="325" t="s">
        <v>93</v>
      </c>
      <c r="J259" s="325"/>
      <c r="K259" s="326"/>
      <c r="M259" s="95"/>
      <c r="N259" s="96"/>
      <c r="O259" s="96"/>
      <c r="P259" s="96"/>
      <c r="Q259" s="96"/>
      <c r="R259" s="96"/>
      <c r="S259" s="96"/>
      <c r="T259" s="96"/>
      <c r="U259" s="325" t="s">
        <v>93</v>
      </c>
      <c r="V259" s="325"/>
      <c r="W259" s="326"/>
    </row>
    <row r="261" spans="1:24" ht="18.75" customHeight="1" thickTop="1">
      <c r="A261" s="300" t="s">
        <v>41</v>
      </c>
      <c r="B261" s="301"/>
      <c r="C261" s="301"/>
      <c r="D261" s="301"/>
      <c r="E261" s="301"/>
      <c r="F261" s="301"/>
      <c r="G261" s="301"/>
      <c r="H261" s="301"/>
      <c r="I261" s="301"/>
      <c r="J261" s="301"/>
      <c r="K261" s="302"/>
      <c r="L261" s="69">
        <v>25</v>
      </c>
      <c r="M261" s="300" t="s">
        <v>41</v>
      </c>
      <c r="N261" s="301"/>
      <c r="O261" s="301"/>
      <c r="P261" s="301"/>
      <c r="Q261" s="301"/>
      <c r="R261" s="301"/>
      <c r="S261" s="301"/>
      <c r="T261" s="301"/>
      <c r="U261" s="301"/>
      <c r="V261" s="301"/>
      <c r="W261" s="302"/>
      <c r="X261" s="69">
        <v>25</v>
      </c>
    </row>
    <row r="262" spans="1:24" ht="18.75" customHeight="1">
      <c r="A262" s="70" t="s">
        <v>119</v>
      </c>
      <c r="B262" s="71"/>
      <c r="C262" s="71"/>
      <c r="D262" s="71"/>
      <c r="E262" s="71"/>
      <c r="F262" s="71"/>
      <c r="G262" s="71"/>
      <c r="H262" s="71"/>
      <c r="I262" s="71"/>
      <c r="J262" s="71"/>
      <c r="K262" s="72"/>
      <c r="M262" s="70" t="s">
        <v>120</v>
      </c>
      <c r="N262" s="71"/>
      <c r="O262" s="71"/>
      <c r="P262" s="71"/>
      <c r="Q262" s="71"/>
      <c r="R262" s="71"/>
      <c r="S262" s="71"/>
      <c r="T262" s="71"/>
      <c r="U262" s="71"/>
      <c r="V262" s="71"/>
      <c r="W262" s="72"/>
    </row>
    <row r="263" spans="1:24" ht="18.75" customHeight="1">
      <c r="A263" s="303" t="s">
        <v>45</v>
      </c>
      <c r="B263" s="304"/>
      <c r="C263" s="304"/>
      <c r="D263" s="304"/>
      <c r="E263" s="304"/>
      <c r="F263" s="304"/>
      <c r="G263" s="304"/>
      <c r="H263" s="304"/>
      <c r="I263" s="304"/>
      <c r="J263" s="304"/>
      <c r="K263" s="305"/>
      <c r="M263" s="303" t="s">
        <v>45</v>
      </c>
      <c r="N263" s="304"/>
      <c r="O263" s="304"/>
      <c r="P263" s="304"/>
      <c r="Q263" s="304"/>
      <c r="R263" s="304"/>
      <c r="S263" s="304"/>
      <c r="T263" s="304"/>
      <c r="U263" s="304"/>
      <c r="V263" s="304"/>
      <c r="W263" s="305"/>
    </row>
    <row r="264" spans="1:24" ht="18.75" customHeight="1">
      <c r="A264" s="295" t="s">
        <v>46</v>
      </c>
      <c r="B264" s="296"/>
      <c r="C264" s="296"/>
      <c r="D264" s="296"/>
      <c r="E264" s="73" t="s">
        <v>47</v>
      </c>
      <c r="F264" s="297">
        <f>'[2]Bang TH nop'!B24</f>
        <v>0</v>
      </c>
      <c r="G264" s="296"/>
      <c r="H264" s="296"/>
      <c r="I264" s="296"/>
      <c r="J264" s="296"/>
      <c r="K264" s="299"/>
      <c r="M264" s="295" t="s">
        <v>46</v>
      </c>
      <c r="N264" s="296"/>
      <c r="O264" s="296"/>
      <c r="P264" s="296"/>
      <c r="Q264" s="73" t="s">
        <v>47</v>
      </c>
      <c r="R264" s="297">
        <f>'[2]Bang TH nop'!B26</f>
        <v>0</v>
      </c>
      <c r="S264" s="296"/>
      <c r="T264" s="296"/>
      <c r="U264" s="296"/>
      <c r="V264" s="296"/>
      <c r="W264" s="299"/>
    </row>
    <row r="265" spans="1:24" ht="18.75" customHeight="1">
      <c r="A265" s="295" t="s">
        <v>49</v>
      </c>
      <c r="B265" s="296"/>
      <c r="C265" s="296"/>
      <c r="D265" s="296"/>
      <c r="E265" s="73" t="s">
        <v>47</v>
      </c>
      <c r="F265" s="297">
        <f>'[2]Bang TH nop'!C24</f>
        <v>0</v>
      </c>
      <c r="G265" s="297"/>
      <c r="H265" s="297"/>
      <c r="I265" s="297"/>
      <c r="J265" s="297"/>
      <c r="K265" s="298"/>
      <c r="M265" s="295" t="s">
        <v>49</v>
      </c>
      <c r="N265" s="296"/>
      <c r="O265" s="296"/>
      <c r="P265" s="296"/>
      <c r="Q265" s="73" t="s">
        <v>47</v>
      </c>
      <c r="R265" s="297">
        <f>'[2]Bang TH nop'!C26</f>
        <v>0</v>
      </c>
      <c r="S265" s="297"/>
      <c r="T265" s="297"/>
      <c r="U265" s="297"/>
      <c r="V265" s="297"/>
      <c r="W265" s="298"/>
    </row>
    <row r="266" spans="1:24" ht="18.75" customHeight="1">
      <c r="A266" s="295" t="s">
        <v>50</v>
      </c>
      <c r="B266" s="296"/>
      <c r="C266" s="296"/>
      <c r="D266" s="296"/>
      <c r="E266" s="73" t="s">
        <v>47</v>
      </c>
      <c r="F266" s="296" t="s">
        <v>121</v>
      </c>
      <c r="G266" s="296"/>
      <c r="H266" s="296"/>
      <c r="I266" s="296"/>
      <c r="J266" s="296"/>
      <c r="K266" s="299"/>
      <c r="M266" s="295" t="s">
        <v>50</v>
      </c>
      <c r="N266" s="296"/>
      <c r="O266" s="296"/>
      <c r="P266" s="296"/>
      <c r="Q266" s="73" t="s">
        <v>47</v>
      </c>
      <c r="R266" s="296" t="s">
        <v>121</v>
      </c>
      <c r="S266" s="296"/>
      <c r="T266" s="296"/>
      <c r="U266" s="296"/>
      <c r="V266" s="296"/>
      <c r="W266" s="299"/>
    </row>
    <row r="267" spans="1:24" ht="18.75" customHeight="1">
      <c r="A267" s="303" t="s">
        <v>51</v>
      </c>
      <c r="B267" s="304"/>
      <c r="C267" s="304"/>
      <c r="D267" s="304"/>
      <c r="E267" s="304"/>
      <c r="F267" s="304"/>
      <c r="G267" s="304"/>
      <c r="H267" s="304"/>
      <c r="I267" s="304"/>
      <c r="J267" s="304"/>
      <c r="K267" s="305"/>
      <c r="M267" s="303" t="s">
        <v>51</v>
      </c>
      <c r="N267" s="304"/>
      <c r="O267" s="304"/>
      <c r="P267" s="304"/>
      <c r="Q267" s="304"/>
      <c r="R267" s="304"/>
      <c r="S267" s="304"/>
      <c r="T267" s="304"/>
      <c r="U267" s="304"/>
      <c r="V267" s="304"/>
      <c r="W267" s="305"/>
    </row>
    <row r="268" spans="1:24" ht="18.75" customHeight="1">
      <c r="A268" s="295" t="s">
        <v>52</v>
      </c>
      <c r="B268" s="296"/>
      <c r="C268" s="296"/>
      <c r="D268" s="296"/>
      <c r="E268" s="73" t="s">
        <v>47</v>
      </c>
      <c r="F268" s="310">
        <v>2915400</v>
      </c>
      <c r="G268" s="310"/>
      <c r="H268" s="310"/>
      <c r="I268" s="310"/>
      <c r="J268" s="73" t="s">
        <v>53</v>
      </c>
      <c r="K268" s="74"/>
      <c r="M268" s="295" t="s">
        <v>52</v>
      </c>
      <c r="N268" s="296"/>
      <c r="O268" s="296"/>
      <c r="P268" s="296"/>
      <c r="Q268" s="73" t="s">
        <v>47</v>
      </c>
      <c r="R268" s="310">
        <v>2915400</v>
      </c>
      <c r="S268" s="310"/>
      <c r="T268" s="310"/>
      <c r="U268" s="310"/>
      <c r="V268" s="73" t="s">
        <v>53</v>
      </c>
      <c r="W268" s="74"/>
    </row>
    <row r="269" spans="1:24" ht="18.75" customHeight="1">
      <c r="A269" s="75" t="s">
        <v>54</v>
      </c>
      <c r="B269" s="73"/>
      <c r="C269" s="76"/>
      <c r="D269" s="77"/>
      <c r="E269" s="78"/>
      <c r="F269" s="78"/>
      <c r="G269" s="78"/>
      <c r="H269" s="73"/>
      <c r="I269" s="79">
        <f>'[2]LUONG T7'!F33</f>
        <v>0</v>
      </c>
      <c r="J269" s="80"/>
      <c r="K269" s="81"/>
      <c r="M269" s="75" t="s">
        <v>54</v>
      </c>
      <c r="N269" s="73"/>
      <c r="O269" s="76"/>
      <c r="P269" s="77"/>
      <c r="Q269" s="78"/>
      <c r="R269" s="78"/>
      <c r="S269" s="78"/>
      <c r="T269" s="73"/>
      <c r="U269" s="79">
        <f>'[2]LUONG T7'!F35</f>
        <v>0</v>
      </c>
      <c r="V269" s="80"/>
      <c r="W269" s="81"/>
    </row>
    <row r="270" spans="1:24" ht="18.75" customHeight="1">
      <c r="A270" s="75" t="s">
        <v>55</v>
      </c>
      <c r="B270" s="73"/>
      <c r="C270" s="76"/>
      <c r="D270" s="77"/>
      <c r="E270" s="78"/>
      <c r="F270" s="78"/>
      <c r="G270" s="78"/>
      <c r="H270" s="73"/>
      <c r="I270" s="79" t="e">
        <f>I271/C271/8</f>
        <v>#DIV/0!</v>
      </c>
      <c r="J270" s="80"/>
      <c r="K270" s="81"/>
      <c r="M270" s="75" t="s">
        <v>55</v>
      </c>
      <c r="N270" s="73"/>
      <c r="O270" s="76"/>
      <c r="P270" s="77"/>
      <c r="Q270" s="78"/>
      <c r="R270" s="78"/>
      <c r="S270" s="78"/>
      <c r="T270" s="73"/>
      <c r="U270" s="79" t="e">
        <f>U271/O271/8</f>
        <v>#DIV/0!</v>
      </c>
      <c r="V270" s="80"/>
      <c r="W270" s="81"/>
    </row>
    <row r="271" spans="1:24" ht="18.75" customHeight="1">
      <c r="A271" s="75" t="s">
        <v>56</v>
      </c>
      <c r="B271" s="73" t="s">
        <v>47</v>
      </c>
      <c r="C271" s="76">
        <f>'[2]LUONG T7'!I32</f>
        <v>0</v>
      </c>
      <c r="D271" s="77" t="s">
        <v>57</v>
      </c>
      <c r="E271" s="308" t="s">
        <v>58</v>
      </c>
      <c r="F271" s="308"/>
      <c r="G271" s="308"/>
      <c r="H271" s="73" t="s">
        <v>47</v>
      </c>
      <c r="I271" s="309">
        <f>'[2]LUONG T7'!I33</f>
        <v>0</v>
      </c>
      <c r="J271" s="309"/>
      <c r="K271" s="81" t="s">
        <v>53</v>
      </c>
      <c r="L271" s="82">
        <f>F268/L261*C271</f>
        <v>0</v>
      </c>
      <c r="M271" s="75" t="s">
        <v>56</v>
      </c>
      <c r="N271" s="73" t="s">
        <v>47</v>
      </c>
      <c r="O271" s="76">
        <f>'[2]LUONG T7'!I34</f>
        <v>0</v>
      </c>
      <c r="P271" s="77" t="s">
        <v>57</v>
      </c>
      <c r="Q271" s="308" t="s">
        <v>58</v>
      </c>
      <c r="R271" s="308"/>
      <c r="S271" s="308"/>
      <c r="T271" s="73" t="s">
        <v>47</v>
      </c>
      <c r="U271" s="309">
        <f>'[2]LUONG T7'!I35</f>
        <v>0</v>
      </c>
      <c r="V271" s="309"/>
      <c r="W271" s="81" t="s">
        <v>53</v>
      </c>
      <c r="X271" s="82">
        <f>R268/X261*O271</f>
        <v>0</v>
      </c>
    </row>
    <row r="272" spans="1:24" ht="18.75" customHeight="1">
      <c r="A272" s="75" t="s">
        <v>59</v>
      </c>
      <c r="B272" s="73" t="s">
        <v>47</v>
      </c>
      <c r="C272" s="76">
        <f>'[2]LUONG T7'!J32</f>
        <v>0</v>
      </c>
      <c r="D272" s="77" t="s">
        <v>57</v>
      </c>
      <c r="E272" s="296" t="s">
        <v>60</v>
      </c>
      <c r="F272" s="296"/>
      <c r="G272" s="296"/>
      <c r="H272" s="73" t="s">
        <v>47</v>
      </c>
      <c r="I272" s="307">
        <f>$F$8/$L$1*C272</f>
        <v>0</v>
      </c>
      <c r="J272" s="307"/>
      <c r="K272" s="81" t="s">
        <v>53</v>
      </c>
      <c r="L272" s="82"/>
      <c r="M272" s="75" t="s">
        <v>59</v>
      </c>
      <c r="N272" s="73" t="s">
        <v>47</v>
      </c>
      <c r="O272" s="76">
        <f>'[2]LUONG T7'!J34</f>
        <v>0</v>
      </c>
      <c r="P272" s="77" t="s">
        <v>57</v>
      </c>
      <c r="Q272" s="296" t="s">
        <v>60</v>
      </c>
      <c r="R272" s="296"/>
      <c r="S272" s="296"/>
      <c r="T272" s="73" t="s">
        <v>47</v>
      </c>
      <c r="U272" s="307">
        <f>$F$8/$L$1*O272</f>
        <v>0</v>
      </c>
      <c r="V272" s="307"/>
      <c r="W272" s="81" t="s">
        <v>53</v>
      </c>
      <c r="X272" s="82"/>
    </row>
    <row r="273" spans="1:24" ht="18.75" customHeight="1">
      <c r="A273" s="75" t="s">
        <v>61</v>
      </c>
      <c r="B273" s="73" t="s">
        <v>47</v>
      </c>
      <c r="C273" s="76">
        <f>'[2]LUONG T7'!K32</f>
        <v>0</v>
      </c>
      <c r="D273" s="77" t="s">
        <v>57</v>
      </c>
      <c r="E273" s="306" t="s">
        <v>62</v>
      </c>
      <c r="F273" s="306"/>
      <c r="G273" s="306"/>
      <c r="H273" s="73" t="s">
        <v>47</v>
      </c>
      <c r="I273" s="307">
        <f>$F$8/$L$1*C273</f>
        <v>0</v>
      </c>
      <c r="J273" s="307"/>
      <c r="K273" s="81" t="s">
        <v>53</v>
      </c>
      <c r="L273" s="82"/>
      <c r="M273" s="75" t="s">
        <v>61</v>
      </c>
      <c r="N273" s="73" t="s">
        <v>47</v>
      </c>
      <c r="O273" s="76">
        <f>'[2]LUONG T7'!K34</f>
        <v>0</v>
      </c>
      <c r="P273" s="77" t="s">
        <v>57</v>
      </c>
      <c r="Q273" s="306" t="s">
        <v>62</v>
      </c>
      <c r="R273" s="306"/>
      <c r="S273" s="306"/>
      <c r="T273" s="73" t="s">
        <v>47</v>
      </c>
      <c r="U273" s="307">
        <f>$F$8/$L$1*O273</f>
        <v>0</v>
      </c>
      <c r="V273" s="307"/>
      <c r="W273" s="81" t="s">
        <v>53</v>
      </c>
      <c r="X273" s="82"/>
    </row>
    <row r="274" spans="1:24" ht="18.75" customHeight="1">
      <c r="A274" s="75" t="s">
        <v>63</v>
      </c>
      <c r="B274" s="73" t="s">
        <v>47</v>
      </c>
      <c r="C274" s="76">
        <f>'[2]LUONG T7'!L32</f>
        <v>0</v>
      </c>
      <c r="D274" s="77" t="s">
        <v>57</v>
      </c>
      <c r="E274" s="306" t="s">
        <v>64</v>
      </c>
      <c r="F274" s="306"/>
      <c r="G274" s="306"/>
      <c r="H274" s="73" t="s">
        <v>47</v>
      </c>
      <c r="I274" s="307">
        <f>$F$8/$L$1*C274</f>
        <v>0</v>
      </c>
      <c r="J274" s="307"/>
      <c r="K274" s="81" t="s">
        <v>53</v>
      </c>
      <c r="L274" s="82"/>
      <c r="M274" s="75" t="s">
        <v>63</v>
      </c>
      <c r="N274" s="73" t="s">
        <v>47</v>
      </c>
      <c r="O274" s="76">
        <f>'[2]LUONG T7'!L34</f>
        <v>0</v>
      </c>
      <c r="P274" s="77" t="s">
        <v>57</v>
      </c>
      <c r="Q274" s="306" t="s">
        <v>64</v>
      </c>
      <c r="R274" s="306"/>
      <c r="S274" s="306"/>
      <c r="T274" s="73" t="s">
        <v>47</v>
      </c>
      <c r="U274" s="307">
        <f>$F$8/$L$1*O274</f>
        <v>0</v>
      </c>
      <c r="V274" s="307"/>
      <c r="W274" s="81" t="s">
        <v>53</v>
      </c>
      <c r="X274" s="82"/>
    </row>
    <row r="275" spans="1:24" ht="18.75" customHeight="1">
      <c r="A275" s="75" t="s">
        <v>65</v>
      </c>
      <c r="B275" s="73" t="s">
        <v>47</v>
      </c>
      <c r="C275" s="76">
        <f>'[2]LUONG T7'!Q32</f>
        <v>0</v>
      </c>
      <c r="D275" s="77" t="s">
        <v>66</v>
      </c>
      <c r="E275" s="296" t="s">
        <v>67</v>
      </c>
      <c r="F275" s="296"/>
      <c r="G275" s="296"/>
      <c r="H275" s="73" t="s">
        <v>47</v>
      </c>
      <c r="I275" s="307">
        <f>'[2]LUONG T7'!Q33</f>
        <v>0</v>
      </c>
      <c r="J275" s="307"/>
      <c r="K275" s="81" t="s">
        <v>53</v>
      </c>
      <c r="L275" s="82">
        <f>F268*C275/L261/8*1.5</f>
        <v>0</v>
      </c>
      <c r="M275" s="75" t="s">
        <v>65</v>
      </c>
      <c r="N275" s="73" t="s">
        <v>47</v>
      </c>
      <c r="O275" s="76">
        <f>'[2]LUONG T7'!Q34</f>
        <v>0</v>
      </c>
      <c r="P275" s="77" t="s">
        <v>66</v>
      </c>
      <c r="Q275" s="296" t="s">
        <v>67</v>
      </c>
      <c r="R275" s="296"/>
      <c r="S275" s="296"/>
      <c r="T275" s="73" t="s">
        <v>47</v>
      </c>
      <c r="U275" s="307">
        <f>'[2]LUONG T7'!Q35</f>
        <v>0</v>
      </c>
      <c r="V275" s="307"/>
      <c r="W275" s="81" t="s">
        <v>53</v>
      </c>
      <c r="X275" s="82">
        <f>R268*O275/X261/8*1.5</f>
        <v>0</v>
      </c>
    </row>
    <row r="276" spans="1:24" ht="18.75" customHeight="1">
      <c r="A276" s="295" t="s">
        <v>68</v>
      </c>
      <c r="B276" s="296"/>
      <c r="C276" s="76"/>
      <c r="D276" s="77" t="s">
        <v>57</v>
      </c>
      <c r="E276" s="296" t="s">
        <v>69</v>
      </c>
      <c r="F276" s="296"/>
      <c r="G276" s="296"/>
      <c r="H276" s="83" t="s">
        <v>47</v>
      </c>
      <c r="I276" s="307"/>
      <c r="J276" s="307"/>
      <c r="K276" s="81" t="s">
        <v>53</v>
      </c>
      <c r="L276" s="82"/>
      <c r="M276" s="295" t="s">
        <v>68</v>
      </c>
      <c r="N276" s="296"/>
      <c r="O276" s="76"/>
      <c r="P276" s="77" t="s">
        <v>57</v>
      </c>
      <c r="Q276" s="296" t="s">
        <v>69</v>
      </c>
      <c r="R276" s="296"/>
      <c r="S276" s="296"/>
      <c r="T276" s="83" t="s">
        <v>47</v>
      </c>
      <c r="U276" s="307"/>
      <c r="V276" s="307"/>
      <c r="W276" s="81" t="s">
        <v>53</v>
      </c>
      <c r="X276" s="82"/>
    </row>
    <row r="277" spans="1:24" ht="18.75" customHeight="1">
      <c r="A277" s="75" t="s">
        <v>70</v>
      </c>
      <c r="B277" s="73" t="s">
        <v>47</v>
      </c>
      <c r="C277" s="76"/>
      <c r="D277" s="77" t="s">
        <v>57</v>
      </c>
      <c r="E277" s="296" t="s">
        <v>71</v>
      </c>
      <c r="F277" s="296"/>
      <c r="G277" s="296"/>
      <c r="H277" s="73" t="s">
        <v>47</v>
      </c>
      <c r="I277" s="307"/>
      <c r="J277" s="307"/>
      <c r="K277" s="81" t="s">
        <v>53</v>
      </c>
      <c r="L277" s="82"/>
      <c r="M277" s="75" t="s">
        <v>70</v>
      </c>
      <c r="N277" s="73" t="s">
        <v>47</v>
      </c>
      <c r="O277" s="76"/>
      <c r="P277" s="77" t="s">
        <v>57</v>
      </c>
      <c r="Q277" s="296" t="s">
        <v>71</v>
      </c>
      <c r="R277" s="296"/>
      <c r="S277" s="296"/>
      <c r="T277" s="73" t="s">
        <v>47</v>
      </c>
      <c r="U277" s="307"/>
      <c r="V277" s="307"/>
      <c r="W277" s="81" t="s">
        <v>53</v>
      </c>
      <c r="X277" s="82"/>
    </row>
    <row r="278" spans="1:24" ht="18.75" customHeight="1">
      <c r="A278" s="84" t="s">
        <v>72</v>
      </c>
      <c r="B278" s="73"/>
      <c r="C278" s="76">
        <f>'[2]LUONG T7'!M32</f>
        <v>0</v>
      </c>
      <c r="D278" s="77" t="s">
        <v>66</v>
      </c>
      <c r="E278" s="296" t="s">
        <v>73</v>
      </c>
      <c r="F278" s="296"/>
      <c r="G278" s="296"/>
      <c r="H278" s="73" t="s">
        <v>47</v>
      </c>
      <c r="I278" s="307">
        <f>$F$8*C278/8/$L$1</f>
        <v>0</v>
      </c>
      <c r="J278" s="307"/>
      <c r="K278" s="81" t="s">
        <v>53</v>
      </c>
      <c r="L278" s="82"/>
      <c r="M278" s="84" t="s">
        <v>72</v>
      </c>
      <c r="N278" s="73"/>
      <c r="O278" s="76">
        <f>'[2]LUONG T7'!M34</f>
        <v>0</v>
      </c>
      <c r="P278" s="77" t="s">
        <v>66</v>
      </c>
      <c r="Q278" s="296" t="s">
        <v>73</v>
      </c>
      <c r="R278" s="296"/>
      <c r="S278" s="296"/>
      <c r="T278" s="73" t="s">
        <v>47</v>
      </c>
      <c r="U278" s="307">
        <f>$F$8*O278/8/$L$1</f>
        <v>0</v>
      </c>
      <c r="V278" s="307"/>
      <c r="W278" s="81" t="s">
        <v>53</v>
      </c>
      <c r="X278" s="82"/>
    </row>
    <row r="279" spans="1:24" ht="18.75" customHeight="1">
      <c r="A279" s="75" t="s">
        <v>74</v>
      </c>
      <c r="B279" s="73" t="s">
        <v>47</v>
      </c>
      <c r="C279" s="76"/>
      <c r="D279" s="77" t="s">
        <v>66</v>
      </c>
      <c r="E279" s="296" t="s">
        <v>98</v>
      </c>
      <c r="F279" s="296"/>
      <c r="G279" s="296"/>
      <c r="H279" s="73" t="s">
        <v>47</v>
      </c>
      <c r="I279" s="309"/>
      <c r="J279" s="309"/>
      <c r="K279" s="81" t="s">
        <v>53</v>
      </c>
      <c r="L279" s="82"/>
      <c r="M279" s="75" t="s">
        <v>74</v>
      </c>
      <c r="N279" s="73" t="s">
        <v>47</v>
      </c>
      <c r="O279" s="76"/>
      <c r="P279" s="77" t="s">
        <v>66</v>
      </c>
      <c r="Q279" s="296" t="s">
        <v>98</v>
      </c>
      <c r="R279" s="296"/>
      <c r="S279" s="296"/>
      <c r="T279" s="73" t="s">
        <v>47</v>
      </c>
      <c r="U279" s="309"/>
      <c r="V279" s="309"/>
      <c r="W279" s="81" t="s">
        <v>53</v>
      </c>
      <c r="X279" s="82"/>
    </row>
    <row r="280" spans="1:24" ht="18.75" customHeight="1">
      <c r="A280" s="75" t="s">
        <v>76</v>
      </c>
      <c r="B280" s="73" t="s">
        <v>47</v>
      </c>
      <c r="C280" s="76"/>
      <c r="D280" s="77" t="s">
        <v>77</v>
      </c>
      <c r="E280" s="85" t="s">
        <v>78</v>
      </c>
      <c r="F280" s="85"/>
      <c r="G280" s="85"/>
      <c r="H280" s="73" t="s">
        <v>47</v>
      </c>
      <c r="I280" s="307"/>
      <c r="J280" s="307"/>
      <c r="K280" s="81" t="s">
        <v>53</v>
      </c>
      <c r="L280" s="82">
        <f>+IF(L271-I271&lt;0,0,L271-I271)+IF(L275-I275&lt;0,0,L275-I275)</f>
        <v>0</v>
      </c>
      <c r="M280" s="75" t="s">
        <v>76</v>
      </c>
      <c r="N280" s="73" t="s">
        <v>47</v>
      </c>
      <c r="O280" s="76"/>
      <c r="P280" s="77" t="s">
        <v>77</v>
      </c>
      <c r="Q280" s="85" t="s">
        <v>78</v>
      </c>
      <c r="R280" s="85"/>
      <c r="S280" s="85"/>
      <c r="T280" s="73" t="s">
        <v>47</v>
      </c>
      <c r="U280" s="307"/>
      <c r="V280" s="307"/>
      <c r="W280" s="81" t="s">
        <v>53</v>
      </c>
      <c r="X280" s="82">
        <f>+IF(X271-U271&lt;0,0,X271-U271)+IF(X275-U275&lt;0,0,X275-U275)</f>
        <v>0</v>
      </c>
    </row>
    <row r="281" spans="1:24" ht="18.75" customHeight="1">
      <c r="A281" s="86" t="s">
        <v>122</v>
      </c>
      <c r="B281" s="87"/>
      <c r="C281" s="76"/>
      <c r="D281" s="77" t="s">
        <v>57</v>
      </c>
      <c r="E281" s="296" t="s">
        <v>123</v>
      </c>
      <c r="F281" s="296"/>
      <c r="G281" s="296"/>
      <c r="H281" s="73" t="s">
        <v>47</v>
      </c>
      <c r="I281" s="307"/>
      <c r="J281" s="307"/>
      <c r="K281" s="81" t="s">
        <v>53</v>
      </c>
      <c r="L281" s="82"/>
      <c r="M281" s="86" t="s">
        <v>122</v>
      </c>
      <c r="N281" s="87"/>
      <c r="O281" s="76"/>
      <c r="P281" s="77" t="s">
        <v>57</v>
      </c>
      <c r="Q281" s="296" t="s">
        <v>123</v>
      </c>
      <c r="R281" s="296"/>
      <c r="S281" s="296"/>
      <c r="T281" s="73" t="s">
        <v>47</v>
      </c>
      <c r="U281" s="307"/>
      <c r="V281" s="307"/>
      <c r="W281" s="81" t="s">
        <v>53</v>
      </c>
      <c r="X281" s="82"/>
    </row>
    <row r="282" spans="1:24" ht="18.75" customHeight="1">
      <c r="A282" s="314" t="s">
        <v>81</v>
      </c>
      <c r="B282" s="308"/>
      <c r="C282" s="76"/>
      <c r="D282" s="77"/>
      <c r="E282" s="78"/>
      <c r="F282" s="78"/>
      <c r="G282" s="78"/>
      <c r="H282" s="73" t="s">
        <v>47</v>
      </c>
      <c r="I282" s="307">
        <f>'[2]LUONG T7'!P33</f>
        <v>0</v>
      </c>
      <c r="J282" s="307"/>
      <c r="K282" s="81" t="s">
        <v>53</v>
      </c>
      <c r="L282" s="82"/>
      <c r="M282" s="314" t="s">
        <v>81</v>
      </c>
      <c r="N282" s="308"/>
      <c r="O282" s="76"/>
      <c r="P282" s="77"/>
      <c r="Q282" s="78"/>
      <c r="R282" s="78"/>
      <c r="S282" s="78"/>
      <c r="T282" s="73" t="s">
        <v>47</v>
      </c>
      <c r="U282" s="307">
        <f>'[2]LUONG T7'!P35</f>
        <v>0</v>
      </c>
      <c r="V282" s="307"/>
      <c r="W282" s="81" t="s">
        <v>53</v>
      </c>
      <c r="X282" s="82"/>
    </row>
    <row r="283" spans="1:24" ht="18.75" customHeight="1">
      <c r="A283" s="75" t="s">
        <v>82</v>
      </c>
      <c r="B283" s="73" t="s">
        <v>47</v>
      </c>
      <c r="C283" s="76"/>
      <c r="D283" s="77"/>
      <c r="E283" s="78" t="s">
        <v>83</v>
      </c>
      <c r="F283" s="78"/>
      <c r="G283" s="78"/>
      <c r="H283" s="73" t="s">
        <v>47</v>
      </c>
      <c r="I283" s="307">
        <f>L280</f>
        <v>0</v>
      </c>
      <c r="J283" s="307"/>
      <c r="K283" s="81" t="s">
        <v>53</v>
      </c>
      <c r="L283" s="82"/>
      <c r="M283" s="75" t="s">
        <v>82</v>
      </c>
      <c r="N283" s="73" t="s">
        <v>47</v>
      </c>
      <c r="O283" s="76"/>
      <c r="P283" s="77"/>
      <c r="Q283" s="78" t="s">
        <v>83</v>
      </c>
      <c r="R283" s="78"/>
      <c r="S283" s="78"/>
      <c r="T283" s="73" t="s">
        <v>47</v>
      </c>
      <c r="U283" s="307">
        <f>X280</f>
        <v>0</v>
      </c>
      <c r="V283" s="307"/>
      <c r="W283" s="81" t="s">
        <v>53</v>
      </c>
      <c r="X283" s="82"/>
    </row>
    <row r="284" spans="1:24" ht="18.75" customHeight="1">
      <c r="A284" s="311" t="s">
        <v>84</v>
      </c>
      <c r="B284" s="312"/>
      <c r="C284" s="312"/>
      <c r="D284" s="312"/>
      <c r="E284" s="312"/>
      <c r="F284" s="312"/>
      <c r="G284" s="73" t="s">
        <v>47</v>
      </c>
      <c r="H284" s="313">
        <f>I271+I272+I273+I274+I275+I278+I282+I283</f>
        <v>0</v>
      </c>
      <c r="I284" s="313"/>
      <c r="J284" s="313"/>
      <c r="K284" s="81" t="s">
        <v>53</v>
      </c>
      <c r="M284" s="311" t="s">
        <v>84</v>
      </c>
      <c r="N284" s="312"/>
      <c r="O284" s="312"/>
      <c r="P284" s="312"/>
      <c r="Q284" s="312"/>
      <c r="R284" s="312"/>
      <c r="S284" s="73" t="s">
        <v>47</v>
      </c>
      <c r="T284" s="313">
        <f>U271+U272+U273+U274+U275+U278+U282+U283</f>
        <v>0</v>
      </c>
      <c r="U284" s="313"/>
      <c r="V284" s="313"/>
      <c r="W284" s="81" t="s">
        <v>53</v>
      </c>
    </row>
    <row r="285" spans="1:24" ht="18.75" customHeight="1">
      <c r="A285" s="88"/>
      <c r="B285" s="89"/>
      <c r="C285" s="89"/>
      <c r="D285" s="89"/>
      <c r="E285" s="89"/>
      <c r="F285" s="89"/>
      <c r="G285" s="89"/>
      <c r="H285" s="89"/>
      <c r="I285" s="89"/>
      <c r="J285" s="89"/>
      <c r="K285" s="90"/>
      <c r="M285" s="88"/>
      <c r="N285" s="89"/>
      <c r="O285" s="89"/>
      <c r="P285" s="89"/>
      <c r="Q285" s="89"/>
      <c r="R285" s="89"/>
      <c r="S285" s="89"/>
      <c r="T285" s="89"/>
      <c r="U285" s="89"/>
      <c r="V285" s="89"/>
      <c r="W285" s="90"/>
    </row>
    <row r="286" spans="1:24" ht="18.75" customHeight="1">
      <c r="A286" s="321" t="s">
        <v>85</v>
      </c>
      <c r="B286" s="322"/>
      <c r="C286" s="322"/>
      <c r="D286" s="322"/>
      <c r="E286" s="322"/>
      <c r="F286" s="322"/>
      <c r="G286" s="73"/>
      <c r="H286" s="73"/>
      <c r="I286" s="73"/>
      <c r="J286" s="73"/>
      <c r="K286" s="81"/>
      <c r="M286" s="321" t="s">
        <v>85</v>
      </c>
      <c r="N286" s="322"/>
      <c r="O286" s="322"/>
      <c r="P286" s="322"/>
      <c r="Q286" s="322"/>
      <c r="R286" s="322"/>
      <c r="S286" s="73"/>
      <c r="T286" s="73"/>
      <c r="U286" s="73"/>
      <c r="V286" s="73"/>
      <c r="W286" s="81"/>
    </row>
    <row r="287" spans="1:24" ht="18.75" customHeight="1">
      <c r="A287" s="315" t="s">
        <v>86</v>
      </c>
      <c r="B287" s="316"/>
      <c r="C287" s="316"/>
      <c r="D287" s="316"/>
      <c r="E287" s="316"/>
      <c r="F287" s="316"/>
      <c r="G287" s="73" t="s">
        <v>47</v>
      </c>
      <c r="H287" s="323">
        <f>IF(($L$1-(C271+C272+C273+C274))&gt;12,0,F268*8%)</f>
        <v>0</v>
      </c>
      <c r="I287" s="323"/>
      <c r="J287" s="323"/>
      <c r="K287" s="81" t="s">
        <v>53</v>
      </c>
      <c r="M287" s="315" t="s">
        <v>86</v>
      </c>
      <c r="N287" s="316"/>
      <c r="O287" s="316"/>
      <c r="P287" s="316"/>
      <c r="Q287" s="316"/>
      <c r="R287" s="316"/>
      <c r="S287" s="73" t="s">
        <v>47</v>
      </c>
      <c r="T287" s="323">
        <f>IF(($L$1-(O271+O272+O273+O274))&gt;12,0,R268*8%)</f>
        <v>0</v>
      </c>
      <c r="U287" s="323"/>
      <c r="V287" s="323"/>
      <c r="W287" s="81" t="s">
        <v>53</v>
      </c>
    </row>
    <row r="288" spans="1:24" ht="18.75" customHeight="1">
      <c r="A288" s="315" t="s">
        <v>87</v>
      </c>
      <c r="B288" s="316"/>
      <c r="C288" s="316"/>
      <c r="D288" s="316"/>
      <c r="E288" s="316"/>
      <c r="F288" s="316"/>
      <c r="G288" s="73" t="s">
        <v>47</v>
      </c>
      <c r="H288" s="317">
        <f>IF(($L$1-(C271+C272+C273+C274))&gt;12,0,F268*1.5%)</f>
        <v>0</v>
      </c>
      <c r="I288" s="317"/>
      <c r="J288" s="317"/>
      <c r="K288" s="81" t="s">
        <v>53</v>
      </c>
      <c r="M288" s="315" t="s">
        <v>87</v>
      </c>
      <c r="N288" s="316"/>
      <c r="O288" s="316"/>
      <c r="P288" s="316"/>
      <c r="Q288" s="316"/>
      <c r="R288" s="316"/>
      <c r="S288" s="73" t="s">
        <v>47</v>
      </c>
      <c r="T288" s="317">
        <f>IF(($L$1-(O271+O272+O273+O274))&gt;12,0,R268*1.5%)</f>
        <v>0</v>
      </c>
      <c r="U288" s="317"/>
      <c r="V288" s="317"/>
      <c r="W288" s="81" t="s">
        <v>53</v>
      </c>
    </row>
    <row r="289" spans="1:24" ht="18.75" customHeight="1">
      <c r="A289" s="315" t="s">
        <v>88</v>
      </c>
      <c r="B289" s="316"/>
      <c r="C289" s="316"/>
      <c r="D289" s="316"/>
      <c r="E289" s="316"/>
      <c r="F289" s="316"/>
      <c r="G289" s="73" t="s">
        <v>47</v>
      </c>
      <c r="H289" s="317">
        <f>IF(($L$1-(C271+C272+C273+C274))&gt;12,0,F268*1%)</f>
        <v>0</v>
      </c>
      <c r="I289" s="317"/>
      <c r="J289" s="317"/>
      <c r="K289" s="81" t="s">
        <v>53</v>
      </c>
      <c r="M289" s="315" t="s">
        <v>88</v>
      </c>
      <c r="N289" s="316"/>
      <c r="O289" s="316"/>
      <c r="P289" s="316"/>
      <c r="Q289" s="316"/>
      <c r="R289" s="316"/>
      <c r="S289" s="73" t="s">
        <v>47</v>
      </c>
      <c r="T289" s="317">
        <f>IF(($L$1-(O271+O272+O273+O274))&gt;12,0,R268*1%)</f>
        <v>0</v>
      </c>
      <c r="U289" s="317"/>
      <c r="V289" s="317"/>
      <c r="W289" s="81" t="s">
        <v>53</v>
      </c>
    </row>
    <row r="290" spans="1:24" ht="18.75" customHeight="1">
      <c r="A290" s="315" t="s">
        <v>89</v>
      </c>
      <c r="B290" s="316"/>
      <c r="C290" s="316"/>
      <c r="D290" s="316"/>
      <c r="E290" s="316"/>
      <c r="F290" s="316"/>
      <c r="G290" s="73" t="s">
        <v>47</v>
      </c>
      <c r="H290" s="317">
        <v>0</v>
      </c>
      <c r="I290" s="317"/>
      <c r="J290" s="317"/>
      <c r="K290" s="81" t="s">
        <v>53</v>
      </c>
      <c r="M290" s="315" t="s">
        <v>89</v>
      </c>
      <c r="N290" s="316"/>
      <c r="O290" s="316"/>
      <c r="P290" s="316"/>
      <c r="Q290" s="316"/>
      <c r="R290" s="316"/>
      <c r="S290" s="73" t="s">
        <v>47</v>
      </c>
      <c r="T290" s="317">
        <v>0</v>
      </c>
      <c r="U290" s="317"/>
      <c r="V290" s="317"/>
      <c r="W290" s="81" t="s">
        <v>53</v>
      </c>
    </row>
    <row r="291" spans="1:24" ht="18.75" customHeight="1">
      <c r="A291" s="318" t="s">
        <v>90</v>
      </c>
      <c r="B291" s="319"/>
      <c r="C291" s="319"/>
      <c r="D291" s="319"/>
      <c r="E291" s="319"/>
      <c r="F291" s="319"/>
      <c r="G291" s="73" t="s">
        <v>47</v>
      </c>
      <c r="H291" s="320">
        <f>SUM(H287:J290)</f>
        <v>0</v>
      </c>
      <c r="I291" s="320"/>
      <c r="J291" s="320"/>
      <c r="K291" s="81" t="s">
        <v>53</v>
      </c>
      <c r="M291" s="318" t="s">
        <v>90</v>
      </c>
      <c r="N291" s="319"/>
      <c r="O291" s="319"/>
      <c r="P291" s="319"/>
      <c r="Q291" s="319"/>
      <c r="R291" s="319"/>
      <c r="S291" s="73" t="s">
        <v>47</v>
      </c>
      <c r="T291" s="320">
        <f>SUM(T287:V290)</f>
        <v>0</v>
      </c>
      <c r="U291" s="320"/>
      <c r="V291" s="320"/>
      <c r="W291" s="81" t="s">
        <v>53</v>
      </c>
    </row>
    <row r="292" spans="1:24" ht="18.75" customHeight="1">
      <c r="A292" s="315" t="s">
        <v>91</v>
      </c>
      <c r="B292" s="316"/>
      <c r="C292" s="316"/>
      <c r="D292" s="316"/>
      <c r="E292" s="316"/>
      <c r="F292" s="316"/>
      <c r="G292" s="73" t="s">
        <v>47</v>
      </c>
      <c r="H292" s="327">
        <f>ROUND(H284-H291,-2)</f>
        <v>0</v>
      </c>
      <c r="I292" s="327"/>
      <c r="J292" s="327"/>
      <c r="K292" s="81" t="s">
        <v>53</v>
      </c>
      <c r="M292" s="315" t="s">
        <v>91</v>
      </c>
      <c r="N292" s="316"/>
      <c r="O292" s="316"/>
      <c r="P292" s="316"/>
      <c r="Q292" s="316"/>
      <c r="R292" s="316"/>
      <c r="S292" s="73" t="s">
        <v>47</v>
      </c>
      <c r="T292" s="327">
        <f>ROUND(T284-T291,-2)</f>
        <v>0</v>
      </c>
      <c r="U292" s="327"/>
      <c r="V292" s="327"/>
      <c r="W292" s="81" t="s">
        <v>53</v>
      </c>
    </row>
    <row r="293" spans="1:24" ht="18.75" customHeight="1">
      <c r="A293" s="91"/>
      <c r="B293" s="92"/>
      <c r="C293" s="92"/>
      <c r="D293" s="92"/>
      <c r="E293" s="92"/>
      <c r="F293" s="92"/>
      <c r="G293" s="92"/>
      <c r="H293" s="92"/>
      <c r="I293" s="92"/>
      <c r="J293" s="92"/>
      <c r="K293" s="93"/>
      <c r="M293" s="91"/>
      <c r="N293" s="92"/>
      <c r="O293" s="92"/>
      <c r="P293" s="92"/>
      <c r="Q293" s="92"/>
      <c r="R293" s="92"/>
      <c r="S293" s="92"/>
      <c r="T293" s="92"/>
      <c r="U293" s="92"/>
      <c r="V293" s="92"/>
      <c r="W293" s="93"/>
    </row>
    <row r="294" spans="1:24" ht="18.75" customHeight="1">
      <c r="A294" s="94"/>
      <c r="B294" s="73"/>
      <c r="C294" s="73"/>
      <c r="D294" s="73"/>
      <c r="E294" s="73"/>
      <c r="F294" s="73"/>
      <c r="G294" s="73"/>
      <c r="H294" s="73"/>
      <c r="I294" s="324" t="s">
        <v>92</v>
      </c>
      <c r="J294" s="324"/>
      <c r="K294" s="328"/>
      <c r="M294" s="94"/>
      <c r="N294" s="73"/>
      <c r="O294" s="73"/>
      <c r="P294" s="73"/>
      <c r="Q294" s="73"/>
      <c r="R294" s="73"/>
      <c r="S294" s="73"/>
      <c r="T294" s="73"/>
      <c r="U294" s="324" t="s">
        <v>92</v>
      </c>
      <c r="V294" s="324"/>
      <c r="W294" s="328"/>
    </row>
    <row r="295" spans="1:24" ht="18.75" customHeight="1">
      <c r="A295" s="94"/>
      <c r="B295" s="324"/>
      <c r="C295" s="324"/>
      <c r="D295" s="324"/>
      <c r="E295" s="324"/>
      <c r="F295" s="73"/>
      <c r="G295" s="73"/>
      <c r="H295" s="73"/>
      <c r="I295" s="73"/>
      <c r="J295" s="73"/>
      <c r="K295" s="74"/>
      <c r="M295" s="94"/>
      <c r="N295" s="324"/>
      <c r="O295" s="324"/>
      <c r="P295" s="324"/>
      <c r="Q295" s="324"/>
      <c r="R295" s="73"/>
      <c r="S295" s="73"/>
      <c r="T295" s="73"/>
      <c r="U295" s="73"/>
      <c r="V295" s="73"/>
      <c r="W295" s="74"/>
    </row>
    <row r="296" spans="1:24" ht="18.75" customHeight="1" thickBot="1">
      <c r="A296" s="95"/>
      <c r="B296" s="96"/>
      <c r="C296" s="96"/>
      <c r="D296" s="96"/>
      <c r="E296" s="96"/>
      <c r="F296" s="96"/>
      <c r="G296" s="96"/>
      <c r="H296" s="96"/>
      <c r="I296" s="325" t="s">
        <v>93</v>
      </c>
      <c r="J296" s="325"/>
      <c r="K296" s="326"/>
      <c r="M296" s="95"/>
      <c r="N296" s="96"/>
      <c r="O296" s="96"/>
      <c r="P296" s="96"/>
      <c r="Q296" s="96"/>
      <c r="R296" s="96"/>
      <c r="S296" s="96"/>
      <c r="T296" s="96"/>
      <c r="U296" s="325" t="s">
        <v>93</v>
      </c>
      <c r="V296" s="325"/>
      <c r="W296" s="326"/>
    </row>
    <row r="298" spans="1:24" ht="18.75" customHeight="1" thickTop="1">
      <c r="A298" s="300" t="s">
        <v>41</v>
      </c>
      <c r="B298" s="301"/>
      <c r="C298" s="301"/>
      <c r="D298" s="301"/>
      <c r="E298" s="301"/>
      <c r="F298" s="301"/>
      <c r="G298" s="301"/>
      <c r="H298" s="301"/>
      <c r="I298" s="301"/>
      <c r="J298" s="301"/>
      <c r="K298" s="302"/>
      <c r="L298" s="69">
        <v>25</v>
      </c>
      <c r="M298" s="300" t="s">
        <v>41</v>
      </c>
      <c r="N298" s="301"/>
      <c r="O298" s="301"/>
      <c r="P298" s="301"/>
      <c r="Q298" s="301"/>
      <c r="R298" s="301"/>
      <c r="S298" s="301"/>
      <c r="T298" s="301"/>
      <c r="U298" s="301"/>
      <c r="V298" s="301"/>
      <c r="W298" s="302"/>
      <c r="X298" s="69">
        <v>25</v>
      </c>
    </row>
    <row r="299" spans="1:24" ht="18.75" customHeight="1">
      <c r="A299" s="70" t="s">
        <v>124</v>
      </c>
      <c r="B299" s="71"/>
      <c r="C299" s="71"/>
      <c r="D299" s="71"/>
      <c r="E299" s="71"/>
      <c r="F299" s="71"/>
      <c r="G299" s="71"/>
      <c r="H299" s="71"/>
      <c r="I299" s="71"/>
      <c r="J299" s="71"/>
      <c r="K299" s="72"/>
      <c r="M299" s="70" t="s">
        <v>125</v>
      </c>
      <c r="N299" s="71"/>
      <c r="O299" s="71"/>
      <c r="P299" s="71"/>
      <c r="Q299" s="71"/>
      <c r="R299" s="71"/>
      <c r="S299" s="71"/>
      <c r="T299" s="71"/>
      <c r="U299" s="71"/>
      <c r="V299" s="71"/>
      <c r="W299" s="72"/>
    </row>
    <row r="300" spans="1:24" ht="18.75" customHeight="1">
      <c r="A300" s="303" t="s">
        <v>45</v>
      </c>
      <c r="B300" s="304"/>
      <c r="C300" s="304"/>
      <c r="D300" s="304"/>
      <c r="E300" s="304"/>
      <c r="F300" s="304"/>
      <c r="G300" s="304"/>
      <c r="H300" s="304"/>
      <c r="I300" s="304"/>
      <c r="J300" s="304"/>
      <c r="K300" s="305"/>
      <c r="M300" s="303" t="s">
        <v>45</v>
      </c>
      <c r="N300" s="304"/>
      <c r="O300" s="304"/>
      <c r="P300" s="304"/>
      <c r="Q300" s="304"/>
      <c r="R300" s="304"/>
      <c r="S300" s="304"/>
      <c r="T300" s="304"/>
      <c r="U300" s="304"/>
      <c r="V300" s="304"/>
      <c r="W300" s="305"/>
    </row>
    <row r="301" spans="1:24" ht="18.75" customHeight="1">
      <c r="A301" s="295" t="s">
        <v>46</v>
      </c>
      <c r="B301" s="296"/>
      <c r="C301" s="296"/>
      <c r="D301" s="296"/>
      <c r="E301" s="73" t="s">
        <v>47</v>
      </c>
      <c r="F301" s="297">
        <f>'[2]Bang TH nop'!B28</f>
        <v>0</v>
      </c>
      <c r="G301" s="296"/>
      <c r="H301" s="296"/>
      <c r="I301" s="296"/>
      <c r="J301" s="296"/>
      <c r="K301" s="299"/>
      <c r="M301" s="295" t="s">
        <v>46</v>
      </c>
      <c r="N301" s="296"/>
      <c r="O301" s="296"/>
      <c r="P301" s="296"/>
      <c r="Q301" s="73" t="s">
        <v>47</v>
      </c>
      <c r="R301" s="297">
        <f>'[2]Bang TH nop'!B30</f>
        <v>0</v>
      </c>
      <c r="S301" s="296"/>
      <c r="T301" s="296"/>
      <c r="U301" s="296"/>
      <c r="V301" s="296"/>
      <c r="W301" s="299"/>
    </row>
    <row r="302" spans="1:24" ht="18.75" customHeight="1">
      <c r="A302" s="295" t="s">
        <v>49</v>
      </c>
      <c r="B302" s="296"/>
      <c r="C302" s="296"/>
      <c r="D302" s="296"/>
      <c r="E302" s="73" t="s">
        <v>47</v>
      </c>
      <c r="F302" s="297">
        <f>'[2]Bang TH nop'!C28</f>
        <v>0</v>
      </c>
      <c r="G302" s="297"/>
      <c r="H302" s="297"/>
      <c r="I302" s="297"/>
      <c r="J302" s="297"/>
      <c r="K302" s="298"/>
      <c r="M302" s="295" t="s">
        <v>49</v>
      </c>
      <c r="N302" s="296"/>
      <c r="O302" s="296"/>
      <c r="P302" s="296"/>
      <c r="Q302" s="73" t="s">
        <v>47</v>
      </c>
      <c r="R302" s="297">
        <f>'[2]Bang TH nop'!C30</f>
        <v>0</v>
      </c>
      <c r="S302" s="297"/>
      <c r="T302" s="297"/>
      <c r="U302" s="297"/>
      <c r="V302" s="297"/>
      <c r="W302" s="298"/>
    </row>
    <row r="303" spans="1:24" ht="18.75" customHeight="1">
      <c r="A303" s="295" t="s">
        <v>50</v>
      </c>
      <c r="B303" s="296"/>
      <c r="C303" s="296"/>
      <c r="D303" s="296"/>
      <c r="E303" s="73" t="s">
        <v>47</v>
      </c>
      <c r="F303" s="296" t="s">
        <v>121</v>
      </c>
      <c r="G303" s="296"/>
      <c r="H303" s="296"/>
      <c r="I303" s="296"/>
      <c r="J303" s="296"/>
      <c r="K303" s="299"/>
      <c r="M303" s="295" t="s">
        <v>50</v>
      </c>
      <c r="N303" s="296"/>
      <c r="O303" s="296"/>
      <c r="P303" s="296"/>
      <c r="Q303" s="73" t="s">
        <v>47</v>
      </c>
      <c r="R303" s="296" t="s">
        <v>121</v>
      </c>
      <c r="S303" s="296"/>
      <c r="T303" s="296"/>
      <c r="U303" s="296"/>
      <c r="V303" s="296"/>
      <c r="W303" s="299"/>
    </row>
    <row r="304" spans="1:24" ht="18.75" customHeight="1">
      <c r="A304" s="303" t="s">
        <v>51</v>
      </c>
      <c r="B304" s="304"/>
      <c r="C304" s="304"/>
      <c r="D304" s="304"/>
      <c r="E304" s="304"/>
      <c r="F304" s="304"/>
      <c r="G304" s="304"/>
      <c r="H304" s="304"/>
      <c r="I304" s="304"/>
      <c r="J304" s="304"/>
      <c r="K304" s="305"/>
      <c r="M304" s="303" t="s">
        <v>51</v>
      </c>
      <c r="N304" s="304"/>
      <c r="O304" s="304"/>
      <c r="P304" s="304"/>
      <c r="Q304" s="304"/>
      <c r="R304" s="304"/>
      <c r="S304" s="304"/>
      <c r="T304" s="304"/>
      <c r="U304" s="304"/>
      <c r="V304" s="304"/>
      <c r="W304" s="305"/>
    </row>
    <row r="305" spans="1:24" ht="18.75" customHeight="1">
      <c r="A305" s="295" t="s">
        <v>52</v>
      </c>
      <c r="B305" s="296"/>
      <c r="C305" s="296"/>
      <c r="D305" s="296"/>
      <c r="E305" s="73" t="s">
        <v>47</v>
      </c>
      <c r="F305" s="310">
        <v>2915400</v>
      </c>
      <c r="G305" s="310"/>
      <c r="H305" s="310"/>
      <c r="I305" s="310"/>
      <c r="J305" s="73" t="s">
        <v>53</v>
      </c>
      <c r="K305" s="74"/>
      <c r="M305" s="295" t="s">
        <v>52</v>
      </c>
      <c r="N305" s="296"/>
      <c r="O305" s="296"/>
      <c r="P305" s="296"/>
      <c r="Q305" s="73" t="s">
        <v>47</v>
      </c>
      <c r="R305" s="310">
        <v>2915400</v>
      </c>
      <c r="S305" s="310"/>
      <c r="T305" s="310"/>
      <c r="U305" s="310"/>
      <c r="V305" s="73" t="s">
        <v>53</v>
      </c>
      <c r="W305" s="74"/>
    </row>
    <row r="306" spans="1:24" ht="18.75" customHeight="1">
      <c r="A306" s="75" t="s">
        <v>54</v>
      </c>
      <c r="B306" s="73"/>
      <c r="C306" s="76"/>
      <c r="D306" s="77"/>
      <c r="E306" s="78"/>
      <c r="F306" s="78"/>
      <c r="G306" s="78"/>
      <c r="H306" s="73"/>
      <c r="I306" s="79">
        <f>'[2]LUONG T7'!F37</f>
        <v>0</v>
      </c>
      <c r="J306" s="80"/>
      <c r="K306" s="81"/>
      <c r="M306" s="75" t="s">
        <v>54</v>
      </c>
      <c r="N306" s="73"/>
      <c r="O306" s="76"/>
      <c r="P306" s="77"/>
      <c r="Q306" s="78"/>
      <c r="R306" s="78"/>
      <c r="S306" s="78"/>
      <c r="T306" s="73"/>
      <c r="U306" s="79">
        <f>'[2]LUONG T7'!F39</f>
        <v>0</v>
      </c>
      <c r="V306" s="80"/>
      <c r="W306" s="81"/>
    </row>
    <row r="307" spans="1:24" ht="18.75" customHeight="1">
      <c r="A307" s="75" t="s">
        <v>55</v>
      </c>
      <c r="B307" s="73"/>
      <c r="C307" s="76"/>
      <c r="D307" s="77"/>
      <c r="E307" s="78"/>
      <c r="F307" s="78"/>
      <c r="G307" s="78"/>
      <c r="H307" s="73"/>
      <c r="I307" s="79" t="e">
        <f>I308/C308/8</f>
        <v>#DIV/0!</v>
      </c>
      <c r="J307" s="80"/>
      <c r="K307" s="81"/>
      <c r="M307" s="75" t="s">
        <v>55</v>
      </c>
      <c r="N307" s="73"/>
      <c r="O307" s="76"/>
      <c r="P307" s="77"/>
      <c r="Q307" s="78"/>
      <c r="R307" s="78"/>
      <c r="S307" s="78"/>
      <c r="T307" s="73"/>
      <c r="U307" s="79" t="e">
        <f>U308/O308/8</f>
        <v>#DIV/0!</v>
      </c>
      <c r="V307" s="80"/>
      <c r="W307" s="81"/>
    </row>
    <row r="308" spans="1:24" ht="18.75" customHeight="1">
      <c r="A308" s="75" t="s">
        <v>56</v>
      </c>
      <c r="B308" s="73" t="s">
        <v>47</v>
      </c>
      <c r="C308" s="76">
        <f>'[2]LUONG T7'!I36</f>
        <v>0</v>
      </c>
      <c r="D308" s="77" t="s">
        <v>57</v>
      </c>
      <c r="E308" s="308" t="s">
        <v>58</v>
      </c>
      <c r="F308" s="308"/>
      <c r="G308" s="308"/>
      <c r="H308" s="73" t="s">
        <v>47</v>
      </c>
      <c r="I308" s="309">
        <f>'[2]LUONG T7'!I37</f>
        <v>0</v>
      </c>
      <c r="J308" s="309"/>
      <c r="K308" s="81" t="s">
        <v>53</v>
      </c>
      <c r="L308" s="82">
        <f>F305/L298*C308</f>
        <v>0</v>
      </c>
      <c r="M308" s="75" t="s">
        <v>56</v>
      </c>
      <c r="N308" s="73" t="s">
        <v>47</v>
      </c>
      <c r="O308" s="76">
        <f>'[2]LUONG T7'!I38</f>
        <v>0</v>
      </c>
      <c r="P308" s="77" t="s">
        <v>57</v>
      </c>
      <c r="Q308" s="308" t="s">
        <v>58</v>
      </c>
      <c r="R308" s="308"/>
      <c r="S308" s="308"/>
      <c r="T308" s="73" t="s">
        <v>47</v>
      </c>
      <c r="U308" s="309">
        <f>'[2]LUONG T7'!I39</f>
        <v>0</v>
      </c>
      <c r="V308" s="309"/>
      <c r="W308" s="81" t="s">
        <v>53</v>
      </c>
      <c r="X308" s="82">
        <f>R305/X298*O308</f>
        <v>0</v>
      </c>
    </row>
    <row r="309" spans="1:24" ht="18.75" customHeight="1">
      <c r="A309" s="75" t="s">
        <v>59</v>
      </c>
      <c r="B309" s="73" t="s">
        <v>47</v>
      </c>
      <c r="C309" s="76">
        <f>'[2]LUONG T7'!J36</f>
        <v>0</v>
      </c>
      <c r="D309" s="77" t="s">
        <v>57</v>
      </c>
      <c r="E309" s="296" t="s">
        <v>60</v>
      </c>
      <c r="F309" s="296"/>
      <c r="G309" s="296"/>
      <c r="H309" s="73" t="s">
        <v>47</v>
      </c>
      <c r="I309" s="307">
        <f>$F$8/$L$1*C309</f>
        <v>0</v>
      </c>
      <c r="J309" s="307"/>
      <c r="K309" s="81" t="s">
        <v>53</v>
      </c>
      <c r="L309" s="82"/>
      <c r="M309" s="75" t="s">
        <v>59</v>
      </c>
      <c r="N309" s="73" t="s">
        <v>47</v>
      </c>
      <c r="O309" s="76">
        <f>'[2]LUONG T7'!J38</f>
        <v>0</v>
      </c>
      <c r="P309" s="77" t="s">
        <v>57</v>
      </c>
      <c r="Q309" s="296" t="s">
        <v>60</v>
      </c>
      <c r="R309" s="296"/>
      <c r="S309" s="296"/>
      <c r="T309" s="73" t="s">
        <v>47</v>
      </c>
      <c r="U309" s="307">
        <f>$F$8/$L$1*O309</f>
        <v>0</v>
      </c>
      <c r="V309" s="307"/>
      <c r="W309" s="81" t="s">
        <v>53</v>
      </c>
      <c r="X309" s="82"/>
    </row>
    <row r="310" spans="1:24" ht="18.75" customHeight="1">
      <c r="A310" s="75" t="s">
        <v>61</v>
      </c>
      <c r="B310" s="73" t="s">
        <v>47</v>
      </c>
      <c r="C310" s="76">
        <f>'[2]LUONG T7'!K36</f>
        <v>0</v>
      </c>
      <c r="D310" s="77" t="s">
        <v>57</v>
      </c>
      <c r="E310" s="306" t="s">
        <v>62</v>
      </c>
      <c r="F310" s="306"/>
      <c r="G310" s="306"/>
      <c r="H310" s="73" t="s">
        <v>47</v>
      </c>
      <c r="I310" s="307">
        <f>$F$8/$L$1*C310</f>
        <v>0</v>
      </c>
      <c r="J310" s="307"/>
      <c r="K310" s="81" t="s">
        <v>53</v>
      </c>
      <c r="L310" s="82"/>
      <c r="M310" s="75" t="s">
        <v>61</v>
      </c>
      <c r="N310" s="73" t="s">
        <v>47</v>
      </c>
      <c r="O310" s="76">
        <f>'[2]LUONG T7'!K38</f>
        <v>0</v>
      </c>
      <c r="P310" s="77" t="s">
        <v>57</v>
      </c>
      <c r="Q310" s="306" t="s">
        <v>62</v>
      </c>
      <c r="R310" s="306"/>
      <c r="S310" s="306"/>
      <c r="T310" s="73" t="s">
        <v>47</v>
      </c>
      <c r="U310" s="307">
        <f>$F$8/$L$1*O310</f>
        <v>0</v>
      </c>
      <c r="V310" s="307"/>
      <c r="W310" s="81" t="s">
        <v>53</v>
      </c>
      <c r="X310" s="82"/>
    </row>
    <row r="311" spans="1:24" ht="18.75" customHeight="1">
      <c r="A311" s="75" t="s">
        <v>63</v>
      </c>
      <c r="B311" s="73" t="s">
        <v>47</v>
      </c>
      <c r="C311" s="76">
        <f>'[2]LUONG T7'!L36</f>
        <v>0</v>
      </c>
      <c r="D311" s="77" t="s">
        <v>57</v>
      </c>
      <c r="E311" s="306" t="s">
        <v>64</v>
      </c>
      <c r="F311" s="306"/>
      <c r="G311" s="306"/>
      <c r="H311" s="73" t="s">
        <v>47</v>
      </c>
      <c r="I311" s="307">
        <f>$F$8/$L$1*C311</f>
        <v>0</v>
      </c>
      <c r="J311" s="307"/>
      <c r="K311" s="81" t="s">
        <v>53</v>
      </c>
      <c r="L311" s="82"/>
      <c r="M311" s="75" t="s">
        <v>63</v>
      </c>
      <c r="N311" s="73" t="s">
        <v>47</v>
      </c>
      <c r="O311" s="76">
        <f>'[2]LUONG T7'!L38</f>
        <v>0</v>
      </c>
      <c r="P311" s="77" t="s">
        <v>57</v>
      </c>
      <c r="Q311" s="306" t="s">
        <v>64</v>
      </c>
      <c r="R311" s="306"/>
      <c r="S311" s="306"/>
      <c r="T311" s="73" t="s">
        <v>47</v>
      </c>
      <c r="U311" s="307">
        <f>$F$8/$L$1*O311</f>
        <v>0</v>
      </c>
      <c r="V311" s="307"/>
      <c r="W311" s="81" t="s">
        <v>53</v>
      </c>
      <c r="X311" s="82"/>
    </row>
    <row r="312" spans="1:24" ht="18.75" customHeight="1">
      <c r="A312" s="75" t="s">
        <v>65</v>
      </c>
      <c r="B312" s="73" t="s">
        <v>47</v>
      </c>
      <c r="C312" s="76">
        <f>'[2]LUONG T7'!Q36</f>
        <v>0</v>
      </c>
      <c r="D312" s="77" t="s">
        <v>66</v>
      </c>
      <c r="E312" s="296" t="s">
        <v>67</v>
      </c>
      <c r="F312" s="296"/>
      <c r="G312" s="296"/>
      <c r="H312" s="73" t="s">
        <v>47</v>
      </c>
      <c r="I312" s="307">
        <f>'[2]LUONG T7'!Q37</f>
        <v>0</v>
      </c>
      <c r="J312" s="307"/>
      <c r="K312" s="81" t="s">
        <v>53</v>
      </c>
      <c r="L312" s="82">
        <f>F305*C312/L298/8*1.5</f>
        <v>0</v>
      </c>
      <c r="M312" s="75" t="s">
        <v>65</v>
      </c>
      <c r="N312" s="73" t="s">
        <v>47</v>
      </c>
      <c r="O312" s="76">
        <f>'[2]LUONG T7'!Q38</f>
        <v>0</v>
      </c>
      <c r="P312" s="77" t="s">
        <v>66</v>
      </c>
      <c r="Q312" s="296" t="s">
        <v>67</v>
      </c>
      <c r="R312" s="296"/>
      <c r="S312" s="296"/>
      <c r="T312" s="73" t="s">
        <v>47</v>
      </c>
      <c r="U312" s="307">
        <f>'[2]LUONG T7'!Q39</f>
        <v>0</v>
      </c>
      <c r="V312" s="307"/>
      <c r="W312" s="81" t="s">
        <v>53</v>
      </c>
      <c r="X312" s="82">
        <f>R305*O312/X298/8*1.5</f>
        <v>0</v>
      </c>
    </row>
    <row r="313" spans="1:24" ht="18.75" customHeight="1">
      <c r="A313" s="295" t="s">
        <v>68</v>
      </c>
      <c r="B313" s="296"/>
      <c r="C313" s="76"/>
      <c r="D313" s="77" t="s">
        <v>57</v>
      </c>
      <c r="E313" s="296" t="s">
        <v>69</v>
      </c>
      <c r="F313" s="296"/>
      <c r="G313" s="296"/>
      <c r="H313" s="83" t="s">
        <v>47</v>
      </c>
      <c r="I313" s="307"/>
      <c r="J313" s="307"/>
      <c r="K313" s="81" t="s">
        <v>53</v>
      </c>
      <c r="L313" s="82"/>
      <c r="M313" s="295" t="s">
        <v>68</v>
      </c>
      <c r="N313" s="296"/>
      <c r="O313" s="76"/>
      <c r="P313" s="77" t="s">
        <v>57</v>
      </c>
      <c r="Q313" s="296" t="s">
        <v>69</v>
      </c>
      <c r="R313" s="296"/>
      <c r="S313" s="296"/>
      <c r="T313" s="83" t="s">
        <v>47</v>
      </c>
      <c r="U313" s="307"/>
      <c r="V313" s="307"/>
      <c r="W313" s="81" t="s">
        <v>53</v>
      </c>
      <c r="X313" s="82"/>
    </row>
    <row r="314" spans="1:24" ht="18.75" customHeight="1">
      <c r="A314" s="75" t="s">
        <v>70</v>
      </c>
      <c r="B314" s="73" t="s">
        <v>47</v>
      </c>
      <c r="C314" s="76"/>
      <c r="D314" s="77" t="s">
        <v>57</v>
      </c>
      <c r="E314" s="296" t="s">
        <v>71</v>
      </c>
      <c r="F314" s="296"/>
      <c r="G314" s="296"/>
      <c r="H314" s="73" t="s">
        <v>47</v>
      </c>
      <c r="I314" s="307"/>
      <c r="J314" s="307"/>
      <c r="K314" s="81" t="s">
        <v>53</v>
      </c>
      <c r="L314" s="82"/>
      <c r="M314" s="75" t="s">
        <v>70</v>
      </c>
      <c r="N314" s="73" t="s">
        <v>47</v>
      </c>
      <c r="O314" s="76"/>
      <c r="P314" s="77" t="s">
        <v>57</v>
      </c>
      <c r="Q314" s="296" t="s">
        <v>71</v>
      </c>
      <c r="R314" s="296"/>
      <c r="S314" s="296"/>
      <c r="T314" s="73" t="s">
        <v>47</v>
      </c>
      <c r="U314" s="307"/>
      <c r="V314" s="307"/>
      <c r="W314" s="81" t="s">
        <v>53</v>
      </c>
      <c r="X314" s="82"/>
    </row>
    <row r="315" spans="1:24" ht="18.75" customHeight="1">
      <c r="A315" s="84" t="s">
        <v>72</v>
      </c>
      <c r="B315" s="73"/>
      <c r="C315" s="76">
        <f>'[2]LUONG T7'!M36</f>
        <v>0</v>
      </c>
      <c r="D315" s="77" t="s">
        <v>66</v>
      </c>
      <c r="E315" s="296" t="s">
        <v>73</v>
      </c>
      <c r="F315" s="296"/>
      <c r="G315" s="296"/>
      <c r="H315" s="73" t="s">
        <v>47</v>
      </c>
      <c r="I315" s="307">
        <f>$F$8*C315/8/$L$1</f>
        <v>0</v>
      </c>
      <c r="J315" s="307"/>
      <c r="K315" s="81" t="s">
        <v>53</v>
      </c>
      <c r="L315" s="82"/>
      <c r="M315" s="84" t="s">
        <v>72</v>
      </c>
      <c r="N315" s="73"/>
      <c r="O315" s="76">
        <f>'[2]LUONG T7'!M38</f>
        <v>0</v>
      </c>
      <c r="P315" s="77" t="s">
        <v>66</v>
      </c>
      <c r="Q315" s="296" t="s">
        <v>73</v>
      </c>
      <c r="R315" s="296"/>
      <c r="S315" s="296"/>
      <c r="T315" s="73" t="s">
        <v>47</v>
      </c>
      <c r="U315" s="307">
        <f>$F$8*O315/8/$L$1</f>
        <v>0</v>
      </c>
      <c r="V315" s="307"/>
      <c r="W315" s="81" t="s">
        <v>53</v>
      </c>
      <c r="X315" s="82"/>
    </row>
    <row r="316" spans="1:24" ht="18.75" customHeight="1">
      <c r="A316" s="75" t="s">
        <v>74</v>
      </c>
      <c r="B316" s="73" t="s">
        <v>47</v>
      </c>
      <c r="C316" s="76"/>
      <c r="D316" s="77" t="s">
        <v>66</v>
      </c>
      <c r="E316" s="296" t="s">
        <v>98</v>
      </c>
      <c r="F316" s="296"/>
      <c r="G316" s="296"/>
      <c r="H316" s="73" t="s">
        <v>47</v>
      </c>
      <c r="I316" s="309"/>
      <c r="J316" s="309"/>
      <c r="K316" s="81" t="s">
        <v>53</v>
      </c>
      <c r="L316" s="82"/>
      <c r="M316" s="75" t="s">
        <v>74</v>
      </c>
      <c r="N316" s="73" t="s">
        <v>47</v>
      </c>
      <c r="O316" s="76"/>
      <c r="P316" s="77" t="s">
        <v>66</v>
      </c>
      <c r="Q316" s="296" t="s">
        <v>98</v>
      </c>
      <c r="R316" s="296"/>
      <c r="S316" s="296"/>
      <c r="T316" s="73" t="s">
        <v>47</v>
      </c>
      <c r="U316" s="309"/>
      <c r="V316" s="309"/>
      <c r="W316" s="81" t="s">
        <v>53</v>
      </c>
      <c r="X316" s="82"/>
    </row>
    <row r="317" spans="1:24" ht="18.75" customHeight="1">
      <c r="A317" s="75" t="s">
        <v>76</v>
      </c>
      <c r="B317" s="73" t="s">
        <v>47</v>
      </c>
      <c r="C317" s="76"/>
      <c r="D317" s="77" t="s">
        <v>77</v>
      </c>
      <c r="E317" s="85" t="s">
        <v>78</v>
      </c>
      <c r="F317" s="85"/>
      <c r="G317" s="85"/>
      <c r="H317" s="73" t="s">
        <v>47</v>
      </c>
      <c r="I317" s="307"/>
      <c r="J317" s="307"/>
      <c r="K317" s="81" t="s">
        <v>53</v>
      </c>
      <c r="L317" s="82">
        <f>+IF(L308-I308&lt;0,0,L308-I308)+IF(L312-I312&lt;0,0,L312-I312)</f>
        <v>0</v>
      </c>
      <c r="M317" s="75" t="s">
        <v>76</v>
      </c>
      <c r="N317" s="73" t="s">
        <v>47</v>
      </c>
      <c r="O317" s="76"/>
      <c r="P317" s="77" t="s">
        <v>77</v>
      </c>
      <c r="Q317" s="85" t="s">
        <v>78</v>
      </c>
      <c r="R317" s="85"/>
      <c r="S317" s="85"/>
      <c r="T317" s="73" t="s">
        <v>47</v>
      </c>
      <c r="U317" s="307"/>
      <c r="V317" s="307"/>
      <c r="W317" s="81" t="s">
        <v>53</v>
      </c>
      <c r="X317" s="82">
        <f>+IF(X308-U308&lt;0,0,X308-U308)+IF(X312-U312&lt;0,0,X312-U312)</f>
        <v>0</v>
      </c>
    </row>
    <row r="318" spans="1:24" ht="18.75" customHeight="1">
      <c r="A318" s="86" t="s">
        <v>122</v>
      </c>
      <c r="B318" s="87"/>
      <c r="C318" s="76"/>
      <c r="D318" s="77" t="s">
        <v>57</v>
      </c>
      <c r="E318" s="296" t="s">
        <v>123</v>
      </c>
      <c r="F318" s="296"/>
      <c r="G318" s="296"/>
      <c r="H318" s="73" t="s">
        <v>47</v>
      </c>
      <c r="I318" s="307"/>
      <c r="J318" s="307"/>
      <c r="K318" s="81" t="s">
        <v>53</v>
      </c>
      <c r="L318" s="82"/>
      <c r="M318" s="86" t="s">
        <v>122</v>
      </c>
      <c r="N318" s="87"/>
      <c r="O318" s="76"/>
      <c r="P318" s="77" t="s">
        <v>57</v>
      </c>
      <c r="Q318" s="296" t="s">
        <v>123</v>
      </c>
      <c r="R318" s="296"/>
      <c r="S318" s="296"/>
      <c r="T318" s="73" t="s">
        <v>47</v>
      </c>
      <c r="U318" s="307"/>
      <c r="V318" s="307"/>
      <c r="W318" s="81" t="s">
        <v>53</v>
      </c>
      <c r="X318" s="82"/>
    </row>
    <row r="319" spans="1:24" ht="18.75" customHeight="1">
      <c r="A319" s="314" t="s">
        <v>81</v>
      </c>
      <c r="B319" s="308"/>
      <c r="C319" s="76"/>
      <c r="D319" s="77"/>
      <c r="E319" s="78"/>
      <c r="F319" s="78"/>
      <c r="G319" s="78"/>
      <c r="H319" s="73" t="s">
        <v>47</v>
      </c>
      <c r="I319" s="307">
        <f>'[2]LUONG T7'!P37</f>
        <v>0</v>
      </c>
      <c r="J319" s="307"/>
      <c r="K319" s="81" t="s">
        <v>53</v>
      </c>
      <c r="L319" s="82"/>
      <c r="M319" s="314" t="s">
        <v>81</v>
      </c>
      <c r="N319" s="308"/>
      <c r="O319" s="76"/>
      <c r="P319" s="77"/>
      <c r="Q319" s="78"/>
      <c r="R319" s="78"/>
      <c r="S319" s="78"/>
      <c r="T319" s="73" t="s">
        <v>47</v>
      </c>
      <c r="U319" s="307">
        <f>'[2]LUONG T7'!P39</f>
        <v>0</v>
      </c>
      <c r="V319" s="307"/>
      <c r="W319" s="81" t="s">
        <v>53</v>
      </c>
      <c r="X319" s="82"/>
    </row>
    <row r="320" spans="1:24" ht="18.75" customHeight="1">
      <c r="A320" s="75" t="s">
        <v>82</v>
      </c>
      <c r="B320" s="73" t="s">
        <v>47</v>
      </c>
      <c r="C320" s="76"/>
      <c r="D320" s="77"/>
      <c r="E320" s="78" t="s">
        <v>83</v>
      </c>
      <c r="F320" s="78"/>
      <c r="G320" s="78"/>
      <c r="H320" s="73" t="s">
        <v>47</v>
      </c>
      <c r="I320" s="307">
        <f>L317</f>
        <v>0</v>
      </c>
      <c r="J320" s="307"/>
      <c r="K320" s="81" t="s">
        <v>53</v>
      </c>
      <c r="L320" s="82"/>
      <c r="M320" s="75" t="s">
        <v>82</v>
      </c>
      <c r="N320" s="73" t="s">
        <v>47</v>
      </c>
      <c r="O320" s="76"/>
      <c r="P320" s="77"/>
      <c r="Q320" s="78" t="s">
        <v>83</v>
      </c>
      <c r="R320" s="78"/>
      <c r="S320" s="78"/>
      <c r="T320" s="73" t="s">
        <v>47</v>
      </c>
      <c r="U320" s="307">
        <f>X317</f>
        <v>0</v>
      </c>
      <c r="V320" s="307"/>
      <c r="W320" s="81" t="s">
        <v>53</v>
      </c>
      <c r="X320" s="82"/>
    </row>
    <row r="321" spans="1:24" ht="18.75" customHeight="1">
      <c r="A321" s="311" t="s">
        <v>84</v>
      </c>
      <c r="B321" s="312"/>
      <c r="C321" s="312"/>
      <c r="D321" s="312"/>
      <c r="E321" s="312"/>
      <c r="F321" s="312"/>
      <c r="G321" s="73" t="s">
        <v>47</v>
      </c>
      <c r="H321" s="313">
        <f>I308+I309+I310+I311+I312+I315+I319+I320</f>
        <v>0</v>
      </c>
      <c r="I321" s="313"/>
      <c r="J321" s="313"/>
      <c r="K321" s="81" t="s">
        <v>53</v>
      </c>
      <c r="M321" s="311" t="s">
        <v>84</v>
      </c>
      <c r="N321" s="312"/>
      <c r="O321" s="312"/>
      <c r="P321" s="312"/>
      <c r="Q321" s="312"/>
      <c r="R321" s="312"/>
      <c r="S321" s="73" t="s">
        <v>47</v>
      </c>
      <c r="T321" s="313">
        <f>U308+U309+U310+U311+U312+U315+U319+U320</f>
        <v>0</v>
      </c>
      <c r="U321" s="313"/>
      <c r="V321" s="313"/>
      <c r="W321" s="81" t="s">
        <v>53</v>
      </c>
    </row>
    <row r="322" spans="1:24" ht="18.75" customHeight="1">
      <c r="A322" s="88"/>
      <c r="B322" s="89"/>
      <c r="C322" s="89"/>
      <c r="D322" s="89"/>
      <c r="E322" s="89"/>
      <c r="F322" s="89"/>
      <c r="G322" s="89"/>
      <c r="H322" s="89"/>
      <c r="I322" s="89"/>
      <c r="J322" s="89"/>
      <c r="K322" s="90"/>
      <c r="M322" s="88"/>
      <c r="N322" s="89"/>
      <c r="O322" s="89"/>
      <c r="P322" s="89"/>
      <c r="Q322" s="89"/>
      <c r="R322" s="89"/>
      <c r="S322" s="89"/>
      <c r="T322" s="89"/>
      <c r="U322" s="89"/>
      <c r="V322" s="89"/>
      <c r="W322" s="90"/>
    </row>
    <row r="323" spans="1:24" ht="18.75" customHeight="1">
      <c r="A323" s="321" t="s">
        <v>85</v>
      </c>
      <c r="B323" s="322"/>
      <c r="C323" s="322"/>
      <c r="D323" s="322"/>
      <c r="E323" s="322"/>
      <c r="F323" s="322"/>
      <c r="G323" s="73"/>
      <c r="H323" s="73"/>
      <c r="I323" s="73"/>
      <c r="J323" s="73"/>
      <c r="K323" s="81"/>
      <c r="M323" s="321" t="s">
        <v>85</v>
      </c>
      <c r="N323" s="322"/>
      <c r="O323" s="322"/>
      <c r="P323" s="322"/>
      <c r="Q323" s="322"/>
      <c r="R323" s="322"/>
      <c r="S323" s="73"/>
      <c r="T323" s="73"/>
      <c r="U323" s="73"/>
      <c r="V323" s="73"/>
      <c r="W323" s="81"/>
    </row>
    <row r="324" spans="1:24" ht="18.75" customHeight="1">
      <c r="A324" s="315" t="s">
        <v>86</v>
      </c>
      <c r="B324" s="316"/>
      <c r="C324" s="316"/>
      <c r="D324" s="316"/>
      <c r="E324" s="316"/>
      <c r="F324" s="316"/>
      <c r="G324" s="73" t="s">
        <v>47</v>
      </c>
      <c r="H324" s="323">
        <f>IF(($L$1-(C308+C309+C310+C311))&gt;12,0,F305*8%)</f>
        <v>0</v>
      </c>
      <c r="I324" s="323"/>
      <c r="J324" s="323"/>
      <c r="K324" s="81" t="s">
        <v>53</v>
      </c>
      <c r="M324" s="315" t="s">
        <v>86</v>
      </c>
      <c r="N324" s="316"/>
      <c r="O324" s="316"/>
      <c r="P324" s="316"/>
      <c r="Q324" s="316"/>
      <c r="R324" s="316"/>
      <c r="S324" s="73" t="s">
        <v>47</v>
      </c>
      <c r="T324" s="323">
        <f>IF(($L$1-(O308+O309+O310+O311))&gt;12,0,R305*8%)</f>
        <v>0</v>
      </c>
      <c r="U324" s="323"/>
      <c r="V324" s="323"/>
      <c r="W324" s="81" t="s">
        <v>53</v>
      </c>
    </row>
    <row r="325" spans="1:24" ht="18.75" customHeight="1">
      <c r="A325" s="315" t="s">
        <v>87</v>
      </c>
      <c r="B325" s="316"/>
      <c r="C325" s="316"/>
      <c r="D325" s="316"/>
      <c r="E325" s="316"/>
      <c r="F325" s="316"/>
      <c r="G325" s="73" t="s">
        <v>47</v>
      </c>
      <c r="H325" s="317">
        <f>IF(($L$1-(C308+C309+C310+C311))&gt;12,0,F305*1.5%)</f>
        <v>0</v>
      </c>
      <c r="I325" s="317"/>
      <c r="J325" s="317"/>
      <c r="K325" s="81" t="s">
        <v>53</v>
      </c>
      <c r="M325" s="315" t="s">
        <v>87</v>
      </c>
      <c r="N325" s="316"/>
      <c r="O325" s="316"/>
      <c r="P325" s="316"/>
      <c r="Q325" s="316"/>
      <c r="R325" s="316"/>
      <c r="S325" s="73" t="s">
        <v>47</v>
      </c>
      <c r="T325" s="317">
        <f>IF(($L$1-(O308+O309+O310+O311))&gt;12,0,R305*1.5%)</f>
        <v>0</v>
      </c>
      <c r="U325" s="317"/>
      <c r="V325" s="317"/>
      <c r="W325" s="81" t="s">
        <v>53</v>
      </c>
    </row>
    <row r="326" spans="1:24" ht="18.75" customHeight="1">
      <c r="A326" s="315" t="s">
        <v>88</v>
      </c>
      <c r="B326" s="316"/>
      <c r="C326" s="316"/>
      <c r="D326" s="316"/>
      <c r="E326" s="316"/>
      <c r="F326" s="316"/>
      <c r="G326" s="73" t="s">
        <v>47</v>
      </c>
      <c r="H326" s="317">
        <f>IF(($L$1-(C308+C309+C310+C311))&gt;12,0,F305*1%)</f>
        <v>0</v>
      </c>
      <c r="I326" s="317"/>
      <c r="J326" s="317"/>
      <c r="K326" s="81" t="s">
        <v>53</v>
      </c>
      <c r="M326" s="315" t="s">
        <v>88</v>
      </c>
      <c r="N326" s="316"/>
      <c r="O326" s="316"/>
      <c r="P326" s="316"/>
      <c r="Q326" s="316"/>
      <c r="R326" s="316"/>
      <c r="S326" s="73" t="s">
        <v>47</v>
      </c>
      <c r="T326" s="317">
        <f>IF(($L$1-(O308+O309+O310+O311))&gt;12,0,R305*1%)</f>
        <v>0</v>
      </c>
      <c r="U326" s="317"/>
      <c r="V326" s="317"/>
      <c r="W326" s="81" t="s">
        <v>53</v>
      </c>
    </row>
    <row r="327" spans="1:24" ht="18.75" customHeight="1">
      <c r="A327" s="315" t="s">
        <v>89</v>
      </c>
      <c r="B327" s="316"/>
      <c r="C327" s="316"/>
      <c r="D327" s="316"/>
      <c r="E327" s="316"/>
      <c r="F327" s="316"/>
      <c r="G327" s="73" t="s">
        <v>47</v>
      </c>
      <c r="H327" s="317">
        <v>0</v>
      </c>
      <c r="I327" s="317"/>
      <c r="J327" s="317"/>
      <c r="K327" s="81" t="s">
        <v>53</v>
      </c>
      <c r="M327" s="315" t="s">
        <v>89</v>
      </c>
      <c r="N327" s="316"/>
      <c r="O327" s="316"/>
      <c r="P327" s="316"/>
      <c r="Q327" s="316"/>
      <c r="R327" s="316"/>
      <c r="S327" s="73" t="s">
        <v>47</v>
      </c>
      <c r="T327" s="317">
        <v>0</v>
      </c>
      <c r="U327" s="317"/>
      <c r="V327" s="317"/>
      <c r="W327" s="81" t="s">
        <v>53</v>
      </c>
    </row>
    <row r="328" spans="1:24" ht="18.75" customHeight="1">
      <c r="A328" s="318" t="s">
        <v>90</v>
      </c>
      <c r="B328" s="319"/>
      <c r="C328" s="319"/>
      <c r="D328" s="319"/>
      <c r="E328" s="319"/>
      <c r="F328" s="319"/>
      <c r="G328" s="73" t="s">
        <v>47</v>
      </c>
      <c r="H328" s="320">
        <f>SUM(H324:J327)</f>
        <v>0</v>
      </c>
      <c r="I328" s="320"/>
      <c r="J328" s="320"/>
      <c r="K328" s="81" t="s">
        <v>53</v>
      </c>
      <c r="M328" s="318" t="s">
        <v>90</v>
      </c>
      <c r="N328" s="319"/>
      <c r="O328" s="319"/>
      <c r="P328" s="319"/>
      <c r="Q328" s="319"/>
      <c r="R328" s="319"/>
      <c r="S328" s="73" t="s">
        <v>47</v>
      </c>
      <c r="T328" s="320">
        <f>SUM(T324:V327)</f>
        <v>0</v>
      </c>
      <c r="U328" s="320"/>
      <c r="V328" s="320"/>
      <c r="W328" s="81" t="s">
        <v>53</v>
      </c>
    </row>
    <row r="329" spans="1:24" ht="18.75" customHeight="1">
      <c r="A329" s="315" t="s">
        <v>91</v>
      </c>
      <c r="B329" s="316"/>
      <c r="C329" s="316"/>
      <c r="D329" s="316"/>
      <c r="E329" s="316"/>
      <c r="F329" s="316"/>
      <c r="G329" s="73" t="s">
        <v>47</v>
      </c>
      <c r="H329" s="327">
        <f>ROUND(H321-H328,-2)</f>
        <v>0</v>
      </c>
      <c r="I329" s="327"/>
      <c r="J329" s="327"/>
      <c r="K329" s="81" t="s">
        <v>53</v>
      </c>
      <c r="M329" s="315" t="s">
        <v>91</v>
      </c>
      <c r="N329" s="316"/>
      <c r="O329" s="316"/>
      <c r="P329" s="316"/>
      <c r="Q329" s="316"/>
      <c r="R329" s="316"/>
      <c r="S329" s="73" t="s">
        <v>47</v>
      </c>
      <c r="T329" s="327">
        <f>ROUND(T321-T328,-2)</f>
        <v>0</v>
      </c>
      <c r="U329" s="327"/>
      <c r="V329" s="327"/>
      <c r="W329" s="81" t="s">
        <v>53</v>
      </c>
    </row>
    <row r="330" spans="1:24" ht="18.75" customHeight="1">
      <c r="A330" s="91"/>
      <c r="B330" s="92"/>
      <c r="C330" s="92"/>
      <c r="D330" s="92"/>
      <c r="E330" s="92"/>
      <c r="F330" s="92"/>
      <c r="G330" s="92"/>
      <c r="H330" s="92"/>
      <c r="I330" s="92"/>
      <c r="J330" s="92"/>
      <c r="K330" s="93"/>
      <c r="M330" s="91"/>
      <c r="N330" s="92"/>
      <c r="O330" s="92"/>
      <c r="P330" s="92"/>
      <c r="Q330" s="92"/>
      <c r="R330" s="92"/>
      <c r="S330" s="92"/>
      <c r="T330" s="92"/>
      <c r="U330" s="92"/>
      <c r="V330" s="92"/>
      <c r="W330" s="93"/>
    </row>
    <row r="331" spans="1:24" ht="18.75" customHeight="1">
      <c r="A331" s="94"/>
      <c r="B331" s="73"/>
      <c r="C331" s="73"/>
      <c r="D331" s="73"/>
      <c r="E331" s="73"/>
      <c r="F331" s="73"/>
      <c r="G331" s="73"/>
      <c r="H331" s="73"/>
      <c r="I331" s="324" t="s">
        <v>92</v>
      </c>
      <c r="J331" s="324"/>
      <c r="K331" s="328"/>
      <c r="M331" s="94"/>
      <c r="N331" s="73"/>
      <c r="O331" s="73"/>
      <c r="P331" s="73"/>
      <c r="Q331" s="73"/>
      <c r="R331" s="73"/>
      <c r="S331" s="73"/>
      <c r="T331" s="73"/>
      <c r="U331" s="324" t="s">
        <v>92</v>
      </c>
      <c r="V331" s="324"/>
      <c r="W331" s="328"/>
    </row>
    <row r="332" spans="1:24" ht="18.75" customHeight="1">
      <c r="A332" s="94"/>
      <c r="B332" s="324"/>
      <c r="C332" s="324"/>
      <c r="D332" s="324"/>
      <c r="E332" s="324"/>
      <c r="F332" s="73"/>
      <c r="G332" s="73"/>
      <c r="H332" s="73"/>
      <c r="I332" s="73"/>
      <c r="J332" s="73"/>
      <c r="K332" s="74"/>
      <c r="M332" s="94"/>
      <c r="N332" s="324"/>
      <c r="O332" s="324"/>
      <c r="P332" s="324"/>
      <c r="Q332" s="324"/>
      <c r="R332" s="73"/>
      <c r="S332" s="73"/>
      <c r="T332" s="73"/>
      <c r="U332" s="73"/>
      <c r="V332" s="73"/>
      <c r="W332" s="74"/>
    </row>
    <row r="333" spans="1:24" ht="18.75" customHeight="1" thickBot="1">
      <c r="A333" s="95"/>
      <c r="B333" s="96"/>
      <c r="C333" s="96"/>
      <c r="D333" s="96"/>
      <c r="E333" s="96"/>
      <c r="F333" s="96"/>
      <c r="G333" s="96"/>
      <c r="H333" s="96"/>
      <c r="I333" s="325" t="s">
        <v>93</v>
      </c>
      <c r="J333" s="325"/>
      <c r="K333" s="326"/>
      <c r="M333" s="95"/>
      <c r="N333" s="96"/>
      <c r="O333" s="96"/>
      <c r="P333" s="96"/>
      <c r="Q333" s="96"/>
      <c r="R333" s="96"/>
      <c r="S333" s="96"/>
      <c r="T333" s="96"/>
      <c r="U333" s="325" t="s">
        <v>93</v>
      </c>
      <c r="V333" s="325"/>
      <c r="W333" s="326"/>
    </row>
    <row r="335" spans="1:24" ht="18.75" customHeight="1" thickTop="1">
      <c r="A335" s="300" t="s">
        <v>41</v>
      </c>
      <c r="B335" s="301"/>
      <c r="C335" s="301"/>
      <c r="D335" s="301"/>
      <c r="E335" s="301"/>
      <c r="F335" s="301"/>
      <c r="G335" s="301"/>
      <c r="H335" s="301"/>
      <c r="I335" s="301"/>
      <c r="J335" s="301"/>
      <c r="K335" s="302"/>
      <c r="L335" s="69">
        <v>25</v>
      </c>
      <c r="M335" s="300" t="s">
        <v>41</v>
      </c>
      <c r="N335" s="301"/>
      <c r="O335" s="301"/>
      <c r="P335" s="301"/>
      <c r="Q335" s="301"/>
      <c r="R335" s="301"/>
      <c r="S335" s="301"/>
      <c r="T335" s="301"/>
      <c r="U335" s="301"/>
      <c r="V335" s="301"/>
      <c r="W335" s="302"/>
      <c r="X335" s="69">
        <v>25</v>
      </c>
    </row>
    <row r="336" spans="1:24" ht="18.75" customHeight="1">
      <c r="A336" s="70" t="s">
        <v>126</v>
      </c>
      <c r="B336" s="71"/>
      <c r="C336" s="71"/>
      <c r="D336" s="71"/>
      <c r="E336" s="71"/>
      <c r="F336" s="71"/>
      <c r="G336" s="71"/>
      <c r="H336" s="71"/>
      <c r="I336" s="71"/>
      <c r="J336" s="71"/>
      <c r="K336" s="72"/>
      <c r="M336" s="70" t="s">
        <v>127</v>
      </c>
      <c r="N336" s="71"/>
      <c r="O336" s="71"/>
      <c r="P336" s="71"/>
      <c r="Q336" s="71"/>
      <c r="R336" s="71"/>
      <c r="S336" s="71"/>
      <c r="T336" s="71"/>
      <c r="U336" s="71"/>
      <c r="V336" s="71"/>
      <c r="W336" s="72"/>
    </row>
    <row r="337" spans="1:24" ht="18.75" customHeight="1">
      <c r="A337" s="303" t="s">
        <v>45</v>
      </c>
      <c r="B337" s="304"/>
      <c r="C337" s="304"/>
      <c r="D337" s="304"/>
      <c r="E337" s="304"/>
      <c r="F337" s="304"/>
      <c r="G337" s="304"/>
      <c r="H337" s="304"/>
      <c r="I337" s="304"/>
      <c r="J337" s="304"/>
      <c r="K337" s="305"/>
      <c r="M337" s="303" t="s">
        <v>45</v>
      </c>
      <c r="N337" s="304"/>
      <c r="O337" s="304"/>
      <c r="P337" s="304"/>
      <c r="Q337" s="304"/>
      <c r="R337" s="304"/>
      <c r="S337" s="304"/>
      <c r="T337" s="304"/>
      <c r="U337" s="304"/>
      <c r="V337" s="304"/>
      <c r="W337" s="305"/>
    </row>
    <row r="338" spans="1:24" ht="18.75" customHeight="1">
      <c r="A338" s="295" t="s">
        <v>46</v>
      </c>
      <c r="B338" s="296"/>
      <c r="C338" s="296"/>
      <c r="D338" s="296"/>
      <c r="E338" s="73" t="s">
        <v>47</v>
      </c>
      <c r="F338" s="297">
        <f>'[2]Bang TH nop'!B32</f>
        <v>0</v>
      </c>
      <c r="G338" s="296"/>
      <c r="H338" s="296"/>
      <c r="I338" s="296"/>
      <c r="J338" s="296"/>
      <c r="K338" s="299"/>
      <c r="M338" s="295" t="s">
        <v>46</v>
      </c>
      <c r="N338" s="296"/>
      <c r="O338" s="296"/>
      <c r="P338" s="296"/>
      <c r="Q338" s="73" t="s">
        <v>47</v>
      </c>
      <c r="R338" s="297">
        <f>'[2]Bang TH nop'!B34</f>
        <v>0</v>
      </c>
      <c r="S338" s="296"/>
      <c r="T338" s="296"/>
      <c r="U338" s="296"/>
      <c r="V338" s="296"/>
      <c r="W338" s="299"/>
    </row>
    <row r="339" spans="1:24" ht="18.75" customHeight="1">
      <c r="A339" s="295" t="s">
        <v>49</v>
      </c>
      <c r="B339" s="296"/>
      <c r="C339" s="296"/>
      <c r="D339" s="296"/>
      <c r="E339" s="73" t="s">
        <v>47</v>
      </c>
      <c r="F339" s="297">
        <f>'[2]Bang TH nop'!C32</f>
        <v>0</v>
      </c>
      <c r="G339" s="297"/>
      <c r="H339" s="297"/>
      <c r="I339" s="297"/>
      <c r="J339" s="297"/>
      <c r="K339" s="298"/>
      <c r="M339" s="295" t="s">
        <v>49</v>
      </c>
      <c r="N339" s="296"/>
      <c r="O339" s="296"/>
      <c r="P339" s="296"/>
      <c r="Q339" s="73" t="s">
        <v>47</v>
      </c>
      <c r="R339" s="297">
        <f>'[2]Bang TH nop'!C34</f>
        <v>0</v>
      </c>
      <c r="S339" s="297"/>
      <c r="T339" s="297"/>
      <c r="U339" s="297"/>
      <c r="V339" s="297"/>
      <c r="W339" s="298"/>
    </row>
    <row r="340" spans="1:24" ht="18.75" customHeight="1">
      <c r="A340" s="295" t="s">
        <v>50</v>
      </c>
      <c r="B340" s="296"/>
      <c r="C340" s="296"/>
      <c r="D340" s="296"/>
      <c r="E340" s="73" t="s">
        <v>47</v>
      </c>
      <c r="F340" s="296" t="s">
        <v>121</v>
      </c>
      <c r="G340" s="296"/>
      <c r="H340" s="296"/>
      <c r="I340" s="296"/>
      <c r="J340" s="296"/>
      <c r="K340" s="299"/>
      <c r="M340" s="295" t="s">
        <v>50</v>
      </c>
      <c r="N340" s="296"/>
      <c r="O340" s="296"/>
      <c r="P340" s="296"/>
      <c r="Q340" s="73" t="s">
        <v>47</v>
      </c>
      <c r="R340" s="296" t="s">
        <v>121</v>
      </c>
      <c r="S340" s="296"/>
      <c r="T340" s="296"/>
      <c r="U340" s="296"/>
      <c r="V340" s="296"/>
      <c r="W340" s="299"/>
    </row>
    <row r="341" spans="1:24" ht="18.75" customHeight="1">
      <c r="A341" s="303" t="s">
        <v>51</v>
      </c>
      <c r="B341" s="304"/>
      <c r="C341" s="304"/>
      <c r="D341" s="304"/>
      <c r="E341" s="304"/>
      <c r="F341" s="304"/>
      <c r="G341" s="304"/>
      <c r="H341" s="304"/>
      <c r="I341" s="304"/>
      <c r="J341" s="304"/>
      <c r="K341" s="305"/>
      <c r="M341" s="303" t="s">
        <v>51</v>
      </c>
      <c r="N341" s="304"/>
      <c r="O341" s="304"/>
      <c r="P341" s="304"/>
      <c r="Q341" s="304"/>
      <c r="R341" s="304"/>
      <c r="S341" s="304"/>
      <c r="T341" s="304"/>
      <c r="U341" s="304"/>
      <c r="V341" s="304"/>
      <c r="W341" s="305"/>
    </row>
    <row r="342" spans="1:24" ht="18.75" customHeight="1">
      <c r="A342" s="295" t="s">
        <v>52</v>
      </c>
      <c r="B342" s="296"/>
      <c r="C342" s="296"/>
      <c r="D342" s="296"/>
      <c r="E342" s="73" t="s">
        <v>47</v>
      </c>
      <c r="F342" s="310">
        <v>2915400</v>
      </c>
      <c r="G342" s="310"/>
      <c r="H342" s="310"/>
      <c r="I342" s="310"/>
      <c r="J342" s="73" t="s">
        <v>53</v>
      </c>
      <c r="K342" s="74"/>
      <c r="M342" s="295" t="s">
        <v>52</v>
      </c>
      <c r="N342" s="296"/>
      <c r="O342" s="296"/>
      <c r="P342" s="296"/>
      <c r="Q342" s="73" t="s">
        <v>47</v>
      </c>
      <c r="R342" s="310">
        <v>2915400</v>
      </c>
      <c r="S342" s="310"/>
      <c r="T342" s="310"/>
      <c r="U342" s="310"/>
      <c r="V342" s="73" t="s">
        <v>53</v>
      </c>
      <c r="W342" s="74"/>
    </row>
    <row r="343" spans="1:24" ht="18.75" customHeight="1">
      <c r="A343" s="75" t="s">
        <v>54</v>
      </c>
      <c r="B343" s="73"/>
      <c r="C343" s="76"/>
      <c r="D343" s="77"/>
      <c r="E343" s="78"/>
      <c r="F343" s="78"/>
      <c r="G343" s="78"/>
      <c r="H343" s="73"/>
      <c r="I343" s="79">
        <f>'[2]LUONG T7'!F41</f>
        <v>0</v>
      </c>
      <c r="J343" s="80"/>
      <c r="K343" s="81"/>
      <c r="M343" s="75" t="s">
        <v>54</v>
      </c>
      <c r="N343" s="73"/>
      <c r="O343" s="76"/>
      <c r="P343" s="77"/>
      <c r="Q343" s="78"/>
      <c r="R343" s="78"/>
      <c r="S343" s="78"/>
      <c r="T343" s="73"/>
      <c r="U343" s="79">
        <f>'[2]LUONG T7'!F43</f>
        <v>0</v>
      </c>
      <c r="V343" s="80"/>
      <c r="W343" s="81"/>
    </row>
    <row r="344" spans="1:24" ht="18.75" customHeight="1">
      <c r="A344" s="75" t="s">
        <v>55</v>
      </c>
      <c r="B344" s="73"/>
      <c r="C344" s="76"/>
      <c r="D344" s="77"/>
      <c r="E344" s="78"/>
      <c r="F344" s="78"/>
      <c r="G344" s="78"/>
      <c r="H344" s="73"/>
      <c r="I344" s="79" t="e">
        <f>I345/C345/8</f>
        <v>#DIV/0!</v>
      </c>
      <c r="J344" s="80"/>
      <c r="K344" s="81"/>
      <c r="M344" s="75" t="s">
        <v>55</v>
      </c>
      <c r="N344" s="73"/>
      <c r="O344" s="76"/>
      <c r="P344" s="77"/>
      <c r="Q344" s="78"/>
      <c r="R344" s="78"/>
      <c r="S344" s="78"/>
      <c r="T344" s="73"/>
      <c r="U344" s="79" t="e">
        <f>U345/O345/8</f>
        <v>#DIV/0!</v>
      </c>
      <c r="V344" s="80"/>
      <c r="W344" s="81"/>
    </row>
    <row r="345" spans="1:24" ht="18.75" customHeight="1">
      <c r="A345" s="75" t="s">
        <v>56</v>
      </c>
      <c r="B345" s="73" t="s">
        <v>47</v>
      </c>
      <c r="C345" s="76">
        <f>'[2]LUONG T7'!I40</f>
        <v>0</v>
      </c>
      <c r="D345" s="77" t="s">
        <v>57</v>
      </c>
      <c r="E345" s="308" t="s">
        <v>58</v>
      </c>
      <c r="F345" s="308"/>
      <c r="G345" s="308"/>
      <c r="H345" s="73" t="s">
        <v>47</v>
      </c>
      <c r="I345" s="309">
        <f>'[2]LUONG T7'!I41</f>
        <v>0</v>
      </c>
      <c r="J345" s="309"/>
      <c r="K345" s="81" t="s">
        <v>53</v>
      </c>
      <c r="L345" s="82">
        <f>F342/L335*C345</f>
        <v>0</v>
      </c>
      <c r="M345" s="75" t="s">
        <v>56</v>
      </c>
      <c r="N345" s="73" t="s">
        <v>47</v>
      </c>
      <c r="O345" s="76">
        <f>'[2]LUONG T7'!I42</f>
        <v>0</v>
      </c>
      <c r="P345" s="77" t="s">
        <v>57</v>
      </c>
      <c r="Q345" s="308" t="s">
        <v>58</v>
      </c>
      <c r="R345" s="308"/>
      <c r="S345" s="308"/>
      <c r="T345" s="73" t="s">
        <v>47</v>
      </c>
      <c r="U345" s="309">
        <f>'[2]LUONG T7'!I43</f>
        <v>0</v>
      </c>
      <c r="V345" s="309"/>
      <c r="W345" s="81" t="s">
        <v>53</v>
      </c>
      <c r="X345" s="82">
        <f>R342/X335*O345</f>
        <v>0</v>
      </c>
    </row>
    <row r="346" spans="1:24" ht="18.75" customHeight="1">
      <c r="A346" s="75" t="s">
        <v>59</v>
      </c>
      <c r="B346" s="73" t="s">
        <v>47</v>
      </c>
      <c r="C346" s="76">
        <f>'[2]LUONG T7'!J40</f>
        <v>0</v>
      </c>
      <c r="D346" s="77" t="s">
        <v>57</v>
      </c>
      <c r="E346" s="296" t="s">
        <v>60</v>
      </c>
      <c r="F346" s="296"/>
      <c r="G346" s="296"/>
      <c r="H346" s="73" t="s">
        <v>47</v>
      </c>
      <c r="I346" s="307">
        <f>$F$8/$L$1*C346</f>
        <v>0</v>
      </c>
      <c r="J346" s="307"/>
      <c r="K346" s="81" t="s">
        <v>53</v>
      </c>
      <c r="L346" s="82"/>
      <c r="M346" s="75" t="s">
        <v>59</v>
      </c>
      <c r="N346" s="73" t="s">
        <v>47</v>
      </c>
      <c r="O346" s="76">
        <f>'[2]LUONG T7'!J42</f>
        <v>0</v>
      </c>
      <c r="P346" s="77" t="s">
        <v>57</v>
      </c>
      <c r="Q346" s="296" t="s">
        <v>60</v>
      </c>
      <c r="R346" s="296"/>
      <c r="S346" s="296"/>
      <c r="T346" s="73" t="s">
        <v>47</v>
      </c>
      <c r="U346" s="307">
        <f>$F$8/$L$1*O346</f>
        <v>0</v>
      </c>
      <c r="V346" s="307"/>
      <c r="W346" s="81" t="s">
        <v>53</v>
      </c>
      <c r="X346" s="82"/>
    </row>
    <row r="347" spans="1:24" ht="18.75" customHeight="1">
      <c r="A347" s="75" t="s">
        <v>61</v>
      </c>
      <c r="B347" s="73" t="s">
        <v>47</v>
      </c>
      <c r="C347" s="76">
        <f>'[2]LUONG T7'!K40</f>
        <v>0</v>
      </c>
      <c r="D347" s="77" t="s">
        <v>57</v>
      </c>
      <c r="E347" s="306" t="s">
        <v>62</v>
      </c>
      <c r="F347" s="306"/>
      <c r="G347" s="306"/>
      <c r="H347" s="73" t="s">
        <v>47</v>
      </c>
      <c r="I347" s="307">
        <f>$F$8/$L$1*C347</f>
        <v>0</v>
      </c>
      <c r="J347" s="307"/>
      <c r="K347" s="81" t="s">
        <v>53</v>
      </c>
      <c r="L347" s="82"/>
      <c r="M347" s="75" t="s">
        <v>61</v>
      </c>
      <c r="N347" s="73" t="s">
        <v>47</v>
      </c>
      <c r="O347" s="76">
        <f>'[2]LUONG T7'!K42</f>
        <v>0</v>
      </c>
      <c r="P347" s="77" t="s">
        <v>57</v>
      </c>
      <c r="Q347" s="306" t="s">
        <v>62</v>
      </c>
      <c r="R347" s="306"/>
      <c r="S347" s="306"/>
      <c r="T347" s="73" t="s">
        <v>47</v>
      </c>
      <c r="U347" s="307">
        <f>$F$8/$L$1*O347</f>
        <v>0</v>
      </c>
      <c r="V347" s="307"/>
      <c r="W347" s="81" t="s">
        <v>53</v>
      </c>
      <c r="X347" s="82"/>
    </row>
    <row r="348" spans="1:24" ht="18.75" customHeight="1">
      <c r="A348" s="75" t="s">
        <v>63</v>
      </c>
      <c r="B348" s="73" t="s">
        <v>47</v>
      </c>
      <c r="C348" s="76">
        <f>'[2]LUONG T7'!L40</f>
        <v>0</v>
      </c>
      <c r="D348" s="77" t="s">
        <v>57</v>
      </c>
      <c r="E348" s="306" t="s">
        <v>64</v>
      </c>
      <c r="F348" s="306"/>
      <c r="G348" s="306"/>
      <c r="H348" s="73" t="s">
        <v>47</v>
      </c>
      <c r="I348" s="307">
        <f>$F$8/$L$1*C348</f>
        <v>0</v>
      </c>
      <c r="J348" s="307"/>
      <c r="K348" s="81" t="s">
        <v>53</v>
      </c>
      <c r="L348" s="82"/>
      <c r="M348" s="75" t="s">
        <v>63</v>
      </c>
      <c r="N348" s="73" t="s">
        <v>47</v>
      </c>
      <c r="O348" s="76">
        <f>'[2]LUONG T7'!L42</f>
        <v>0</v>
      </c>
      <c r="P348" s="77" t="s">
        <v>57</v>
      </c>
      <c r="Q348" s="306" t="s">
        <v>64</v>
      </c>
      <c r="R348" s="306"/>
      <c r="S348" s="306"/>
      <c r="T348" s="73" t="s">
        <v>47</v>
      </c>
      <c r="U348" s="307">
        <f>$F$8/$L$1*O348</f>
        <v>0</v>
      </c>
      <c r="V348" s="307"/>
      <c r="W348" s="81" t="s">
        <v>53</v>
      </c>
      <c r="X348" s="82"/>
    </row>
    <row r="349" spans="1:24" ht="18.75" customHeight="1">
      <c r="A349" s="75" t="s">
        <v>65</v>
      </c>
      <c r="B349" s="73" t="s">
        <v>47</v>
      </c>
      <c r="C349" s="76">
        <f>'[2]LUONG T7'!Q40</f>
        <v>0</v>
      </c>
      <c r="D349" s="77" t="s">
        <v>66</v>
      </c>
      <c r="E349" s="296" t="s">
        <v>67</v>
      </c>
      <c r="F349" s="296"/>
      <c r="G349" s="296"/>
      <c r="H349" s="73" t="s">
        <v>47</v>
      </c>
      <c r="I349" s="307">
        <f>'[2]LUONG T7'!Q41</f>
        <v>0</v>
      </c>
      <c r="J349" s="307"/>
      <c r="K349" s="81" t="s">
        <v>53</v>
      </c>
      <c r="L349" s="82">
        <f>F342*C349/L335/8*1.5</f>
        <v>0</v>
      </c>
      <c r="M349" s="75" t="s">
        <v>65</v>
      </c>
      <c r="N349" s="73" t="s">
        <v>47</v>
      </c>
      <c r="O349" s="76">
        <f>'[2]LUONG T7'!Q42</f>
        <v>0</v>
      </c>
      <c r="P349" s="77" t="s">
        <v>66</v>
      </c>
      <c r="Q349" s="296" t="s">
        <v>67</v>
      </c>
      <c r="R349" s="296"/>
      <c r="S349" s="296"/>
      <c r="T349" s="73" t="s">
        <v>47</v>
      </c>
      <c r="U349" s="307">
        <f>'[2]LUONG T7'!Q43</f>
        <v>0</v>
      </c>
      <c r="V349" s="307"/>
      <c r="W349" s="81" t="s">
        <v>53</v>
      </c>
      <c r="X349" s="82">
        <f>R342*O349/X335/8*1.5</f>
        <v>0</v>
      </c>
    </row>
    <row r="350" spans="1:24" ht="18.75" customHeight="1">
      <c r="A350" s="295" t="s">
        <v>68</v>
      </c>
      <c r="B350" s="296"/>
      <c r="C350" s="76"/>
      <c r="D350" s="77" t="s">
        <v>57</v>
      </c>
      <c r="E350" s="296" t="s">
        <v>69</v>
      </c>
      <c r="F350" s="296"/>
      <c r="G350" s="296"/>
      <c r="H350" s="83" t="s">
        <v>47</v>
      </c>
      <c r="I350" s="307"/>
      <c r="J350" s="307"/>
      <c r="K350" s="81" t="s">
        <v>53</v>
      </c>
      <c r="L350" s="82"/>
      <c r="M350" s="295" t="s">
        <v>68</v>
      </c>
      <c r="N350" s="296"/>
      <c r="O350" s="76"/>
      <c r="P350" s="77" t="s">
        <v>57</v>
      </c>
      <c r="Q350" s="296" t="s">
        <v>69</v>
      </c>
      <c r="R350" s="296"/>
      <c r="S350" s="296"/>
      <c r="T350" s="83" t="s">
        <v>47</v>
      </c>
      <c r="U350" s="307"/>
      <c r="V350" s="307"/>
      <c r="W350" s="81" t="s">
        <v>53</v>
      </c>
      <c r="X350" s="82"/>
    </row>
    <row r="351" spans="1:24" ht="18.75" customHeight="1">
      <c r="A351" s="75" t="s">
        <v>70</v>
      </c>
      <c r="B351" s="73" t="s">
        <v>47</v>
      </c>
      <c r="C351" s="76"/>
      <c r="D351" s="77" t="s">
        <v>57</v>
      </c>
      <c r="E351" s="296" t="s">
        <v>71</v>
      </c>
      <c r="F351" s="296"/>
      <c r="G351" s="296"/>
      <c r="H351" s="73" t="s">
        <v>47</v>
      </c>
      <c r="I351" s="307"/>
      <c r="J351" s="307"/>
      <c r="K351" s="81" t="s">
        <v>53</v>
      </c>
      <c r="L351" s="82"/>
      <c r="M351" s="75" t="s">
        <v>70</v>
      </c>
      <c r="N351" s="73" t="s">
        <v>47</v>
      </c>
      <c r="O351" s="76"/>
      <c r="P351" s="77" t="s">
        <v>57</v>
      </c>
      <c r="Q351" s="296" t="s">
        <v>71</v>
      </c>
      <c r="R351" s="296"/>
      <c r="S351" s="296"/>
      <c r="T351" s="73" t="s">
        <v>47</v>
      </c>
      <c r="U351" s="307"/>
      <c r="V351" s="307"/>
      <c r="W351" s="81" t="s">
        <v>53</v>
      </c>
      <c r="X351" s="82"/>
    </row>
    <row r="352" spans="1:24" ht="18.75" customHeight="1">
      <c r="A352" s="84" t="s">
        <v>72</v>
      </c>
      <c r="B352" s="73"/>
      <c r="C352" s="76">
        <f>'[2]LUONG T7'!M40</f>
        <v>0</v>
      </c>
      <c r="D352" s="77" t="s">
        <v>66</v>
      </c>
      <c r="E352" s="296" t="s">
        <v>73</v>
      </c>
      <c r="F352" s="296"/>
      <c r="G352" s="296"/>
      <c r="H352" s="73" t="s">
        <v>47</v>
      </c>
      <c r="I352" s="307">
        <f>$F$8*C352/8/$L$1</f>
        <v>0</v>
      </c>
      <c r="J352" s="307"/>
      <c r="K352" s="81" t="s">
        <v>53</v>
      </c>
      <c r="L352" s="82"/>
      <c r="M352" s="84" t="s">
        <v>72</v>
      </c>
      <c r="N352" s="73"/>
      <c r="O352" s="76">
        <f>'[2]LUONG T7'!M42</f>
        <v>0</v>
      </c>
      <c r="P352" s="77" t="s">
        <v>66</v>
      </c>
      <c r="Q352" s="296" t="s">
        <v>73</v>
      </c>
      <c r="R352" s="296"/>
      <c r="S352" s="296"/>
      <c r="T352" s="73" t="s">
        <v>47</v>
      </c>
      <c r="U352" s="307">
        <f>$F$8*O352/8/$L$1</f>
        <v>0</v>
      </c>
      <c r="V352" s="307"/>
      <c r="W352" s="81" t="s">
        <v>53</v>
      </c>
      <c r="X352" s="82"/>
    </row>
    <row r="353" spans="1:24" ht="18.75" customHeight="1">
      <c r="A353" s="75" t="s">
        <v>74</v>
      </c>
      <c r="B353" s="73" t="s">
        <v>47</v>
      </c>
      <c r="C353" s="76"/>
      <c r="D353" s="77" t="s">
        <v>66</v>
      </c>
      <c r="E353" s="296" t="s">
        <v>98</v>
      </c>
      <c r="F353" s="296"/>
      <c r="G353" s="296"/>
      <c r="H353" s="73" t="s">
        <v>47</v>
      </c>
      <c r="I353" s="309"/>
      <c r="J353" s="309"/>
      <c r="K353" s="81" t="s">
        <v>53</v>
      </c>
      <c r="L353" s="82"/>
      <c r="M353" s="75" t="s">
        <v>74</v>
      </c>
      <c r="N353" s="73" t="s">
        <v>47</v>
      </c>
      <c r="O353" s="76"/>
      <c r="P353" s="77" t="s">
        <v>66</v>
      </c>
      <c r="Q353" s="296" t="s">
        <v>98</v>
      </c>
      <c r="R353" s="296"/>
      <c r="S353" s="296"/>
      <c r="T353" s="73" t="s">
        <v>47</v>
      </c>
      <c r="U353" s="309"/>
      <c r="V353" s="309"/>
      <c r="W353" s="81" t="s">
        <v>53</v>
      </c>
      <c r="X353" s="82"/>
    </row>
    <row r="354" spans="1:24" ht="18.75" customHeight="1">
      <c r="A354" s="75" t="s">
        <v>76</v>
      </c>
      <c r="B354" s="73" t="s">
        <v>47</v>
      </c>
      <c r="C354" s="76"/>
      <c r="D354" s="77" t="s">
        <v>77</v>
      </c>
      <c r="E354" s="85" t="s">
        <v>78</v>
      </c>
      <c r="F354" s="85"/>
      <c r="G354" s="85"/>
      <c r="H354" s="73" t="s">
        <v>47</v>
      </c>
      <c r="I354" s="307"/>
      <c r="J354" s="307"/>
      <c r="K354" s="81" t="s">
        <v>53</v>
      </c>
      <c r="L354" s="82">
        <f>+IF(L345-I345&lt;0,0,L345-I345)+IF(L349-I349&lt;0,0,L349-I349)</f>
        <v>0</v>
      </c>
      <c r="M354" s="75" t="s">
        <v>76</v>
      </c>
      <c r="N354" s="73" t="s">
        <v>47</v>
      </c>
      <c r="O354" s="76"/>
      <c r="P354" s="77" t="s">
        <v>77</v>
      </c>
      <c r="Q354" s="85" t="s">
        <v>78</v>
      </c>
      <c r="R354" s="85"/>
      <c r="S354" s="85"/>
      <c r="T354" s="73" t="s">
        <v>47</v>
      </c>
      <c r="U354" s="307"/>
      <c r="V354" s="307"/>
      <c r="W354" s="81" t="s">
        <v>53</v>
      </c>
      <c r="X354" s="82">
        <f>+IF(X345-U345&lt;0,0,X345-U345)+IF(X349-U349&lt;0,0,X349-U349)</f>
        <v>0</v>
      </c>
    </row>
    <row r="355" spans="1:24" ht="18.75" customHeight="1">
      <c r="A355" s="86" t="s">
        <v>122</v>
      </c>
      <c r="B355" s="87"/>
      <c r="C355" s="76"/>
      <c r="D355" s="77" t="s">
        <v>57</v>
      </c>
      <c r="E355" s="296" t="s">
        <v>123</v>
      </c>
      <c r="F355" s="296"/>
      <c r="G355" s="296"/>
      <c r="H355" s="73" t="s">
        <v>47</v>
      </c>
      <c r="I355" s="307"/>
      <c r="J355" s="307"/>
      <c r="K355" s="81" t="s">
        <v>53</v>
      </c>
      <c r="L355" s="82"/>
      <c r="M355" s="86" t="s">
        <v>122</v>
      </c>
      <c r="N355" s="87"/>
      <c r="O355" s="76"/>
      <c r="P355" s="77" t="s">
        <v>57</v>
      </c>
      <c r="Q355" s="296" t="s">
        <v>123</v>
      </c>
      <c r="R355" s="296"/>
      <c r="S355" s="296"/>
      <c r="T355" s="73" t="s">
        <v>47</v>
      </c>
      <c r="U355" s="307"/>
      <c r="V355" s="307"/>
      <c r="W355" s="81" t="s">
        <v>53</v>
      </c>
      <c r="X355" s="82"/>
    </row>
    <row r="356" spans="1:24" ht="18.75" customHeight="1">
      <c r="A356" s="314" t="s">
        <v>81</v>
      </c>
      <c r="B356" s="308"/>
      <c r="C356" s="76"/>
      <c r="D356" s="77"/>
      <c r="E356" s="78"/>
      <c r="F356" s="78"/>
      <c r="G356" s="78"/>
      <c r="H356" s="73" t="s">
        <v>47</v>
      </c>
      <c r="I356" s="307">
        <f>'[2]LUONG T7'!P41</f>
        <v>0</v>
      </c>
      <c r="J356" s="307"/>
      <c r="K356" s="81" t="s">
        <v>53</v>
      </c>
      <c r="L356" s="82"/>
      <c r="M356" s="314" t="s">
        <v>81</v>
      </c>
      <c r="N356" s="308"/>
      <c r="O356" s="76"/>
      <c r="P356" s="77"/>
      <c r="Q356" s="78"/>
      <c r="R356" s="78"/>
      <c r="S356" s="78"/>
      <c r="T356" s="73" t="s">
        <v>47</v>
      </c>
      <c r="U356" s="307">
        <f>'[2]LUONG T7'!P43</f>
        <v>0</v>
      </c>
      <c r="V356" s="307"/>
      <c r="W356" s="81" t="s">
        <v>53</v>
      </c>
      <c r="X356" s="82"/>
    </row>
    <row r="357" spans="1:24" ht="18.75" customHeight="1">
      <c r="A357" s="75" t="s">
        <v>82</v>
      </c>
      <c r="B357" s="73" t="s">
        <v>47</v>
      </c>
      <c r="C357" s="76"/>
      <c r="D357" s="77"/>
      <c r="E357" s="78" t="s">
        <v>83</v>
      </c>
      <c r="F357" s="78"/>
      <c r="G357" s="78"/>
      <c r="H357" s="73" t="s">
        <v>47</v>
      </c>
      <c r="I357" s="307">
        <f>L354</f>
        <v>0</v>
      </c>
      <c r="J357" s="307"/>
      <c r="K357" s="81" t="s">
        <v>53</v>
      </c>
      <c r="L357" s="82"/>
      <c r="M357" s="75" t="s">
        <v>82</v>
      </c>
      <c r="N357" s="73" t="s">
        <v>47</v>
      </c>
      <c r="O357" s="76"/>
      <c r="P357" s="77"/>
      <c r="Q357" s="78" t="s">
        <v>83</v>
      </c>
      <c r="R357" s="78"/>
      <c r="S357" s="78"/>
      <c r="T357" s="73" t="s">
        <v>47</v>
      </c>
      <c r="U357" s="307">
        <f>X354</f>
        <v>0</v>
      </c>
      <c r="V357" s="307"/>
      <c r="W357" s="81" t="s">
        <v>53</v>
      </c>
      <c r="X357" s="82"/>
    </row>
    <row r="358" spans="1:24" ht="18.75" customHeight="1">
      <c r="A358" s="311" t="s">
        <v>84</v>
      </c>
      <c r="B358" s="312"/>
      <c r="C358" s="312"/>
      <c r="D358" s="312"/>
      <c r="E358" s="312"/>
      <c r="F358" s="312"/>
      <c r="G358" s="73" t="s">
        <v>47</v>
      </c>
      <c r="H358" s="313">
        <f>I345+I346+I347+I348+I349+I352+I356+I357</f>
        <v>0</v>
      </c>
      <c r="I358" s="313"/>
      <c r="J358" s="313"/>
      <c r="K358" s="81" t="s">
        <v>53</v>
      </c>
      <c r="M358" s="311" t="s">
        <v>84</v>
      </c>
      <c r="N358" s="312"/>
      <c r="O358" s="312"/>
      <c r="P358" s="312"/>
      <c r="Q358" s="312"/>
      <c r="R358" s="312"/>
      <c r="S358" s="73" t="s">
        <v>47</v>
      </c>
      <c r="T358" s="313">
        <f>U345+U346+U347+U348+U349+U352+U356+U357</f>
        <v>0</v>
      </c>
      <c r="U358" s="313"/>
      <c r="V358" s="313"/>
      <c r="W358" s="81" t="s">
        <v>53</v>
      </c>
    </row>
    <row r="359" spans="1:24" ht="18.75" customHeight="1">
      <c r="A359" s="88"/>
      <c r="B359" s="89"/>
      <c r="C359" s="89"/>
      <c r="D359" s="89"/>
      <c r="E359" s="89"/>
      <c r="F359" s="89"/>
      <c r="G359" s="89"/>
      <c r="H359" s="89"/>
      <c r="I359" s="89"/>
      <c r="J359" s="89"/>
      <c r="K359" s="90"/>
      <c r="M359" s="88"/>
      <c r="N359" s="89"/>
      <c r="O359" s="89"/>
      <c r="P359" s="89"/>
      <c r="Q359" s="89"/>
      <c r="R359" s="89"/>
      <c r="S359" s="89"/>
      <c r="T359" s="89"/>
      <c r="U359" s="89"/>
      <c r="V359" s="89"/>
      <c r="W359" s="90"/>
    </row>
    <row r="360" spans="1:24" ht="18.75" customHeight="1">
      <c r="A360" s="321" t="s">
        <v>85</v>
      </c>
      <c r="B360" s="322"/>
      <c r="C360" s="322"/>
      <c r="D360" s="322"/>
      <c r="E360" s="322"/>
      <c r="F360" s="322"/>
      <c r="G360" s="73"/>
      <c r="H360" s="73"/>
      <c r="I360" s="73"/>
      <c r="J360" s="73"/>
      <c r="K360" s="81"/>
      <c r="M360" s="321" t="s">
        <v>85</v>
      </c>
      <c r="N360" s="322"/>
      <c r="O360" s="322"/>
      <c r="P360" s="322"/>
      <c r="Q360" s="322"/>
      <c r="R360" s="322"/>
      <c r="S360" s="73"/>
      <c r="T360" s="73"/>
      <c r="U360" s="73"/>
      <c r="V360" s="73"/>
      <c r="W360" s="81"/>
    </row>
    <row r="361" spans="1:24" ht="18.75" customHeight="1">
      <c r="A361" s="315" t="s">
        <v>86</v>
      </c>
      <c r="B361" s="316"/>
      <c r="C361" s="316"/>
      <c r="D361" s="316"/>
      <c r="E361" s="316"/>
      <c r="F361" s="316"/>
      <c r="G361" s="73" t="s">
        <v>47</v>
      </c>
      <c r="H361" s="323">
        <f>IF(($L$1-(C345+C346+C347+C348))&gt;12,0,F342*8%)</f>
        <v>0</v>
      </c>
      <c r="I361" s="323"/>
      <c r="J361" s="323"/>
      <c r="K361" s="81" t="s">
        <v>53</v>
      </c>
      <c r="M361" s="315" t="s">
        <v>86</v>
      </c>
      <c r="N361" s="316"/>
      <c r="O361" s="316"/>
      <c r="P361" s="316"/>
      <c r="Q361" s="316"/>
      <c r="R361" s="316"/>
      <c r="S361" s="73" t="s">
        <v>47</v>
      </c>
      <c r="T361" s="323">
        <f>IF(($L$1-(O345+O346+O347+O348))&gt;12,0,R342*8%)</f>
        <v>0</v>
      </c>
      <c r="U361" s="323"/>
      <c r="V361" s="323"/>
      <c r="W361" s="81" t="s">
        <v>53</v>
      </c>
    </row>
    <row r="362" spans="1:24" ht="18.75" customHeight="1">
      <c r="A362" s="315" t="s">
        <v>87</v>
      </c>
      <c r="B362" s="316"/>
      <c r="C362" s="316"/>
      <c r="D362" s="316"/>
      <c r="E362" s="316"/>
      <c r="F362" s="316"/>
      <c r="G362" s="73" t="s">
        <v>47</v>
      </c>
      <c r="H362" s="317">
        <f>IF(($L$1-(C345+C346+C347+C348))&gt;12,0,F342*1.5%)</f>
        <v>0</v>
      </c>
      <c r="I362" s="317"/>
      <c r="J362" s="317"/>
      <c r="K362" s="81" t="s">
        <v>53</v>
      </c>
      <c r="M362" s="315" t="s">
        <v>87</v>
      </c>
      <c r="N362" s="316"/>
      <c r="O362" s="316"/>
      <c r="P362" s="316"/>
      <c r="Q362" s="316"/>
      <c r="R362" s="316"/>
      <c r="S362" s="73" t="s">
        <v>47</v>
      </c>
      <c r="T362" s="317">
        <f>IF(($L$1-(O345+O346+O347+O348))&gt;12,0,R342*1.5%)</f>
        <v>0</v>
      </c>
      <c r="U362" s="317"/>
      <c r="V362" s="317"/>
      <c r="W362" s="81" t="s">
        <v>53</v>
      </c>
    </row>
    <row r="363" spans="1:24" ht="18.75" customHeight="1">
      <c r="A363" s="315" t="s">
        <v>88</v>
      </c>
      <c r="B363" s="316"/>
      <c r="C363" s="316"/>
      <c r="D363" s="316"/>
      <c r="E363" s="316"/>
      <c r="F363" s="316"/>
      <c r="G363" s="73" t="s">
        <v>47</v>
      </c>
      <c r="H363" s="317">
        <f>IF(($L$1-(C345+C346+C347+C348))&gt;12,0,F342*1%)</f>
        <v>0</v>
      </c>
      <c r="I363" s="317"/>
      <c r="J363" s="317"/>
      <c r="K363" s="81" t="s">
        <v>53</v>
      </c>
      <c r="M363" s="315" t="s">
        <v>88</v>
      </c>
      <c r="N363" s="316"/>
      <c r="O363" s="316"/>
      <c r="P363" s="316"/>
      <c r="Q363" s="316"/>
      <c r="R363" s="316"/>
      <c r="S363" s="73" t="s">
        <v>47</v>
      </c>
      <c r="T363" s="317">
        <f>IF(($L$1-(O345+O346+O347+O348))&gt;12,0,R342*1%)</f>
        <v>0</v>
      </c>
      <c r="U363" s="317"/>
      <c r="V363" s="317"/>
      <c r="W363" s="81" t="s">
        <v>53</v>
      </c>
    </row>
    <row r="364" spans="1:24" ht="18.75" customHeight="1">
      <c r="A364" s="315" t="s">
        <v>89</v>
      </c>
      <c r="B364" s="316"/>
      <c r="C364" s="316"/>
      <c r="D364" s="316"/>
      <c r="E364" s="316"/>
      <c r="F364" s="316"/>
      <c r="G364" s="73" t="s">
        <v>47</v>
      </c>
      <c r="H364" s="317">
        <v>0</v>
      </c>
      <c r="I364" s="317"/>
      <c r="J364" s="317"/>
      <c r="K364" s="81" t="s">
        <v>53</v>
      </c>
      <c r="M364" s="315" t="s">
        <v>89</v>
      </c>
      <c r="N364" s="316"/>
      <c r="O364" s="316"/>
      <c r="P364" s="316"/>
      <c r="Q364" s="316"/>
      <c r="R364" s="316"/>
      <c r="S364" s="73" t="s">
        <v>47</v>
      </c>
      <c r="T364" s="317">
        <v>0</v>
      </c>
      <c r="U364" s="317"/>
      <c r="V364" s="317"/>
      <c r="W364" s="81" t="s">
        <v>53</v>
      </c>
    </row>
    <row r="365" spans="1:24" ht="18.75" customHeight="1">
      <c r="A365" s="318" t="s">
        <v>90</v>
      </c>
      <c r="B365" s="319"/>
      <c r="C365" s="319"/>
      <c r="D365" s="319"/>
      <c r="E365" s="319"/>
      <c r="F365" s="319"/>
      <c r="G365" s="73" t="s">
        <v>47</v>
      </c>
      <c r="H365" s="320">
        <f>SUM(H361:J364)</f>
        <v>0</v>
      </c>
      <c r="I365" s="320"/>
      <c r="J365" s="320"/>
      <c r="K365" s="81" t="s">
        <v>53</v>
      </c>
      <c r="M365" s="318" t="s">
        <v>90</v>
      </c>
      <c r="N365" s="319"/>
      <c r="O365" s="319"/>
      <c r="P365" s="319"/>
      <c r="Q365" s="319"/>
      <c r="R365" s="319"/>
      <c r="S365" s="73" t="s">
        <v>47</v>
      </c>
      <c r="T365" s="320">
        <f>SUM(T361:V364)</f>
        <v>0</v>
      </c>
      <c r="U365" s="320"/>
      <c r="V365" s="320"/>
      <c r="W365" s="81" t="s">
        <v>53</v>
      </c>
    </row>
    <row r="366" spans="1:24" ht="18.75" customHeight="1">
      <c r="A366" s="315" t="s">
        <v>91</v>
      </c>
      <c r="B366" s="316"/>
      <c r="C366" s="316"/>
      <c r="D366" s="316"/>
      <c r="E366" s="316"/>
      <c r="F366" s="316"/>
      <c r="G366" s="73" t="s">
        <v>47</v>
      </c>
      <c r="H366" s="327">
        <f>ROUND(H358-H365,-2)</f>
        <v>0</v>
      </c>
      <c r="I366" s="327"/>
      <c r="J366" s="327"/>
      <c r="K366" s="81" t="s">
        <v>53</v>
      </c>
      <c r="M366" s="315" t="s">
        <v>91</v>
      </c>
      <c r="N366" s="316"/>
      <c r="O366" s="316"/>
      <c r="P366" s="316"/>
      <c r="Q366" s="316"/>
      <c r="R366" s="316"/>
      <c r="S366" s="73" t="s">
        <v>47</v>
      </c>
      <c r="T366" s="327">
        <f>ROUND(T358-T365,-2)</f>
        <v>0</v>
      </c>
      <c r="U366" s="327"/>
      <c r="V366" s="327"/>
      <c r="W366" s="81" t="s">
        <v>53</v>
      </c>
    </row>
    <row r="367" spans="1:24" ht="18.75" customHeight="1">
      <c r="A367" s="91"/>
      <c r="B367" s="92"/>
      <c r="C367" s="92"/>
      <c r="D367" s="92"/>
      <c r="E367" s="92"/>
      <c r="F367" s="92"/>
      <c r="G367" s="92"/>
      <c r="H367" s="92"/>
      <c r="I367" s="92"/>
      <c r="J367" s="92"/>
      <c r="K367" s="93"/>
      <c r="M367" s="91"/>
      <c r="N367" s="92"/>
      <c r="O367" s="92"/>
      <c r="P367" s="92"/>
      <c r="Q367" s="92"/>
      <c r="R367" s="92"/>
      <c r="S367" s="92"/>
      <c r="T367" s="92"/>
      <c r="U367" s="92"/>
      <c r="V367" s="92"/>
      <c r="W367" s="93"/>
    </row>
    <row r="368" spans="1:24" ht="18.75" customHeight="1">
      <c r="A368" s="94"/>
      <c r="B368" s="73"/>
      <c r="C368" s="73"/>
      <c r="D368" s="73"/>
      <c r="E368" s="73"/>
      <c r="F368" s="73"/>
      <c r="G368" s="73"/>
      <c r="H368" s="73"/>
      <c r="I368" s="324" t="s">
        <v>92</v>
      </c>
      <c r="J368" s="324"/>
      <c r="K368" s="328"/>
      <c r="M368" s="94"/>
      <c r="N368" s="73"/>
      <c r="O368" s="73"/>
      <c r="P368" s="73"/>
      <c r="Q368" s="73"/>
      <c r="R368" s="73"/>
      <c r="S368" s="73"/>
      <c r="T368" s="73"/>
      <c r="U368" s="324" t="s">
        <v>92</v>
      </c>
      <c r="V368" s="324"/>
      <c r="W368" s="328"/>
    </row>
    <row r="369" spans="1:24" ht="18.75" customHeight="1">
      <c r="A369" s="94"/>
      <c r="B369" s="324"/>
      <c r="C369" s="324"/>
      <c r="D369" s="324"/>
      <c r="E369" s="324"/>
      <c r="F369" s="73"/>
      <c r="G369" s="73"/>
      <c r="H369" s="73"/>
      <c r="I369" s="73"/>
      <c r="J369" s="73"/>
      <c r="K369" s="74"/>
      <c r="M369" s="94"/>
      <c r="N369" s="324"/>
      <c r="O369" s="324"/>
      <c r="P369" s="324"/>
      <c r="Q369" s="324"/>
      <c r="R369" s="73"/>
      <c r="S369" s="73"/>
      <c r="T369" s="73"/>
      <c r="U369" s="73"/>
      <c r="V369" s="73"/>
      <c r="W369" s="74"/>
    </row>
    <row r="370" spans="1:24" ht="18.75" customHeight="1" thickBot="1">
      <c r="A370" s="95"/>
      <c r="B370" s="96"/>
      <c r="C370" s="96"/>
      <c r="D370" s="96"/>
      <c r="E370" s="96"/>
      <c r="F370" s="96"/>
      <c r="G370" s="96"/>
      <c r="H370" s="96"/>
      <c r="I370" s="325" t="s">
        <v>93</v>
      </c>
      <c r="J370" s="325"/>
      <c r="K370" s="326"/>
      <c r="M370" s="95"/>
      <c r="N370" s="96"/>
      <c r="O370" s="96"/>
      <c r="P370" s="96"/>
      <c r="Q370" s="96"/>
      <c r="R370" s="96"/>
      <c r="S370" s="96"/>
      <c r="T370" s="96"/>
      <c r="U370" s="325" t="s">
        <v>93</v>
      </c>
      <c r="V370" s="325"/>
      <c r="W370" s="326"/>
    </row>
    <row r="372" spans="1:24" ht="18.75" customHeight="1" thickTop="1">
      <c r="A372" s="300" t="s">
        <v>41</v>
      </c>
      <c r="B372" s="301"/>
      <c r="C372" s="301"/>
      <c r="D372" s="301"/>
      <c r="E372" s="301"/>
      <c r="F372" s="301"/>
      <c r="G372" s="301"/>
      <c r="H372" s="301"/>
      <c r="I372" s="301"/>
      <c r="J372" s="301"/>
      <c r="K372" s="302"/>
      <c r="L372" s="69">
        <v>25</v>
      </c>
      <c r="M372" s="300" t="s">
        <v>41</v>
      </c>
      <c r="N372" s="301"/>
      <c r="O372" s="301"/>
      <c r="P372" s="301"/>
      <c r="Q372" s="301"/>
      <c r="R372" s="301"/>
      <c r="S372" s="301"/>
      <c r="T372" s="301"/>
      <c r="U372" s="301"/>
      <c r="V372" s="301"/>
      <c r="W372" s="302"/>
      <c r="X372" s="69">
        <v>25</v>
      </c>
    </row>
    <row r="373" spans="1:24" ht="18.75" customHeight="1">
      <c r="A373" s="70" t="s">
        <v>128</v>
      </c>
      <c r="B373" s="71"/>
      <c r="C373" s="71"/>
      <c r="D373" s="71"/>
      <c r="E373" s="71"/>
      <c r="F373" s="71"/>
      <c r="G373" s="71"/>
      <c r="H373" s="71"/>
      <c r="I373" s="71"/>
      <c r="J373" s="71"/>
      <c r="K373" s="72"/>
      <c r="M373" s="70" t="s">
        <v>129</v>
      </c>
      <c r="N373" s="71"/>
      <c r="O373" s="71"/>
      <c r="P373" s="71"/>
      <c r="Q373" s="71"/>
      <c r="R373" s="71"/>
      <c r="S373" s="71"/>
      <c r="T373" s="71"/>
      <c r="U373" s="71"/>
      <c r="V373" s="71"/>
      <c r="W373" s="72"/>
    </row>
    <row r="374" spans="1:24" ht="18.75" customHeight="1">
      <c r="A374" s="303" t="s">
        <v>45</v>
      </c>
      <c r="B374" s="304"/>
      <c r="C374" s="304"/>
      <c r="D374" s="304"/>
      <c r="E374" s="304"/>
      <c r="F374" s="304"/>
      <c r="G374" s="304"/>
      <c r="H374" s="304"/>
      <c r="I374" s="304"/>
      <c r="J374" s="304"/>
      <c r="K374" s="305"/>
      <c r="M374" s="303" t="s">
        <v>45</v>
      </c>
      <c r="N374" s="304"/>
      <c r="O374" s="304"/>
      <c r="P374" s="304"/>
      <c r="Q374" s="304"/>
      <c r="R374" s="304"/>
      <c r="S374" s="304"/>
      <c r="T374" s="304"/>
      <c r="U374" s="304"/>
      <c r="V374" s="304"/>
      <c r="W374" s="305"/>
    </row>
    <row r="375" spans="1:24" ht="18.75" customHeight="1">
      <c r="A375" s="295" t="s">
        <v>46</v>
      </c>
      <c r="B375" s="296"/>
      <c r="C375" s="296"/>
      <c r="D375" s="296"/>
      <c r="E375" s="73" t="s">
        <v>47</v>
      </c>
      <c r="F375" s="297">
        <f>'[2]Bang TH nop'!B36</f>
        <v>0</v>
      </c>
      <c r="G375" s="296"/>
      <c r="H375" s="296"/>
      <c r="I375" s="296"/>
      <c r="J375" s="296"/>
      <c r="K375" s="299"/>
      <c r="M375" s="295" t="s">
        <v>46</v>
      </c>
      <c r="N375" s="296"/>
      <c r="O375" s="296"/>
      <c r="P375" s="296"/>
      <c r="Q375" s="73" t="s">
        <v>47</v>
      </c>
      <c r="R375" s="297">
        <f>'[2]Bang TH nop'!B38</f>
        <v>0</v>
      </c>
      <c r="S375" s="296"/>
      <c r="T375" s="296"/>
      <c r="U375" s="296"/>
      <c r="V375" s="296"/>
      <c r="W375" s="299"/>
    </row>
    <row r="376" spans="1:24" ht="18.75" customHeight="1">
      <c r="A376" s="295" t="s">
        <v>49</v>
      </c>
      <c r="B376" s="296"/>
      <c r="C376" s="296"/>
      <c r="D376" s="296"/>
      <c r="E376" s="73" t="s">
        <v>47</v>
      </c>
      <c r="F376" s="297">
        <f>'[2]Bang TH nop'!C36</f>
        <v>0</v>
      </c>
      <c r="G376" s="297"/>
      <c r="H376" s="297"/>
      <c r="I376" s="297"/>
      <c r="J376" s="297"/>
      <c r="K376" s="298"/>
      <c r="M376" s="295" t="s">
        <v>49</v>
      </c>
      <c r="N376" s="296"/>
      <c r="O376" s="296"/>
      <c r="P376" s="296"/>
      <c r="Q376" s="73" t="s">
        <v>47</v>
      </c>
      <c r="R376" s="297">
        <f>'[2]Bang TH nop'!C38</f>
        <v>0</v>
      </c>
      <c r="S376" s="297"/>
      <c r="T376" s="297"/>
      <c r="U376" s="297"/>
      <c r="V376" s="297"/>
      <c r="W376" s="298"/>
    </row>
    <row r="377" spans="1:24" ht="18.75" customHeight="1">
      <c r="A377" s="295" t="s">
        <v>50</v>
      </c>
      <c r="B377" s="296"/>
      <c r="C377" s="296"/>
      <c r="D377" s="296"/>
      <c r="E377" s="73" t="s">
        <v>47</v>
      </c>
      <c r="F377" s="296" t="s">
        <v>121</v>
      </c>
      <c r="G377" s="296"/>
      <c r="H377" s="296"/>
      <c r="I377" s="296"/>
      <c r="J377" s="296"/>
      <c r="K377" s="299"/>
      <c r="M377" s="295" t="s">
        <v>50</v>
      </c>
      <c r="N377" s="296"/>
      <c r="O377" s="296"/>
      <c r="P377" s="296"/>
      <c r="Q377" s="73" t="s">
        <v>47</v>
      </c>
      <c r="R377" s="296" t="s">
        <v>121</v>
      </c>
      <c r="S377" s="296"/>
      <c r="T377" s="296"/>
      <c r="U377" s="296"/>
      <c r="V377" s="296"/>
      <c r="W377" s="299"/>
    </row>
    <row r="378" spans="1:24" ht="18.75" customHeight="1">
      <c r="A378" s="303" t="s">
        <v>51</v>
      </c>
      <c r="B378" s="304"/>
      <c r="C378" s="304"/>
      <c r="D378" s="304"/>
      <c r="E378" s="304"/>
      <c r="F378" s="304"/>
      <c r="G378" s="304"/>
      <c r="H378" s="304"/>
      <c r="I378" s="304"/>
      <c r="J378" s="304"/>
      <c r="K378" s="305"/>
      <c r="M378" s="303" t="s">
        <v>51</v>
      </c>
      <c r="N378" s="304"/>
      <c r="O378" s="304"/>
      <c r="P378" s="304"/>
      <c r="Q378" s="304"/>
      <c r="R378" s="304"/>
      <c r="S378" s="304"/>
      <c r="T378" s="304"/>
      <c r="U378" s="304"/>
      <c r="V378" s="304"/>
      <c r="W378" s="305"/>
    </row>
    <row r="379" spans="1:24" ht="18.75" customHeight="1">
      <c r="A379" s="295" t="s">
        <v>52</v>
      </c>
      <c r="B379" s="296"/>
      <c r="C379" s="296"/>
      <c r="D379" s="296"/>
      <c r="E379" s="73" t="s">
        <v>47</v>
      </c>
      <c r="F379" s="310">
        <v>2915400</v>
      </c>
      <c r="G379" s="310"/>
      <c r="H379" s="310"/>
      <c r="I379" s="310"/>
      <c r="J379" s="73" t="s">
        <v>53</v>
      </c>
      <c r="K379" s="74"/>
      <c r="M379" s="295" t="s">
        <v>52</v>
      </c>
      <c r="N379" s="296"/>
      <c r="O379" s="296"/>
      <c r="P379" s="296"/>
      <c r="Q379" s="73" t="s">
        <v>47</v>
      </c>
      <c r="R379" s="310">
        <v>2915400</v>
      </c>
      <c r="S379" s="310"/>
      <c r="T379" s="310"/>
      <c r="U379" s="310"/>
      <c r="V379" s="73" t="s">
        <v>53</v>
      </c>
      <c r="W379" s="74"/>
    </row>
    <row r="380" spans="1:24" ht="18.75" customHeight="1">
      <c r="A380" s="75" t="s">
        <v>54</v>
      </c>
      <c r="B380" s="73"/>
      <c r="C380" s="76"/>
      <c r="D380" s="77"/>
      <c r="E380" s="78"/>
      <c r="F380" s="78"/>
      <c r="G380" s="78"/>
      <c r="H380" s="73"/>
      <c r="I380" s="79">
        <f>'[2]LUONG T7'!F45</f>
        <v>0</v>
      </c>
      <c r="J380" s="80"/>
      <c r="K380" s="81"/>
      <c r="M380" s="75" t="s">
        <v>54</v>
      </c>
      <c r="N380" s="73"/>
      <c r="O380" s="76"/>
      <c r="P380" s="77"/>
      <c r="Q380" s="78"/>
      <c r="R380" s="78"/>
      <c r="S380" s="78"/>
      <c r="T380" s="73"/>
      <c r="U380" s="79">
        <f>'[2]LUONG T7'!F47</f>
        <v>0</v>
      </c>
      <c r="V380" s="80"/>
      <c r="W380" s="81"/>
    </row>
    <row r="381" spans="1:24" ht="18.75" customHeight="1">
      <c r="A381" s="75" t="s">
        <v>55</v>
      </c>
      <c r="B381" s="73"/>
      <c r="C381" s="76"/>
      <c r="D381" s="77"/>
      <c r="E381" s="78"/>
      <c r="F381" s="78"/>
      <c r="G381" s="78"/>
      <c r="H381" s="73"/>
      <c r="I381" s="79" t="e">
        <f>I382/C382/8</f>
        <v>#DIV/0!</v>
      </c>
      <c r="J381" s="80"/>
      <c r="K381" s="81"/>
      <c r="M381" s="75" t="s">
        <v>55</v>
      </c>
      <c r="N381" s="73"/>
      <c r="O381" s="76"/>
      <c r="P381" s="77"/>
      <c r="Q381" s="78"/>
      <c r="R381" s="78"/>
      <c r="S381" s="78"/>
      <c r="T381" s="73"/>
      <c r="U381" s="79" t="e">
        <f>U382/O382/8</f>
        <v>#DIV/0!</v>
      </c>
      <c r="V381" s="80"/>
      <c r="W381" s="81"/>
    </row>
    <row r="382" spans="1:24" ht="18.75" customHeight="1">
      <c r="A382" s="75" t="s">
        <v>56</v>
      </c>
      <c r="B382" s="73" t="s">
        <v>47</v>
      </c>
      <c r="C382" s="76">
        <f>'[2]LUONG T7'!I44</f>
        <v>0</v>
      </c>
      <c r="D382" s="77" t="s">
        <v>57</v>
      </c>
      <c r="E382" s="308" t="s">
        <v>58</v>
      </c>
      <c r="F382" s="308"/>
      <c r="G382" s="308"/>
      <c r="H382" s="73" t="s">
        <v>47</v>
      </c>
      <c r="I382" s="309">
        <f>'[2]LUONG T7'!I45</f>
        <v>0</v>
      </c>
      <c r="J382" s="309"/>
      <c r="K382" s="81" t="s">
        <v>53</v>
      </c>
      <c r="L382" s="82">
        <f>F379/L372*C382</f>
        <v>0</v>
      </c>
      <c r="M382" s="75" t="s">
        <v>56</v>
      </c>
      <c r="N382" s="73" t="s">
        <v>47</v>
      </c>
      <c r="O382" s="76">
        <f>'[2]LUONG T7'!I46</f>
        <v>0</v>
      </c>
      <c r="P382" s="77" t="s">
        <v>57</v>
      </c>
      <c r="Q382" s="308" t="s">
        <v>58</v>
      </c>
      <c r="R382" s="308"/>
      <c r="S382" s="308"/>
      <c r="T382" s="73" t="s">
        <v>47</v>
      </c>
      <c r="U382" s="309">
        <f>'[2]LUONG T7'!I47</f>
        <v>0</v>
      </c>
      <c r="V382" s="309"/>
      <c r="W382" s="81" t="s">
        <v>53</v>
      </c>
      <c r="X382" s="82">
        <f>R379/X372*O382</f>
        <v>0</v>
      </c>
    </row>
    <row r="383" spans="1:24" ht="18.75" customHeight="1">
      <c r="A383" s="75" t="s">
        <v>59</v>
      </c>
      <c r="B383" s="73" t="s">
        <v>47</v>
      </c>
      <c r="C383" s="76">
        <f>'[2]LUONG T7'!J44</f>
        <v>0</v>
      </c>
      <c r="D383" s="77" t="s">
        <v>57</v>
      </c>
      <c r="E383" s="296" t="s">
        <v>60</v>
      </c>
      <c r="F383" s="296"/>
      <c r="G383" s="296"/>
      <c r="H383" s="73" t="s">
        <v>47</v>
      </c>
      <c r="I383" s="307">
        <f>$F$8/$L$1*C383</f>
        <v>0</v>
      </c>
      <c r="J383" s="307"/>
      <c r="K383" s="81" t="s">
        <v>53</v>
      </c>
      <c r="L383" s="82"/>
      <c r="M383" s="75" t="s">
        <v>59</v>
      </c>
      <c r="N383" s="73" t="s">
        <v>47</v>
      </c>
      <c r="O383" s="76">
        <f>'[2]LUONG T7'!J46</f>
        <v>0</v>
      </c>
      <c r="P383" s="77" t="s">
        <v>57</v>
      </c>
      <c r="Q383" s="296" t="s">
        <v>60</v>
      </c>
      <c r="R383" s="296"/>
      <c r="S383" s="296"/>
      <c r="T383" s="73" t="s">
        <v>47</v>
      </c>
      <c r="U383" s="307">
        <f>$F$8/$L$1*O383</f>
        <v>0</v>
      </c>
      <c r="V383" s="307"/>
      <c r="W383" s="81" t="s">
        <v>53</v>
      </c>
      <c r="X383" s="82"/>
    </row>
    <row r="384" spans="1:24" ht="18.75" customHeight="1">
      <c r="A384" s="75" t="s">
        <v>61</v>
      </c>
      <c r="B384" s="73" t="s">
        <v>47</v>
      </c>
      <c r="C384" s="76">
        <f>'[2]LUONG T7'!K44</f>
        <v>0</v>
      </c>
      <c r="D384" s="77" t="s">
        <v>57</v>
      </c>
      <c r="E384" s="306" t="s">
        <v>62</v>
      </c>
      <c r="F384" s="306"/>
      <c r="G384" s="306"/>
      <c r="H384" s="73" t="s">
        <v>47</v>
      </c>
      <c r="I384" s="307">
        <f>$F$8/$L$1*C384</f>
        <v>0</v>
      </c>
      <c r="J384" s="307"/>
      <c r="K384" s="81" t="s">
        <v>53</v>
      </c>
      <c r="L384" s="82"/>
      <c r="M384" s="75" t="s">
        <v>61</v>
      </c>
      <c r="N384" s="73" t="s">
        <v>47</v>
      </c>
      <c r="O384" s="76">
        <f>'[2]LUONG T7'!K46</f>
        <v>0</v>
      </c>
      <c r="P384" s="77" t="s">
        <v>57</v>
      </c>
      <c r="Q384" s="306" t="s">
        <v>62</v>
      </c>
      <c r="R384" s="306"/>
      <c r="S384" s="306"/>
      <c r="T384" s="73" t="s">
        <v>47</v>
      </c>
      <c r="U384" s="307">
        <f>$F$8/$L$1*O384</f>
        <v>0</v>
      </c>
      <c r="V384" s="307"/>
      <c r="W384" s="81" t="s">
        <v>53</v>
      </c>
      <c r="X384" s="82"/>
    </row>
    <row r="385" spans="1:24" ht="18.75" customHeight="1">
      <c r="A385" s="75" t="s">
        <v>63</v>
      </c>
      <c r="B385" s="73" t="s">
        <v>47</v>
      </c>
      <c r="C385" s="76">
        <f>'[2]LUONG T7'!L44</f>
        <v>0</v>
      </c>
      <c r="D385" s="77" t="s">
        <v>57</v>
      </c>
      <c r="E385" s="306" t="s">
        <v>64</v>
      </c>
      <c r="F385" s="306"/>
      <c r="G385" s="306"/>
      <c r="H385" s="73" t="s">
        <v>47</v>
      </c>
      <c r="I385" s="307">
        <f>$F$8/$L$1*C385</f>
        <v>0</v>
      </c>
      <c r="J385" s="307"/>
      <c r="K385" s="81" t="s">
        <v>53</v>
      </c>
      <c r="L385" s="82"/>
      <c r="M385" s="75" t="s">
        <v>63</v>
      </c>
      <c r="N385" s="73" t="s">
        <v>47</v>
      </c>
      <c r="O385" s="76">
        <f>'[2]LUONG T7'!L46</f>
        <v>0</v>
      </c>
      <c r="P385" s="77" t="s">
        <v>57</v>
      </c>
      <c r="Q385" s="306" t="s">
        <v>64</v>
      </c>
      <c r="R385" s="306"/>
      <c r="S385" s="306"/>
      <c r="T385" s="73" t="s">
        <v>47</v>
      </c>
      <c r="U385" s="307">
        <f>$F$8/$L$1*O385</f>
        <v>0</v>
      </c>
      <c r="V385" s="307"/>
      <c r="W385" s="81" t="s">
        <v>53</v>
      </c>
      <c r="X385" s="82"/>
    </row>
    <row r="386" spans="1:24" ht="18.75" customHeight="1">
      <c r="A386" s="75" t="s">
        <v>65</v>
      </c>
      <c r="B386" s="73" t="s">
        <v>47</v>
      </c>
      <c r="C386" s="76">
        <f>'[2]LUONG T7'!Q44</f>
        <v>0</v>
      </c>
      <c r="D386" s="77" t="s">
        <v>66</v>
      </c>
      <c r="E386" s="296" t="s">
        <v>67</v>
      </c>
      <c r="F386" s="296"/>
      <c r="G386" s="296"/>
      <c r="H386" s="73" t="s">
        <v>47</v>
      </c>
      <c r="I386" s="307">
        <f>'[2]LUONG T7'!Q45</f>
        <v>0</v>
      </c>
      <c r="J386" s="307"/>
      <c r="K386" s="81" t="s">
        <v>53</v>
      </c>
      <c r="L386" s="82">
        <f>F379*C386/L372/8*1.5</f>
        <v>0</v>
      </c>
      <c r="M386" s="75" t="s">
        <v>65</v>
      </c>
      <c r="N386" s="73" t="s">
        <v>47</v>
      </c>
      <c r="O386" s="76">
        <f>'[2]LUONG T7'!Q46</f>
        <v>0</v>
      </c>
      <c r="P386" s="77" t="s">
        <v>66</v>
      </c>
      <c r="Q386" s="296" t="s">
        <v>67</v>
      </c>
      <c r="R386" s="296"/>
      <c r="S386" s="296"/>
      <c r="T386" s="73" t="s">
        <v>47</v>
      </c>
      <c r="U386" s="307">
        <f>'[2]LUONG T7'!Q47</f>
        <v>0</v>
      </c>
      <c r="V386" s="307"/>
      <c r="W386" s="81" t="s">
        <v>53</v>
      </c>
      <c r="X386" s="82">
        <f>R379*O386/X372/8*1.5</f>
        <v>0</v>
      </c>
    </row>
    <row r="387" spans="1:24" ht="18.75" customHeight="1">
      <c r="A387" s="295" t="s">
        <v>68</v>
      </c>
      <c r="B387" s="296"/>
      <c r="C387" s="76"/>
      <c r="D387" s="77" t="s">
        <v>57</v>
      </c>
      <c r="E387" s="296" t="s">
        <v>69</v>
      </c>
      <c r="F387" s="296"/>
      <c r="G387" s="296"/>
      <c r="H387" s="83" t="s">
        <v>47</v>
      </c>
      <c r="I387" s="307"/>
      <c r="J387" s="307"/>
      <c r="K387" s="81" t="s">
        <v>53</v>
      </c>
      <c r="L387" s="82"/>
      <c r="M387" s="295" t="s">
        <v>68</v>
      </c>
      <c r="N387" s="296"/>
      <c r="O387" s="76"/>
      <c r="P387" s="77" t="s">
        <v>57</v>
      </c>
      <c r="Q387" s="296" t="s">
        <v>69</v>
      </c>
      <c r="R387" s="296"/>
      <c r="S387" s="296"/>
      <c r="T387" s="83" t="s">
        <v>47</v>
      </c>
      <c r="U387" s="307"/>
      <c r="V387" s="307"/>
      <c r="W387" s="81" t="s">
        <v>53</v>
      </c>
      <c r="X387" s="82"/>
    </row>
    <row r="388" spans="1:24" ht="18.75" customHeight="1">
      <c r="A388" s="75" t="s">
        <v>70</v>
      </c>
      <c r="B388" s="73" t="s">
        <v>47</v>
      </c>
      <c r="C388" s="76"/>
      <c r="D388" s="77" t="s">
        <v>57</v>
      </c>
      <c r="E388" s="296" t="s">
        <v>71</v>
      </c>
      <c r="F388" s="296"/>
      <c r="G388" s="296"/>
      <c r="H388" s="73" t="s">
        <v>47</v>
      </c>
      <c r="I388" s="307"/>
      <c r="J388" s="307"/>
      <c r="K388" s="81" t="s">
        <v>53</v>
      </c>
      <c r="L388" s="82"/>
      <c r="M388" s="75" t="s">
        <v>70</v>
      </c>
      <c r="N388" s="73" t="s">
        <v>47</v>
      </c>
      <c r="O388" s="76"/>
      <c r="P388" s="77" t="s">
        <v>57</v>
      </c>
      <c r="Q388" s="296" t="s">
        <v>71</v>
      </c>
      <c r="R388" s="296"/>
      <c r="S388" s="296"/>
      <c r="T388" s="73" t="s">
        <v>47</v>
      </c>
      <c r="U388" s="307"/>
      <c r="V388" s="307"/>
      <c r="W388" s="81" t="s">
        <v>53</v>
      </c>
      <c r="X388" s="82"/>
    </row>
    <row r="389" spans="1:24" ht="18.75" customHeight="1">
      <c r="A389" s="84" t="s">
        <v>72</v>
      </c>
      <c r="B389" s="73"/>
      <c r="C389" s="76">
        <f>'[2]LUONG T7'!M44</f>
        <v>0</v>
      </c>
      <c r="D389" s="77" t="s">
        <v>66</v>
      </c>
      <c r="E389" s="296" t="s">
        <v>73</v>
      </c>
      <c r="F389" s="296"/>
      <c r="G389" s="296"/>
      <c r="H389" s="73" t="s">
        <v>47</v>
      </c>
      <c r="I389" s="307">
        <f>$F$8*C389/8/$L$1</f>
        <v>0</v>
      </c>
      <c r="J389" s="307"/>
      <c r="K389" s="81" t="s">
        <v>53</v>
      </c>
      <c r="L389" s="82"/>
      <c r="M389" s="84" t="s">
        <v>72</v>
      </c>
      <c r="N389" s="73"/>
      <c r="O389" s="76">
        <f>'[2]LUONG T7'!M46</f>
        <v>0</v>
      </c>
      <c r="P389" s="77" t="s">
        <v>66</v>
      </c>
      <c r="Q389" s="296" t="s">
        <v>73</v>
      </c>
      <c r="R389" s="296"/>
      <c r="S389" s="296"/>
      <c r="T389" s="73" t="s">
        <v>47</v>
      </c>
      <c r="U389" s="307">
        <f>$F$8*O389/8/$L$1</f>
        <v>0</v>
      </c>
      <c r="V389" s="307"/>
      <c r="W389" s="81" t="s">
        <v>53</v>
      </c>
      <c r="X389" s="82"/>
    </row>
    <row r="390" spans="1:24" ht="18.75" customHeight="1">
      <c r="A390" s="75" t="s">
        <v>74</v>
      </c>
      <c r="B390" s="73" t="s">
        <v>47</v>
      </c>
      <c r="C390" s="76"/>
      <c r="D390" s="77" t="s">
        <v>66</v>
      </c>
      <c r="E390" s="296" t="s">
        <v>98</v>
      </c>
      <c r="F390" s="296"/>
      <c r="G390" s="296"/>
      <c r="H390" s="73" t="s">
        <v>47</v>
      </c>
      <c r="I390" s="309"/>
      <c r="J390" s="309"/>
      <c r="K390" s="81" t="s">
        <v>53</v>
      </c>
      <c r="L390" s="82"/>
      <c r="M390" s="75" t="s">
        <v>74</v>
      </c>
      <c r="N390" s="73" t="s">
        <v>47</v>
      </c>
      <c r="O390" s="76"/>
      <c r="P390" s="77" t="s">
        <v>66</v>
      </c>
      <c r="Q390" s="296" t="s">
        <v>98</v>
      </c>
      <c r="R390" s="296"/>
      <c r="S390" s="296"/>
      <c r="T390" s="73" t="s">
        <v>47</v>
      </c>
      <c r="U390" s="309"/>
      <c r="V390" s="309"/>
      <c r="W390" s="81" t="s">
        <v>53</v>
      </c>
      <c r="X390" s="82"/>
    </row>
    <row r="391" spans="1:24" ht="18.75" customHeight="1">
      <c r="A391" s="75" t="s">
        <v>76</v>
      </c>
      <c r="B391" s="73" t="s">
        <v>47</v>
      </c>
      <c r="C391" s="76"/>
      <c r="D391" s="77" t="s">
        <v>77</v>
      </c>
      <c r="E391" s="85" t="s">
        <v>78</v>
      </c>
      <c r="F391" s="85"/>
      <c r="G391" s="85"/>
      <c r="H391" s="73" t="s">
        <v>47</v>
      </c>
      <c r="I391" s="307"/>
      <c r="J391" s="307"/>
      <c r="K391" s="81" t="s">
        <v>53</v>
      </c>
      <c r="L391" s="82">
        <f>+IF(L382-I382&lt;0,0,L382-I382)+IF(L386-I386&lt;0,0,L386-I386)</f>
        <v>0</v>
      </c>
      <c r="M391" s="75" t="s">
        <v>76</v>
      </c>
      <c r="N391" s="73" t="s">
        <v>47</v>
      </c>
      <c r="O391" s="76"/>
      <c r="P391" s="77" t="s">
        <v>77</v>
      </c>
      <c r="Q391" s="85" t="s">
        <v>78</v>
      </c>
      <c r="R391" s="85"/>
      <c r="S391" s="85"/>
      <c r="T391" s="73" t="s">
        <v>47</v>
      </c>
      <c r="U391" s="307"/>
      <c r="V391" s="307"/>
      <c r="W391" s="81" t="s">
        <v>53</v>
      </c>
      <c r="X391" s="82">
        <f>+IF(X382-U382&lt;0,0,X382-U382)+IF(X386-U386&lt;0,0,X386-U386)</f>
        <v>0</v>
      </c>
    </row>
    <row r="392" spans="1:24" ht="18.75" customHeight="1">
      <c r="A392" s="86" t="s">
        <v>122</v>
      </c>
      <c r="B392" s="87"/>
      <c r="C392" s="76"/>
      <c r="D392" s="77" t="s">
        <v>57</v>
      </c>
      <c r="E392" s="296" t="s">
        <v>123</v>
      </c>
      <c r="F392" s="296"/>
      <c r="G392" s="296"/>
      <c r="H392" s="73" t="s">
        <v>47</v>
      </c>
      <c r="I392" s="307"/>
      <c r="J392" s="307"/>
      <c r="K392" s="81" t="s">
        <v>53</v>
      </c>
      <c r="L392" s="82"/>
      <c r="M392" s="86" t="s">
        <v>122</v>
      </c>
      <c r="N392" s="87"/>
      <c r="O392" s="76"/>
      <c r="P392" s="77" t="s">
        <v>57</v>
      </c>
      <c r="Q392" s="296" t="s">
        <v>123</v>
      </c>
      <c r="R392" s="296"/>
      <c r="S392" s="296"/>
      <c r="T392" s="73" t="s">
        <v>47</v>
      </c>
      <c r="U392" s="307"/>
      <c r="V392" s="307"/>
      <c r="W392" s="81" t="s">
        <v>53</v>
      </c>
      <c r="X392" s="82"/>
    </row>
    <row r="393" spans="1:24" ht="18.75" customHeight="1">
      <c r="A393" s="314" t="s">
        <v>81</v>
      </c>
      <c r="B393" s="308"/>
      <c r="C393" s="76"/>
      <c r="D393" s="77"/>
      <c r="E393" s="78"/>
      <c r="F393" s="78"/>
      <c r="G393" s="78"/>
      <c r="H393" s="73" t="s">
        <v>47</v>
      </c>
      <c r="I393" s="307">
        <f>'[2]LUONG T7'!P45</f>
        <v>0</v>
      </c>
      <c r="J393" s="307"/>
      <c r="K393" s="81" t="s">
        <v>53</v>
      </c>
      <c r="L393" s="82"/>
      <c r="M393" s="314" t="s">
        <v>81</v>
      </c>
      <c r="N393" s="308"/>
      <c r="O393" s="76"/>
      <c r="P393" s="77"/>
      <c r="Q393" s="78"/>
      <c r="R393" s="78"/>
      <c r="S393" s="78"/>
      <c r="T393" s="73" t="s">
        <v>47</v>
      </c>
      <c r="U393" s="307">
        <f>'[2]LUONG T7'!P47</f>
        <v>0</v>
      </c>
      <c r="V393" s="307"/>
      <c r="W393" s="81" t="s">
        <v>53</v>
      </c>
      <c r="X393" s="82"/>
    </row>
    <row r="394" spans="1:24" ht="18.75" customHeight="1">
      <c r="A394" s="75" t="s">
        <v>82</v>
      </c>
      <c r="B394" s="73" t="s">
        <v>47</v>
      </c>
      <c r="C394" s="76"/>
      <c r="D394" s="77"/>
      <c r="E394" s="78" t="s">
        <v>83</v>
      </c>
      <c r="F394" s="78"/>
      <c r="G394" s="78"/>
      <c r="H394" s="73" t="s">
        <v>47</v>
      </c>
      <c r="I394" s="307">
        <f>L391</f>
        <v>0</v>
      </c>
      <c r="J394" s="307"/>
      <c r="K394" s="81" t="s">
        <v>53</v>
      </c>
      <c r="L394" s="82"/>
      <c r="M394" s="75" t="s">
        <v>82</v>
      </c>
      <c r="N394" s="73" t="s">
        <v>47</v>
      </c>
      <c r="O394" s="76"/>
      <c r="P394" s="77"/>
      <c r="Q394" s="78" t="s">
        <v>83</v>
      </c>
      <c r="R394" s="78"/>
      <c r="S394" s="78"/>
      <c r="T394" s="73" t="s">
        <v>47</v>
      </c>
      <c r="U394" s="307">
        <f>X391</f>
        <v>0</v>
      </c>
      <c r="V394" s="307"/>
      <c r="W394" s="81" t="s">
        <v>53</v>
      </c>
      <c r="X394" s="82"/>
    </row>
    <row r="395" spans="1:24" ht="18.75" customHeight="1">
      <c r="A395" s="311" t="s">
        <v>84</v>
      </c>
      <c r="B395" s="312"/>
      <c r="C395" s="312"/>
      <c r="D395" s="312"/>
      <c r="E395" s="312"/>
      <c r="F395" s="312"/>
      <c r="G395" s="73" t="s">
        <v>47</v>
      </c>
      <c r="H395" s="313">
        <f>I382+I383+I384+I385+I386+I389+I393+I394</f>
        <v>0</v>
      </c>
      <c r="I395" s="313"/>
      <c r="J395" s="313"/>
      <c r="K395" s="81" t="s">
        <v>53</v>
      </c>
      <c r="M395" s="311" t="s">
        <v>84</v>
      </c>
      <c r="N395" s="312"/>
      <c r="O395" s="312"/>
      <c r="P395" s="312"/>
      <c r="Q395" s="312"/>
      <c r="R395" s="312"/>
      <c r="S395" s="73" t="s">
        <v>47</v>
      </c>
      <c r="T395" s="313">
        <f>U382+U383+U384+U385+U386+U389+U393+U394</f>
        <v>0</v>
      </c>
      <c r="U395" s="313"/>
      <c r="V395" s="313"/>
      <c r="W395" s="81" t="s">
        <v>53</v>
      </c>
    </row>
    <row r="396" spans="1:24" ht="18.75" customHeight="1">
      <c r="A396" s="88"/>
      <c r="B396" s="89"/>
      <c r="C396" s="89"/>
      <c r="D396" s="89"/>
      <c r="E396" s="89"/>
      <c r="F396" s="89"/>
      <c r="G396" s="89"/>
      <c r="H396" s="89"/>
      <c r="I396" s="89"/>
      <c r="J396" s="89"/>
      <c r="K396" s="90"/>
      <c r="M396" s="88"/>
      <c r="N396" s="89"/>
      <c r="O396" s="89"/>
      <c r="P396" s="89"/>
      <c r="Q396" s="89"/>
      <c r="R396" s="89"/>
      <c r="S396" s="89"/>
      <c r="T396" s="89"/>
      <c r="U396" s="89"/>
      <c r="V396" s="89"/>
      <c r="W396" s="90"/>
    </row>
    <row r="397" spans="1:24" ht="18.75" customHeight="1">
      <c r="A397" s="321" t="s">
        <v>85</v>
      </c>
      <c r="B397" s="322"/>
      <c r="C397" s="322"/>
      <c r="D397" s="322"/>
      <c r="E397" s="322"/>
      <c r="F397" s="322"/>
      <c r="G397" s="73"/>
      <c r="H397" s="73"/>
      <c r="I397" s="73"/>
      <c r="J397" s="73"/>
      <c r="K397" s="81"/>
      <c r="M397" s="321" t="s">
        <v>85</v>
      </c>
      <c r="N397" s="322"/>
      <c r="O397" s="322"/>
      <c r="P397" s="322"/>
      <c r="Q397" s="322"/>
      <c r="R397" s="322"/>
      <c r="S397" s="73"/>
      <c r="T397" s="73"/>
      <c r="U397" s="73"/>
      <c r="V397" s="73"/>
      <c r="W397" s="81"/>
    </row>
    <row r="398" spans="1:24" ht="18.75" customHeight="1">
      <c r="A398" s="315" t="s">
        <v>86</v>
      </c>
      <c r="B398" s="316"/>
      <c r="C398" s="316"/>
      <c r="D398" s="316"/>
      <c r="E398" s="316"/>
      <c r="F398" s="316"/>
      <c r="G398" s="73" t="s">
        <v>47</v>
      </c>
      <c r="H398" s="323">
        <f>IF(($L$1-(C382+C383+C384+C385))&gt;12,0,F379*8%)</f>
        <v>0</v>
      </c>
      <c r="I398" s="323"/>
      <c r="J398" s="323"/>
      <c r="K398" s="81" t="s">
        <v>53</v>
      </c>
      <c r="M398" s="315" t="s">
        <v>86</v>
      </c>
      <c r="N398" s="316"/>
      <c r="O398" s="316"/>
      <c r="P398" s="316"/>
      <c r="Q398" s="316"/>
      <c r="R398" s="316"/>
      <c r="S398" s="73" t="s">
        <v>47</v>
      </c>
      <c r="T398" s="323">
        <f>IF(($L$1-(O382+O383+O384+O385))&gt;12,0,R379*8%)</f>
        <v>0</v>
      </c>
      <c r="U398" s="323"/>
      <c r="V398" s="323"/>
      <c r="W398" s="81" t="s">
        <v>53</v>
      </c>
    </row>
    <row r="399" spans="1:24" ht="18.75" customHeight="1">
      <c r="A399" s="315" t="s">
        <v>87</v>
      </c>
      <c r="B399" s="316"/>
      <c r="C399" s="316"/>
      <c r="D399" s="316"/>
      <c r="E399" s="316"/>
      <c r="F399" s="316"/>
      <c r="G399" s="73" t="s">
        <v>47</v>
      </c>
      <c r="H399" s="317">
        <f>IF(($L$1-(C382+C383+C384+C385))&gt;12,0,F379*1.5%)</f>
        <v>0</v>
      </c>
      <c r="I399" s="317"/>
      <c r="J399" s="317"/>
      <c r="K399" s="81" t="s">
        <v>53</v>
      </c>
      <c r="M399" s="315" t="s">
        <v>87</v>
      </c>
      <c r="N399" s="316"/>
      <c r="O399" s="316"/>
      <c r="P399" s="316"/>
      <c r="Q399" s="316"/>
      <c r="R399" s="316"/>
      <c r="S399" s="73" t="s">
        <v>47</v>
      </c>
      <c r="T399" s="317">
        <f>IF(($L$1-(O382+O383+O384+O385))&gt;12,0,R379*1.5%)</f>
        <v>0</v>
      </c>
      <c r="U399" s="317"/>
      <c r="V399" s="317"/>
      <c r="W399" s="81" t="s">
        <v>53</v>
      </c>
    </row>
    <row r="400" spans="1:24" ht="18.75" customHeight="1">
      <c r="A400" s="315" t="s">
        <v>88</v>
      </c>
      <c r="B400" s="316"/>
      <c r="C400" s="316"/>
      <c r="D400" s="316"/>
      <c r="E400" s="316"/>
      <c r="F400" s="316"/>
      <c r="G400" s="73" t="s">
        <v>47</v>
      </c>
      <c r="H400" s="317">
        <f>IF(($L$1-(C382+C383+C384+C385))&gt;12,0,F379*1%)</f>
        <v>0</v>
      </c>
      <c r="I400" s="317"/>
      <c r="J400" s="317"/>
      <c r="K400" s="81" t="s">
        <v>53</v>
      </c>
      <c r="M400" s="315" t="s">
        <v>88</v>
      </c>
      <c r="N400" s="316"/>
      <c r="O400" s="316"/>
      <c r="P400" s="316"/>
      <c r="Q400" s="316"/>
      <c r="R400" s="316"/>
      <c r="S400" s="73" t="s">
        <v>47</v>
      </c>
      <c r="T400" s="317">
        <f>IF(($L$1-(O382+O383+O384+O385))&gt;12,0,R379*1%)</f>
        <v>0</v>
      </c>
      <c r="U400" s="317"/>
      <c r="V400" s="317"/>
      <c r="W400" s="81" t="s">
        <v>53</v>
      </c>
    </row>
    <row r="401" spans="1:24" ht="18.75" customHeight="1">
      <c r="A401" s="315" t="s">
        <v>89</v>
      </c>
      <c r="B401" s="316"/>
      <c r="C401" s="316"/>
      <c r="D401" s="316"/>
      <c r="E401" s="316"/>
      <c r="F401" s="316"/>
      <c r="G401" s="73" t="s">
        <v>47</v>
      </c>
      <c r="H401" s="317">
        <v>0</v>
      </c>
      <c r="I401" s="317"/>
      <c r="J401" s="317"/>
      <c r="K401" s="81" t="s">
        <v>53</v>
      </c>
      <c r="M401" s="315" t="s">
        <v>89</v>
      </c>
      <c r="N401" s="316"/>
      <c r="O401" s="316"/>
      <c r="P401" s="316"/>
      <c r="Q401" s="316"/>
      <c r="R401" s="316"/>
      <c r="S401" s="73" t="s">
        <v>47</v>
      </c>
      <c r="T401" s="317">
        <v>0</v>
      </c>
      <c r="U401" s="317"/>
      <c r="V401" s="317"/>
      <c r="W401" s="81" t="s">
        <v>53</v>
      </c>
    </row>
    <row r="402" spans="1:24" ht="18.75" customHeight="1">
      <c r="A402" s="318" t="s">
        <v>90</v>
      </c>
      <c r="B402" s="319"/>
      <c r="C402" s="319"/>
      <c r="D402" s="319"/>
      <c r="E402" s="319"/>
      <c r="F402" s="319"/>
      <c r="G402" s="73" t="s">
        <v>47</v>
      </c>
      <c r="H402" s="320">
        <f>SUM(H398:J401)</f>
        <v>0</v>
      </c>
      <c r="I402" s="320"/>
      <c r="J402" s="320"/>
      <c r="K402" s="81" t="s">
        <v>53</v>
      </c>
      <c r="M402" s="318" t="s">
        <v>90</v>
      </c>
      <c r="N402" s="319"/>
      <c r="O402" s="319"/>
      <c r="P402" s="319"/>
      <c r="Q402" s="319"/>
      <c r="R402" s="319"/>
      <c r="S402" s="73" t="s">
        <v>47</v>
      </c>
      <c r="T402" s="320">
        <f>SUM(T398:V401)</f>
        <v>0</v>
      </c>
      <c r="U402" s="320"/>
      <c r="V402" s="320"/>
      <c r="W402" s="81" t="s">
        <v>53</v>
      </c>
    </row>
    <row r="403" spans="1:24" ht="18.75" customHeight="1">
      <c r="A403" s="315" t="s">
        <v>91</v>
      </c>
      <c r="B403" s="316"/>
      <c r="C403" s="316"/>
      <c r="D403" s="316"/>
      <c r="E403" s="316"/>
      <c r="F403" s="316"/>
      <c r="G403" s="73" t="s">
        <v>47</v>
      </c>
      <c r="H403" s="327">
        <f>ROUND(H395-H402,-2)</f>
        <v>0</v>
      </c>
      <c r="I403" s="327"/>
      <c r="J403" s="327"/>
      <c r="K403" s="81" t="s">
        <v>53</v>
      </c>
      <c r="M403" s="315" t="s">
        <v>91</v>
      </c>
      <c r="N403" s="316"/>
      <c r="O403" s="316"/>
      <c r="P403" s="316"/>
      <c r="Q403" s="316"/>
      <c r="R403" s="316"/>
      <c r="S403" s="73" t="s">
        <v>47</v>
      </c>
      <c r="T403" s="327">
        <f>ROUND(T395-T402,-2)</f>
        <v>0</v>
      </c>
      <c r="U403" s="327"/>
      <c r="V403" s="327"/>
      <c r="W403" s="81" t="s">
        <v>53</v>
      </c>
    </row>
    <row r="404" spans="1:24" ht="18.75" customHeight="1">
      <c r="A404" s="91"/>
      <c r="B404" s="92"/>
      <c r="C404" s="92"/>
      <c r="D404" s="92"/>
      <c r="E404" s="92"/>
      <c r="F404" s="92"/>
      <c r="G404" s="92"/>
      <c r="H404" s="92"/>
      <c r="I404" s="92"/>
      <c r="J404" s="92"/>
      <c r="K404" s="93"/>
      <c r="M404" s="91"/>
      <c r="N404" s="92"/>
      <c r="O404" s="92"/>
      <c r="P404" s="92"/>
      <c r="Q404" s="92"/>
      <c r="R404" s="92"/>
      <c r="S404" s="92"/>
      <c r="T404" s="92"/>
      <c r="U404" s="92"/>
      <c r="V404" s="92"/>
      <c r="W404" s="93"/>
    </row>
    <row r="405" spans="1:24" ht="18.75" customHeight="1">
      <c r="A405" s="94"/>
      <c r="B405" s="73"/>
      <c r="C405" s="73"/>
      <c r="D405" s="73"/>
      <c r="E405" s="73"/>
      <c r="F405" s="73"/>
      <c r="G405" s="73"/>
      <c r="H405" s="73"/>
      <c r="I405" s="324" t="s">
        <v>92</v>
      </c>
      <c r="J405" s="324"/>
      <c r="K405" s="328"/>
      <c r="M405" s="94"/>
      <c r="N405" s="73"/>
      <c r="O405" s="73"/>
      <c r="P405" s="73"/>
      <c r="Q405" s="73"/>
      <c r="R405" s="73"/>
      <c r="S405" s="73"/>
      <c r="T405" s="73"/>
      <c r="U405" s="324" t="s">
        <v>92</v>
      </c>
      <c r="V405" s="324"/>
      <c r="W405" s="328"/>
    </row>
    <row r="406" spans="1:24" ht="18.75" customHeight="1">
      <c r="A406" s="94"/>
      <c r="B406" s="324"/>
      <c r="C406" s="324"/>
      <c r="D406" s="324"/>
      <c r="E406" s="324"/>
      <c r="F406" s="73"/>
      <c r="G406" s="73"/>
      <c r="H406" s="73"/>
      <c r="I406" s="73"/>
      <c r="J406" s="73"/>
      <c r="K406" s="74"/>
      <c r="M406" s="94"/>
      <c r="N406" s="324"/>
      <c r="O406" s="324"/>
      <c r="P406" s="324"/>
      <c r="Q406" s="324"/>
      <c r="R406" s="73"/>
      <c r="S406" s="73"/>
      <c r="T406" s="73"/>
      <c r="U406" s="73"/>
      <c r="V406" s="73"/>
      <c r="W406" s="74"/>
    </row>
    <row r="407" spans="1:24" ht="18.75" customHeight="1" thickBot="1">
      <c r="A407" s="95"/>
      <c r="B407" s="96"/>
      <c r="C407" s="96"/>
      <c r="D407" s="96"/>
      <c r="E407" s="96"/>
      <c r="F407" s="96"/>
      <c r="G407" s="96"/>
      <c r="H407" s="96"/>
      <c r="I407" s="325" t="s">
        <v>93</v>
      </c>
      <c r="J407" s="325"/>
      <c r="K407" s="326"/>
      <c r="M407" s="95"/>
      <c r="N407" s="96"/>
      <c r="O407" s="96"/>
      <c r="P407" s="96"/>
      <c r="Q407" s="96"/>
      <c r="R407" s="96"/>
      <c r="S407" s="96"/>
      <c r="T407" s="96"/>
      <c r="U407" s="325" t="s">
        <v>93</v>
      </c>
      <c r="V407" s="325"/>
      <c r="W407" s="326"/>
    </row>
    <row r="408" spans="1:24" ht="18.75" customHeight="1" thickTop="1" thickBot="1">
      <c r="A408" s="94"/>
      <c r="B408" s="73"/>
      <c r="C408" s="73"/>
      <c r="D408" s="73"/>
      <c r="E408" s="73"/>
      <c r="F408" s="73"/>
      <c r="G408" s="73"/>
      <c r="H408" s="73"/>
      <c r="I408" s="97"/>
      <c r="J408" s="97"/>
      <c r="K408" s="97"/>
      <c r="M408" s="94"/>
      <c r="N408" s="73"/>
      <c r="O408" s="73"/>
      <c r="P408" s="73"/>
      <c r="Q408" s="73"/>
      <c r="R408" s="73"/>
      <c r="S408" s="73"/>
      <c r="T408" s="73"/>
      <c r="U408" s="97"/>
      <c r="V408" s="97"/>
      <c r="W408" s="97"/>
    </row>
    <row r="409" spans="1:24" ht="18.75" customHeight="1" thickTop="1">
      <c r="A409" s="300" t="s">
        <v>41</v>
      </c>
      <c r="B409" s="301"/>
      <c r="C409" s="301"/>
      <c r="D409" s="301"/>
      <c r="E409" s="301"/>
      <c r="F409" s="301"/>
      <c r="G409" s="301"/>
      <c r="H409" s="301"/>
      <c r="I409" s="301"/>
      <c r="J409" s="301"/>
      <c r="K409" s="302"/>
      <c r="L409" s="69">
        <v>25</v>
      </c>
      <c r="M409" s="300" t="s">
        <v>41</v>
      </c>
      <c r="N409" s="301"/>
      <c r="O409" s="301"/>
      <c r="P409" s="301"/>
      <c r="Q409" s="301"/>
      <c r="R409" s="301"/>
      <c r="S409" s="301"/>
      <c r="T409" s="301"/>
      <c r="U409" s="301"/>
      <c r="V409" s="301"/>
      <c r="W409" s="302"/>
      <c r="X409" s="69">
        <v>25</v>
      </c>
    </row>
    <row r="410" spans="1:24" ht="18.75" customHeight="1">
      <c r="A410" s="70" t="s">
        <v>130</v>
      </c>
      <c r="B410" s="71"/>
      <c r="C410" s="71"/>
      <c r="D410" s="71"/>
      <c r="E410" s="71"/>
      <c r="F410" s="71"/>
      <c r="G410" s="71"/>
      <c r="H410" s="71"/>
      <c r="I410" s="71"/>
      <c r="J410" s="71"/>
      <c r="K410" s="72"/>
      <c r="M410" s="70" t="s">
        <v>131</v>
      </c>
      <c r="N410" s="71"/>
      <c r="O410" s="71"/>
      <c r="P410" s="71"/>
      <c r="Q410" s="71"/>
      <c r="R410" s="71"/>
      <c r="S410" s="71"/>
      <c r="T410" s="71"/>
      <c r="U410" s="71"/>
      <c r="V410" s="71"/>
      <c r="W410" s="72"/>
    </row>
    <row r="411" spans="1:24" ht="18.75" customHeight="1">
      <c r="A411" s="303" t="s">
        <v>45</v>
      </c>
      <c r="B411" s="304"/>
      <c r="C411" s="304"/>
      <c r="D411" s="304"/>
      <c r="E411" s="304"/>
      <c r="F411" s="304"/>
      <c r="G411" s="304"/>
      <c r="H411" s="304"/>
      <c r="I411" s="304"/>
      <c r="J411" s="304"/>
      <c r="K411" s="305"/>
      <c r="M411" s="303" t="s">
        <v>45</v>
      </c>
      <c r="N411" s="304"/>
      <c r="O411" s="304"/>
      <c r="P411" s="304"/>
      <c r="Q411" s="304"/>
      <c r="R411" s="304"/>
      <c r="S411" s="304"/>
      <c r="T411" s="304"/>
      <c r="U411" s="304"/>
      <c r="V411" s="304"/>
      <c r="W411" s="305"/>
    </row>
    <row r="412" spans="1:24" ht="18.75" customHeight="1">
      <c r="A412" s="295" t="s">
        <v>46</v>
      </c>
      <c r="B412" s="296"/>
      <c r="C412" s="296"/>
      <c r="D412" s="296"/>
      <c r="E412" s="73" t="s">
        <v>47</v>
      </c>
      <c r="F412" s="297">
        <f>'[2]Bang TH nop'!B40</f>
        <v>0</v>
      </c>
      <c r="G412" s="296"/>
      <c r="H412" s="296"/>
      <c r="I412" s="296"/>
      <c r="J412" s="296"/>
      <c r="K412" s="299"/>
      <c r="M412" s="295" t="s">
        <v>46</v>
      </c>
      <c r="N412" s="296"/>
      <c r="O412" s="296"/>
      <c r="P412" s="296"/>
      <c r="Q412" s="73" t="s">
        <v>47</v>
      </c>
      <c r="R412" s="297">
        <f>'[2]Bang TH nop'!B42</f>
        <v>0</v>
      </c>
      <c r="S412" s="296"/>
      <c r="T412" s="296"/>
      <c r="U412" s="296"/>
      <c r="V412" s="296"/>
      <c r="W412" s="299"/>
    </row>
    <row r="413" spans="1:24" ht="18.75" customHeight="1">
      <c r="A413" s="295" t="s">
        <v>49</v>
      </c>
      <c r="B413" s="296"/>
      <c r="C413" s="296"/>
      <c r="D413" s="296"/>
      <c r="E413" s="73" t="s">
        <v>47</v>
      </c>
      <c r="F413" s="297">
        <f>'[2]Bang TH nop'!C40</f>
        <v>0</v>
      </c>
      <c r="G413" s="297"/>
      <c r="H413" s="297"/>
      <c r="I413" s="297"/>
      <c r="J413" s="297"/>
      <c r="K413" s="298"/>
      <c r="M413" s="295" t="s">
        <v>49</v>
      </c>
      <c r="N413" s="296"/>
      <c r="O413" s="296"/>
      <c r="P413" s="296"/>
      <c r="Q413" s="73" t="s">
        <v>47</v>
      </c>
      <c r="R413" s="297">
        <f>'[2]Bang TH nop'!C42</f>
        <v>0</v>
      </c>
      <c r="S413" s="297"/>
      <c r="T413" s="297"/>
      <c r="U413" s="297"/>
      <c r="V413" s="297"/>
      <c r="W413" s="298"/>
    </row>
    <row r="414" spans="1:24" ht="18.75" customHeight="1">
      <c r="A414" s="295" t="s">
        <v>50</v>
      </c>
      <c r="B414" s="296"/>
      <c r="C414" s="296"/>
      <c r="D414" s="296"/>
      <c r="E414" s="73" t="s">
        <v>47</v>
      </c>
      <c r="F414" s="296" t="s">
        <v>121</v>
      </c>
      <c r="G414" s="296"/>
      <c r="H414" s="296"/>
      <c r="I414" s="296"/>
      <c r="J414" s="296"/>
      <c r="K414" s="299"/>
      <c r="M414" s="295" t="s">
        <v>50</v>
      </c>
      <c r="N414" s="296"/>
      <c r="O414" s="296"/>
      <c r="P414" s="296"/>
      <c r="Q414" s="73" t="s">
        <v>47</v>
      </c>
      <c r="R414" s="296" t="s">
        <v>121</v>
      </c>
      <c r="S414" s="296"/>
      <c r="T414" s="296"/>
      <c r="U414" s="296"/>
      <c r="V414" s="296"/>
      <c r="W414" s="299"/>
    </row>
    <row r="415" spans="1:24" ht="18.75" customHeight="1">
      <c r="A415" s="303" t="s">
        <v>51</v>
      </c>
      <c r="B415" s="304"/>
      <c r="C415" s="304"/>
      <c r="D415" s="304"/>
      <c r="E415" s="304"/>
      <c r="F415" s="304"/>
      <c r="G415" s="304"/>
      <c r="H415" s="304"/>
      <c r="I415" s="304"/>
      <c r="J415" s="304"/>
      <c r="K415" s="305"/>
      <c r="M415" s="303" t="s">
        <v>51</v>
      </c>
      <c r="N415" s="304"/>
      <c r="O415" s="304"/>
      <c r="P415" s="304"/>
      <c r="Q415" s="304"/>
      <c r="R415" s="304"/>
      <c r="S415" s="304"/>
      <c r="T415" s="304"/>
      <c r="U415" s="304"/>
      <c r="V415" s="304"/>
      <c r="W415" s="305"/>
    </row>
    <row r="416" spans="1:24" ht="18.75" customHeight="1">
      <c r="A416" s="295" t="s">
        <v>52</v>
      </c>
      <c r="B416" s="296"/>
      <c r="C416" s="296"/>
      <c r="D416" s="296"/>
      <c r="E416" s="73" t="s">
        <v>47</v>
      </c>
      <c r="F416" s="310">
        <v>2915400</v>
      </c>
      <c r="G416" s="310"/>
      <c r="H416" s="310"/>
      <c r="I416" s="310"/>
      <c r="J416" s="73" t="s">
        <v>53</v>
      </c>
      <c r="K416" s="74"/>
      <c r="M416" s="295" t="s">
        <v>52</v>
      </c>
      <c r="N416" s="296"/>
      <c r="O416" s="296"/>
      <c r="P416" s="296"/>
      <c r="Q416" s="73" t="s">
        <v>47</v>
      </c>
      <c r="R416" s="310">
        <v>2915400</v>
      </c>
      <c r="S416" s="310"/>
      <c r="T416" s="310"/>
      <c r="U416" s="310"/>
      <c r="V416" s="73" t="s">
        <v>53</v>
      </c>
      <c r="W416" s="74"/>
    </row>
    <row r="417" spans="1:24" ht="18.75" customHeight="1">
      <c r="A417" s="75" t="s">
        <v>54</v>
      </c>
      <c r="B417" s="73"/>
      <c r="C417" s="76"/>
      <c r="D417" s="77"/>
      <c r="E417" s="78"/>
      <c r="F417" s="78"/>
      <c r="G417" s="78"/>
      <c r="H417" s="73"/>
      <c r="I417" s="79">
        <f>'[2]LUONG T7'!F49</f>
        <v>0</v>
      </c>
      <c r="J417" s="80"/>
      <c r="K417" s="81"/>
      <c r="M417" s="75" t="s">
        <v>54</v>
      </c>
      <c r="N417" s="73"/>
      <c r="O417" s="76"/>
      <c r="P417" s="77"/>
      <c r="Q417" s="78"/>
      <c r="R417" s="78"/>
      <c r="S417" s="78"/>
      <c r="T417" s="73"/>
      <c r="U417" s="79">
        <f>'[2]LUONG T7'!F51</f>
        <v>0</v>
      </c>
      <c r="V417" s="80"/>
      <c r="W417" s="81"/>
    </row>
    <row r="418" spans="1:24" ht="18.75" customHeight="1">
      <c r="A418" s="75" t="s">
        <v>55</v>
      </c>
      <c r="B418" s="73"/>
      <c r="C418" s="76"/>
      <c r="D418" s="77"/>
      <c r="E418" s="78"/>
      <c r="F418" s="78"/>
      <c r="G418" s="78"/>
      <c r="H418" s="73"/>
      <c r="I418" s="79" t="e">
        <f>I419/C419/8</f>
        <v>#DIV/0!</v>
      </c>
      <c r="J418" s="80"/>
      <c r="K418" s="81"/>
      <c r="M418" s="75" t="s">
        <v>55</v>
      </c>
      <c r="N418" s="73"/>
      <c r="O418" s="76"/>
      <c r="P418" s="77"/>
      <c r="Q418" s="78"/>
      <c r="R418" s="78"/>
      <c r="S418" s="78"/>
      <c r="T418" s="73"/>
      <c r="U418" s="79" t="e">
        <f>U419/O419/8</f>
        <v>#DIV/0!</v>
      </c>
      <c r="V418" s="80"/>
      <c r="W418" s="81"/>
    </row>
    <row r="419" spans="1:24" ht="18.75" customHeight="1">
      <c r="A419" s="75" t="s">
        <v>56</v>
      </c>
      <c r="B419" s="73" t="s">
        <v>47</v>
      </c>
      <c r="C419" s="76">
        <f>'[2]LUONG T7'!I48</f>
        <v>0</v>
      </c>
      <c r="D419" s="77" t="s">
        <v>57</v>
      </c>
      <c r="E419" s="308" t="s">
        <v>58</v>
      </c>
      <c r="F419" s="308"/>
      <c r="G419" s="308"/>
      <c r="H419" s="73" t="s">
        <v>47</v>
      </c>
      <c r="I419" s="309">
        <f>'[2]LUONG T7'!I49</f>
        <v>0</v>
      </c>
      <c r="J419" s="309"/>
      <c r="K419" s="81" t="s">
        <v>53</v>
      </c>
      <c r="L419" s="82">
        <f>F416/L409*C419</f>
        <v>0</v>
      </c>
      <c r="M419" s="75" t="s">
        <v>56</v>
      </c>
      <c r="N419" s="73" t="s">
        <v>47</v>
      </c>
      <c r="O419" s="76">
        <f>'[2]LUONG T7'!I50</f>
        <v>0</v>
      </c>
      <c r="P419" s="77" t="s">
        <v>57</v>
      </c>
      <c r="Q419" s="308" t="s">
        <v>58</v>
      </c>
      <c r="R419" s="308"/>
      <c r="S419" s="308"/>
      <c r="T419" s="73" t="s">
        <v>47</v>
      </c>
      <c r="U419" s="309">
        <f>'[2]LUONG T7'!I51</f>
        <v>0</v>
      </c>
      <c r="V419" s="309"/>
      <c r="W419" s="81" t="s">
        <v>53</v>
      </c>
      <c r="X419" s="82">
        <f>R416/X409*O419</f>
        <v>0</v>
      </c>
    </row>
    <row r="420" spans="1:24" ht="18.75" customHeight="1">
      <c r="A420" s="75" t="s">
        <v>59</v>
      </c>
      <c r="B420" s="73" t="s">
        <v>47</v>
      </c>
      <c r="C420" s="76">
        <f>'[2]LUONG T7'!J48</f>
        <v>0</v>
      </c>
      <c r="D420" s="77" t="s">
        <v>57</v>
      </c>
      <c r="E420" s="296" t="s">
        <v>60</v>
      </c>
      <c r="F420" s="296"/>
      <c r="G420" s="296"/>
      <c r="H420" s="73" t="s">
        <v>47</v>
      </c>
      <c r="I420" s="307">
        <f>$F$8/$L$1*C420</f>
        <v>0</v>
      </c>
      <c r="J420" s="307"/>
      <c r="K420" s="81" t="s">
        <v>53</v>
      </c>
      <c r="L420" s="82"/>
      <c r="M420" s="75" t="s">
        <v>59</v>
      </c>
      <c r="N420" s="73" t="s">
        <v>47</v>
      </c>
      <c r="O420" s="76">
        <f>'[2]LUONG T7'!J50</f>
        <v>0</v>
      </c>
      <c r="P420" s="77" t="s">
        <v>57</v>
      </c>
      <c r="Q420" s="296" t="s">
        <v>60</v>
      </c>
      <c r="R420" s="296"/>
      <c r="S420" s="296"/>
      <c r="T420" s="73" t="s">
        <v>47</v>
      </c>
      <c r="U420" s="307">
        <f>$F$8/$L$1*O420</f>
        <v>0</v>
      </c>
      <c r="V420" s="307"/>
      <c r="W420" s="81" t="s">
        <v>53</v>
      </c>
      <c r="X420" s="82"/>
    </row>
    <row r="421" spans="1:24" ht="18.75" customHeight="1">
      <c r="A421" s="75" t="s">
        <v>61</v>
      </c>
      <c r="B421" s="73" t="s">
        <v>47</v>
      </c>
      <c r="C421" s="76">
        <f>'[2]LUONG T7'!K48</f>
        <v>0</v>
      </c>
      <c r="D421" s="77" t="s">
        <v>57</v>
      </c>
      <c r="E421" s="306" t="s">
        <v>62</v>
      </c>
      <c r="F421" s="306"/>
      <c r="G421" s="306"/>
      <c r="H421" s="73" t="s">
        <v>47</v>
      </c>
      <c r="I421" s="307">
        <f>$F$8/$L$1*C421</f>
        <v>0</v>
      </c>
      <c r="J421" s="307"/>
      <c r="K421" s="81" t="s">
        <v>53</v>
      </c>
      <c r="L421" s="82"/>
      <c r="M421" s="75" t="s">
        <v>61</v>
      </c>
      <c r="N421" s="73" t="s">
        <v>47</v>
      </c>
      <c r="O421" s="76">
        <f>'[2]LUONG T7'!K50</f>
        <v>0</v>
      </c>
      <c r="P421" s="77" t="s">
        <v>57</v>
      </c>
      <c r="Q421" s="306" t="s">
        <v>62</v>
      </c>
      <c r="R421" s="306"/>
      <c r="S421" s="306"/>
      <c r="T421" s="73" t="s">
        <v>47</v>
      </c>
      <c r="U421" s="307">
        <f>$F$8/$L$1*O421</f>
        <v>0</v>
      </c>
      <c r="V421" s="307"/>
      <c r="W421" s="81" t="s">
        <v>53</v>
      </c>
      <c r="X421" s="82"/>
    </row>
    <row r="422" spans="1:24" ht="18.75" customHeight="1">
      <c r="A422" s="75" t="s">
        <v>63</v>
      </c>
      <c r="B422" s="73" t="s">
        <v>47</v>
      </c>
      <c r="C422" s="76">
        <f>'[2]LUONG T7'!L48</f>
        <v>0</v>
      </c>
      <c r="D422" s="77" t="s">
        <v>57</v>
      </c>
      <c r="E422" s="306" t="s">
        <v>64</v>
      </c>
      <c r="F422" s="306"/>
      <c r="G422" s="306"/>
      <c r="H422" s="73" t="s">
        <v>47</v>
      </c>
      <c r="I422" s="307">
        <f>$F$8/$L$1*C422</f>
        <v>0</v>
      </c>
      <c r="J422" s="307"/>
      <c r="K422" s="81" t="s">
        <v>53</v>
      </c>
      <c r="L422" s="82"/>
      <c r="M422" s="75" t="s">
        <v>63</v>
      </c>
      <c r="N422" s="73" t="s">
        <v>47</v>
      </c>
      <c r="O422" s="76">
        <f>'[2]LUONG T7'!L50</f>
        <v>0</v>
      </c>
      <c r="P422" s="77" t="s">
        <v>57</v>
      </c>
      <c r="Q422" s="306" t="s">
        <v>64</v>
      </c>
      <c r="R422" s="306"/>
      <c r="S422" s="306"/>
      <c r="T422" s="73" t="s">
        <v>47</v>
      </c>
      <c r="U422" s="307">
        <f>$F$8/$L$1*O422</f>
        <v>0</v>
      </c>
      <c r="V422" s="307"/>
      <c r="W422" s="81" t="s">
        <v>53</v>
      </c>
      <c r="X422" s="82"/>
    </row>
    <row r="423" spans="1:24" ht="18.75" customHeight="1">
      <c r="A423" s="75" t="s">
        <v>65</v>
      </c>
      <c r="B423" s="73" t="s">
        <v>47</v>
      </c>
      <c r="C423" s="76">
        <f>'[2]LUONG T7'!Q48</f>
        <v>0</v>
      </c>
      <c r="D423" s="77" t="s">
        <v>66</v>
      </c>
      <c r="E423" s="296" t="s">
        <v>67</v>
      </c>
      <c r="F423" s="296"/>
      <c r="G423" s="296"/>
      <c r="H423" s="73" t="s">
        <v>47</v>
      </c>
      <c r="I423" s="307">
        <f>'[2]LUONG T7'!Q49</f>
        <v>0</v>
      </c>
      <c r="J423" s="307"/>
      <c r="K423" s="81" t="s">
        <v>53</v>
      </c>
      <c r="L423" s="82">
        <f>F416*C423/L409/8*1.5</f>
        <v>0</v>
      </c>
      <c r="M423" s="75" t="s">
        <v>65</v>
      </c>
      <c r="N423" s="73" t="s">
        <v>47</v>
      </c>
      <c r="O423" s="76">
        <f>'[2]LUONG T7'!Q50</f>
        <v>0</v>
      </c>
      <c r="P423" s="77" t="s">
        <v>66</v>
      </c>
      <c r="Q423" s="296" t="s">
        <v>67</v>
      </c>
      <c r="R423" s="296"/>
      <c r="S423" s="296"/>
      <c r="T423" s="73" t="s">
        <v>47</v>
      </c>
      <c r="U423" s="307">
        <f>'[2]LUONG T7'!Q51</f>
        <v>0</v>
      </c>
      <c r="V423" s="307"/>
      <c r="W423" s="81" t="s">
        <v>53</v>
      </c>
      <c r="X423" s="82">
        <f>R416*O423/X409/8*1.5</f>
        <v>0</v>
      </c>
    </row>
    <row r="424" spans="1:24" ht="18.75" customHeight="1">
      <c r="A424" s="295" t="s">
        <v>68</v>
      </c>
      <c r="B424" s="296"/>
      <c r="C424" s="76"/>
      <c r="D424" s="77" t="s">
        <v>57</v>
      </c>
      <c r="E424" s="296" t="s">
        <v>69</v>
      </c>
      <c r="F424" s="296"/>
      <c r="G424" s="296"/>
      <c r="H424" s="83" t="s">
        <v>47</v>
      </c>
      <c r="I424" s="307"/>
      <c r="J424" s="307"/>
      <c r="K424" s="81" t="s">
        <v>53</v>
      </c>
      <c r="L424" s="82"/>
      <c r="M424" s="295" t="s">
        <v>68</v>
      </c>
      <c r="N424" s="296"/>
      <c r="O424" s="76"/>
      <c r="P424" s="77" t="s">
        <v>57</v>
      </c>
      <c r="Q424" s="296" t="s">
        <v>69</v>
      </c>
      <c r="R424" s="296"/>
      <c r="S424" s="296"/>
      <c r="T424" s="83" t="s">
        <v>47</v>
      </c>
      <c r="U424" s="307"/>
      <c r="V424" s="307"/>
      <c r="W424" s="81" t="s">
        <v>53</v>
      </c>
      <c r="X424" s="82"/>
    </row>
    <row r="425" spans="1:24" ht="18.75" customHeight="1">
      <c r="A425" s="75" t="s">
        <v>70</v>
      </c>
      <c r="B425" s="73" t="s">
        <v>47</v>
      </c>
      <c r="C425" s="76"/>
      <c r="D425" s="77" t="s">
        <v>57</v>
      </c>
      <c r="E425" s="296" t="s">
        <v>71</v>
      </c>
      <c r="F425" s="296"/>
      <c r="G425" s="296"/>
      <c r="H425" s="73" t="s">
        <v>47</v>
      </c>
      <c r="I425" s="307"/>
      <c r="J425" s="307"/>
      <c r="K425" s="81" t="s">
        <v>53</v>
      </c>
      <c r="L425" s="82"/>
      <c r="M425" s="75" t="s">
        <v>70</v>
      </c>
      <c r="N425" s="73" t="s">
        <v>47</v>
      </c>
      <c r="O425" s="76"/>
      <c r="P425" s="77" t="s">
        <v>57</v>
      </c>
      <c r="Q425" s="296" t="s">
        <v>71</v>
      </c>
      <c r="R425" s="296"/>
      <c r="S425" s="296"/>
      <c r="T425" s="73" t="s">
        <v>47</v>
      </c>
      <c r="U425" s="307"/>
      <c r="V425" s="307"/>
      <c r="W425" s="81" t="s">
        <v>53</v>
      </c>
      <c r="X425" s="82"/>
    </row>
    <row r="426" spans="1:24" ht="18.75" customHeight="1">
      <c r="A426" s="84" t="s">
        <v>72</v>
      </c>
      <c r="B426" s="73"/>
      <c r="C426" s="76">
        <f>'[2]LUONG T7'!M48</f>
        <v>0</v>
      </c>
      <c r="D426" s="77" t="s">
        <v>66</v>
      </c>
      <c r="E426" s="296" t="s">
        <v>73</v>
      </c>
      <c r="F426" s="296"/>
      <c r="G426" s="296"/>
      <c r="H426" s="73" t="s">
        <v>47</v>
      </c>
      <c r="I426" s="307">
        <f>$F$8*C426/8/$L$1</f>
        <v>0</v>
      </c>
      <c r="J426" s="307"/>
      <c r="K426" s="81" t="s">
        <v>53</v>
      </c>
      <c r="L426" s="82"/>
      <c r="M426" s="84" t="s">
        <v>72</v>
      </c>
      <c r="N426" s="73"/>
      <c r="O426" s="76">
        <f>'[2]LUONG T7'!M50</f>
        <v>0</v>
      </c>
      <c r="P426" s="77" t="s">
        <v>66</v>
      </c>
      <c r="Q426" s="296" t="s">
        <v>73</v>
      </c>
      <c r="R426" s="296"/>
      <c r="S426" s="296"/>
      <c r="T426" s="73" t="s">
        <v>47</v>
      </c>
      <c r="U426" s="307">
        <f>$F$8*O426/8/$L$1</f>
        <v>0</v>
      </c>
      <c r="V426" s="307"/>
      <c r="W426" s="81" t="s">
        <v>53</v>
      </c>
      <c r="X426" s="82"/>
    </row>
    <row r="427" spans="1:24" ht="18.75" customHeight="1">
      <c r="A427" s="75" t="s">
        <v>74</v>
      </c>
      <c r="B427" s="73" t="s">
        <v>47</v>
      </c>
      <c r="C427" s="76"/>
      <c r="D427" s="77" t="s">
        <v>66</v>
      </c>
      <c r="E427" s="296" t="s">
        <v>98</v>
      </c>
      <c r="F427" s="296"/>
      <c r="G427" s="296"/>
      <c r="H427" s="73" t="s">
        <v>47</v>
      </c>
      <c r="I427" s="309"/>
      <c r="J427" s="309"/>
      <c r="K427" s="81" t="s">
        <v>53</v>
      </c>
      <c r="L427" s="82"/>
      <c r="M427" s="75" t="s">
        <v>74</v>
      </c>
      <c r="N427" s="73" t="s">
        <v>47</v>
      </c>
      <c r="O427" s="76"/>
      <c r="P427" s="77" t="s">
        <v>66</v>
      </c>
      <c r="Q427" s="296" t="s">
        <v>98</v>
      </c>
      <c r="R427" s="296"/>
      <c r="S427" s="296"/>
      <c r="T427" s="73" t="s">
        <v>47</v>
      </c>
      <c r="U427" s="309"/>
      <c r="V427" s="309"/>
      <c r="W427" s="81" t="s">
        <v>53</v>
      </c>
      <c r="X427" s="82"/>
    </row>
    <row r="428" spans="1:24" ht="18.75" customHeight="1">
      <c r="A428" s="75" t="s">
        <v>76</v>
      </c>
      <c r="B428" s="73" t="s">
        <v>47</v>
      </c>
      <c r="C428" s="76"/>
      <c r="D428" s="77" t="s">
        <v>77</v>
      </c>
      <c r="E428" s="85" t="s">
        <v>78</v>
      </c>
      <c r="F428" s="85"/>
      <c r="G428" s="85"/>
      <c r="H428" s="73" t="s">
        <v>47</v>
      </c>
      <c r="I428" s="307"/>
      <c r="J428" s="307"/>
      <c r="K428" s="81" t="s">
        <v>53</v>
      </c>
      <c r="L428" s="82">
        <f>+IF(L419-I419&lt;0,0,L419-I419)+IF(L423-I423&lt;0,0,L423-I423)</f>
        <v>0</v>
      </c>
      <c r="M428" s="75" t="s">
        <v>76</v>
      </c>
      <c r="N428" s="73" t="s">
        <v>47</v>
      </c>
      <c r="O428" s="76"/>
      <c r="P428" s="77" t="s">
        <v>77</v>
      </c>
      <c r="Q428" s="85" t="s">
        <v>78</v>
      </c>
      <c r="R428" s="85"/>
      <c r="S428" s="85"/>
      <c r="T428" s="73" t="s">
        <v>47</v>
      </c>
      <c r="U428" s="307"/>
      <c r="V428" s="307"/>
      <c r="W428" s="81" t="s">
        <v>53</v>
      </c>
      <c r="X428" s="82">
        <f>+IF(X419-U419&lt;0,0,X419-U419)+IF(X423-U423&lt;0,0,X423-U423)</f>
        <v>0</v>
      </c>
    </row>
    <row r="429" spans="1:24" ht="18.75" customHeight="1">
      <c r="A429" s="86" t="s">
        <v>122</v>
      </c>
      <c r="B429" s="87"/>
      <c r="C429" s="76"/>
      <c r="D429" s="77" t="s">
        <v>57</v>
      </c>
      <c r="E429" s="296" t="s">
        <v>123</v>
      </c>
      <c r="F429" s="296"/>
      <c r="G429" s="296"/>
      <c r="H429" s="73" t="s">
        <v>47</v>
      </c>
      <c r="I429" s="307"/>
      <c r="J429" s="307"/>
      <c r="K429" s="81" t="s">
        <v>53</v>
      </c>
      <c r="L429" s="82"/>
      <c r="M429" s="86" t="s">
        <v>122</v>
      </c>
      <c r="N429" s="87"/>
      <c r="O429" s="76"/>
      <c r="P429" s="77" t="s">
        <v>57</v>
      </c>
      <c r="Q429" s="296" t="s">
        <v>123</v>
      </c>
      <c r="R429" s="296"/>
      <c r="S429" s="296"/>
      <c r="T429" s="73" t="s">
        <v>47</v>
      </c>
      <c r="U429" s="307"/>
      <c r="V429" s="307"/>
      <c r="W429" s="81" t="s">
        <v>53</v>
      </c>
      <c r="X429" s="82"/>
    </row>
    <row r="430" spans="1:24" ht="18.75" customHeight="1">
      <c r="A430" s="314" t="s">
        <v>81</v>
      </c>
      <c r="B430" s="308"/>
      <c r="C430" s="76"/>
      <c r="D430" s="77"/>
      <c r="E430" s="78"/>
      <c r="F430" s="78"/>
      <c r="G430" s="78"/>
      <c r="H430" s="73" t="s">
        <v>47</v>
      </c>
      <c r="I430" s="307">
        <f>'[2]LUONG T7'!P49</f>
        <v>0</v>
      </c>
      <c r="J430" s="307"/>
      <c r="K430" s="81" t="s">
        <v>53</v>
      </c>
      <c r="L430" s="82"/>
      <c r="M430" s="314" t="s">
        <v>81</v>
      </c>
      <c r="N430" s="308"/>
      <c r="O430" s="76"/>
      <c r="P430" s="77"/>
      <c r="Q430" s="78"/>
      <c r="R430" s="78"/>
      <c r="S430" s="78"/>
      <c r="T430" s="73" t="s">
        <v>47</v>
      </c>
      <c r="U430" s="307">
        <f>'[2]LUONG T7'!P51</f>
        <v>0</v>
      </c>
      <c r="V430" s="307"/>
      <c r="W430" s="81" t="s">
        <v>53</v>
      </c>
      <c r="X430" s="82"/>
    </row>
    <row r="431" spans="1:24" ht="18.75" customHeight="1">
      <c r="A431" s="75" t="s">
        <v>82</v>
      </c>
      <c r="B431" s="73" t="s">
        <v>47</v>
      </c>
      <c r="C431" s="76"/>
      <c r="D431" s="77"/>
      <c r="E431" s="78" t="s">
        <v>83</v>
      </c>
      <c r="F431" s="78"/>
      <c r="G431" s="78"/>
      <c r="H431" s="73" t="s">
        <v>47</v>
      </c>
      <c r="I431" s="307">
        <f>L428</f>
        <v>0</v>
      </c>
      <c r="J431" s="307"/>
      <c r="K431" s="81" t="s">
        <v>53</v>
      </c>
      <c r="L431" s="82"/>
      <c r="M431" s="75" t="s">
        <v>82</v>
      </c>
      <c r="N431" s="73" t="s">
        <v>47</v>
      </c>
      <c r="O431" s="76"/>
      <c r="P431" s="77"/>
      <c r="Q431" s="78" t="s">
        <v>83</v>
      </c>
      <c r="R431" s="78"/>
      <c r="S431" s="78"/>
      <c r="T431" s="73" t="s">
        <v>47</v>
      </c>
      <c r="U431" s="307">
        <f>X428</f>
        <v>0</v>
      </c>
      <c r="V431" s="307"/>
      <c r="W431" s="81" t="s">
        <v>53</v>
      </c>
      <c r="X431" s="82"/>
    </row>
    <row r="432" spans="1:24" ht="18.75" customHeight="1">
      <c r="A432" s="311" t="s">
        <v>84</v>
      </c>
      <c r="B432" s="312"/>
      <c r="C432" s="312"/>
      <c r="D432" s="312"/>
      <c r="E432" s="312"/>
      <c r="F432" s="312"/>
      <c r="G432" s="73" t="s">
        <v>47</v>
      </c>
      <c r="H432" s="313">
        <f>I419+I420+I421+I422+I423+I426+I430+I431</f>
        <v>0</v>
      </c>
      <c r="I432" s="313"/>
      <c r="J432" s="313"/>
      <c r="K432" s="81" t="s">
        <v>53</v>
      </c>
      <c r="M432" s="311" t="s">
        <v>84</v>
      </c>
      <c r="N432" s="312"/>
      <c r="O432" s="312"/>
      <c r="P432" s="312"/>
      <c r="Q432" s="312"/>
      <c r="R432" s="312"/>
      <c r="S432" s="73" t="s">
        <v>47</v>
      </c>
      <c r="T432" s="313">
        <f>U419+U420+U421+U422+U423+U426+U430+U431</f>
        <v>0</v>
      </c>
      <c r="U432" s="313"/>
      <c r="V432" s="313"/>
      <c r="W432" s="81" t="s">
        <v>53</v>
      </c>
    </row>
    <row r="433" spans="1:24" ht="18.75" customHeight="1">
      <c r="A433" s="88"/>
      <c r="B433" s="89"/>
      <c r="C433" s="89"/>
      <c r="D433" s="89"/>
      <c r="E433" s="89"/>
      <c r="F433" s="89"/>
      <c r="G433" s="89"/>
      <c r="H433" s="89"/>
      <c r="I433" s="89"/>
      <c r="J433" s="89"/>
      <c r="K433" s="90"/>
      <c r="M433" s="88"/>
      <c r="N433" s="89"/>
      <c r="O433" s="89"/>
      <c r="P433" s="89"/>
      <c r="Q433" s="89"/>
      <c r="R433" s="89"/>
      <c r="S433" s="89"/>
      <c r="T433" s="89"/>
      <c r="U433" s="89"/>
      <c r="V433" s="89"/>
      <c r="W433" s="90"/>
    </row>
    <row r="434" spans="1:24" ht="18.75" customHeight="1">
      <c r="A434" s="321" t="s">
        <v>85</v>
      </c>
      <c r="B434" s="322"/>
      <c r="C434" s="322"/>
      <c r="D434" s="322"/>
      <c r="E434" s="322"/>
      <c r="F434" s="322"/>
      <c r="G434" s="73"/>
      <c r="H434" s="73"/>
      <c r="I434" s="73"/>
      <c r="J434" s="73"/>
      <c r="K434" s="81"/>
      <c r="M434" s="321" t="s">
        <v>85</v>
      </c>
      <c r="N434" s="322"/>
      <c r="O434" s="322"/>
      <c r="P434" s="322"/>
      <c r="Q434" s="322"/>
      <c r="R434" s="322"/>
      <c r="S434" s="73"/>
      <c r="T434" s="73"/>
      <c r="U434" s="73"/>
      <c r="V434" s="73"/>
      <c r="W434" s="81"/>
    </row>
    <row r="435" spans="1:24" ht="18.75" customHeight="1">
      <c r="A435" s="315" t="s">
        <v>86</v>
      </c>
      <c r="B435" s="316"/>
      <c r="C435" s="316"/>
      <c r="D435" s="316"/>
      <c r="E435" s="316"/>
      <c r="F435" s="316"/>
      <c r="G435" s="73" t="s">
        <v>47</v>
      </c>
      <c r="H435" s="323">
        <f>IF(($L$1-(C419+C420+C421+C422))&gt;12,0,F416*8%)</f>
        <v>0</v>
      </c>
      <c r="I435" s="323"/>
      <c r="J435" s="323"/>
      <c r="K435" s="81" t="s">
        <v>53</v>
      </c>
      <c r="M435" s="315" t="s">
        <v>86</v>
      </c>
      <c r="N435" s="316"/>
      <c r="O435" s="316"/>
      <c r="P435" s="316"/>
      <c r="Q435" s="316"/>
      <c r="R435" s="316"/>
      <c r="S435" s="73" t="s">
        <v>47</v>
      </c>
      <c r="T435" s="323">
        <f>IF(($L$1-(O419+O420+O421+O422))&gt;12,0,R416*8%)</f>
        <v>0</v>
      </c>
      <c r="U435" s="323"/>
      <c r="V435" s="323"/>
      <c r="W435" s="81" t="s">
        <v>53</v>
      </c>
    </row>
    <row r="436" spans="1:24" ht="18.75" customHeight="1">
      <c r="A436" s="315" t="s">
        <v>87</v>
      </c>
      <c r="B436" s="316"/>
      <c r="C436" s="316"/>
      <c r="D436" s="316"/>
      <c r="E436" s="316"/>
      <c r="F436" s="316"/>
      <c r="G436" s="73" t="s">
        <v>47</v>
      </c>
      <c r="H436" s="317">
        <f>IF(($L$1-(C419+C420+C421+C422))&gt;12,0,F416*1.5%)</f>
        <v>0</v>
      </c>
      <c r="I436" s="317"/>
      <c r="J436" s="317"/>
      <c r="K436" s="81" t="s">
        <v>53</v>
      </c>
      <c r="M436" s="315" t="s">
        <v>87</v>
      </c>
      <c r="N436" s="316"/>
      <c r="O436" s="316"/>
      <c r="P436" s="316"/>
      <c r="Q436" s="316"/>
      <c r="R436" s="316"/>
      <c r="S436" s="73" t="s">
        <v>47</v>
      </c>
      <c r="T436" s="317">
        <f>IF(($L$1-(O419+O420+O421+O422))&gt;12,0,R416*1.5%)</f>
        <v>0</v>
      </c>
      <c r="U436" s="317"/>
      <c r="V436" s="317"/>
      <c r="W436" s="81" t="s">
        <v>53</v>
      </c>
    </row>
    <row r="437" spans="1:24" ht="18.75" customHeight="1">
      <c r="A437" s="315" t="s">
        <v>88</v>
      </c>
      <c r="B437" s="316"/>
      <c r="C437" s="316"/>
      <c r="D437" s="316"/>
      <c r="E437" s="316"/>
      <c r="F437" s="316"/>
      <c r="G437" s="73" t="s">
        <v>47</v>
      </c>
      <c r="H437" s="317">
        <f>IF(($L$1-(C419+C420+C421+C422))&gt;12,0,F416*1%)</f>
        <v>0</v>
      </c>
      <c r="I437" s="317"/>
      <c r="J437" s="317"/>
      <c r="K437" s="81" t="s">
        <v>53</v>
      </c>
      <c r="M437" s="315" t="s">
        <v>88</v>
      </c>
      <c r="N437" s="316"/>
      <c r="O437" s="316"/>
      <c r="P437" s="316"/>
      <c r="Q437" s="316"/>
      <c r="R437" s="316"/>
      <c r="S437" s="73" t="s">
        <v>47</v>
      </c>
      <c r="T437" s="317">
        <f>IF(($L$1-(O419+O420+O421+O422))&gt;12,0,R416*1%)</f>
        <v>0</v>
      </c>
      <c r="U437" s="317"/>
      <c r="V437" s="317"/>
      <c r="W437" s="81" t="s">
        <v>53</v>
      </c>
    </row>
    <row r="438" spans="1:24" ht="18.75" customHeight="1">
      <c r="A438" s="315" t="s">
        <v>89</v>
      </c>
      <c r="B438" s="316"/>
      <c r="C438" s="316"/>
      <c r="D438" s="316"/>
      <c r="E438" s="316"/>
      <c r="F438" s="316"/>
      <c r="G438" s="73" t="s">
        <v>47</v>
      </c>
      <c r="H438" s="317">
        <v>0</v>
      </c>
      <c r="I438" s="317"/>
      <c r="J438" s="317"/>
      <c r="K438" s="81" t="s">
        <v>53</v>
      </c>
      <c r="M438" s="315" t="s">
        <v>89</v>
      </c>
      <c r="N438" s="316"/>
      <c r="O438" s="316"/>
      <c r="P438" s="316"/>
      <c r="Q438" s="316"/>
      <c r="R438" s="316"/>
      <c r="S438" s="73" t="s">
        <v>47</v>
      </c>
      <c r="T438" s="317">
        <v>0</v>
      </c>
      <c r="U438" s="317"/>
      <c r="V438" s="317"/>
      <c r="W438" s="81" t="s">
        <v>53</v>
      </c>
    </row>
    <row r="439" spans="1:24" ht="18.75" customHeight="1">
      <c r="A439" s="318" t="s">
        <v>90</v>
      </c>
      <c r="B439" s="319"/>
      <c r="C439" s="319"/>
      <c r="D439" s="319"/>
      <c r="E439" s="319"/>
      <c r="F439" s="319"/>
      <c r="G439" s="73" t="s">
        <v>47</v>
      </c>
      <c r="H439" s="320">
        <f>SUM(H435:J438)</f>
        <v>0</v>
      </c>
      <c r="I439" s="320"/>
      <c r="J439" s="320"/>
      <c r="K439" s="81" t="s">
        <v>53</v>
      </c>
      <c r="M439" s="318" t="s">
        <v>90</v>
      </c>
      <c r="N439" s="319"/>
      <c r="O439" s="319"/>
      <c r="P439" s="319"/>
      <c r="Q439" s="319"/>
      <c r="R439" s="319"/>
      <c r="S439" s="73" t="s">
        <v>47</v>
      </c>
      <c r="T439" s="320">
        <f>SUM(T435:V438)</f>
        <v>0</v>
      </c>
      <c r="U439" s="320"/>
      <c r="V439" s="320"/>
      <c r="W439" s="81" t="s">
        <v>53</v>
      </c>
    </row>
    <row r="440" spans="1:24" ht="18.75" customHeight="1">
      <c r="A440" s="315" t="s">
        <v>91</v>
      </c>
      <c r="B440" s="316"/>
      <c r="C440" s="316"/>
      <c r="D440" s="316"/>
      <c r="E440" s="316"/>
      <c r="F440" s="316"/>
      <c r="G440" s="73" t="s">
        <v>47</v>
      </c>
      <c r="H440" s="327">
        <f>ROUND(H432-H439,-2)</f>
        <v>0</v>
      </c>
      <c r="I440" s="327"/>
      <c r="J440" s="327"/>
      <c r="K440" s="81" t="s">
        <v>53</v>
      </c>
      <c r="M440" s="315" t="s">
        <v>91</v>
      </c>
      <c r="N440" s="316"/>
      <c r="O440" s="316"/>
      <c r="P440" s="316"/>
      <c r="Q440" s="316"/>
      <c r="R440" s="316"/>
      <c r="S440" s="73" t="s">
        <v>47</v>
      </c>
      <c r="T440" s="327">
        <f>ROUND(T432-T439,-2)</f>
        <v>0</v>
      </c>
      <c r="U440" s="327"/>
      <c r="V440" s="327"/>
      <c r="W440" s="81" t="s">
        <v>53</v>
      </c>
    </row>
    <row r="441" spans="1:24" ht="18.75" customHeight="1">
      <c r="A441" s="91"/>
      <c r="B441" s="92"/>
      <c r="C441" s="92"/>
      <c r="D441" s="92"/>
      <c r="E441" s="92"/>
      <c r="F441" s="92"/>
      <c r="G441" s="92"/>
      <c r="H441" s="92"/>
      <c r="I441" s="92"/>
      <c r="J441" s="92"/>
      <c r="K441" s="93"/>
      <c r="M441" s="91"/>
      <c r="N441" s="92"/>
      <c r="O441" s="92"/>
      <c r="P441" s="92"/>
      <c r="Q441" s="92"/>
      <c r="R441" s="92"/>
      <c r="S441" s="92"/>
      <c r="T441" s="92"/>
      <c r="U441" s="92"/>
      <c r="V441" s="92"/>
      <c r="W441" s="93"/>
    </row>
    <row r="442" spans="1:24" ht="18.75" customHeight="1">
      <c r="A442" s="94"/>
      <c r="B442" s="73"/>
      <c r="C442" s="73"/>
      <c r="D442" s="73"/>
      <c r="E442" s="73"/>
      <c r="F442" s="73"/>
      <c r="G442" s="73"/>
      <c r="H442" s="73"/>
      <c r="I442" s="324" t="s">
        <v>92</v>
      </c>
      <c r="J442" s="324"/>
      <c r="K442" s="328"/>
      <c r="M442" s="94"/>
      <c r="N442" s="73"/>
      <c r="O442" s="73"/>
      <c r="P442" s="73"/>
      <c r="Q442" s="73"/>
      <c r="R442" s="73"/>
      <c r="S442" s="73"/>
      <c r="T442" s="73"/>
      <c r="U442" s="324" t="s">
        <v>92</v>
      </c>
      <c r="V442" s="324"/>
      <c r="W442" s="328"/>
    </row>
    <row r="443" spans="1:24" ht="18.75" customHeight="1">
      <c r="A443" s="94"/>
      <c r="B443" s="324"/>
      <c r="C443" s="324"/>
      <c r="D443" s="324"/>
      <c r="E443" s="324"/>
      <c r="F443" s="73"/>
      <c r="G443" s="73"/>
      <c r="H443" s="73"/>
      <c r="I443" s="73"/>
      <c r="J443" s="73"/>
      <c r="K443" s="74"/>
      <c r="M443" s="94"/>
      <c r="N443" s="324"/>
      <c r="O443" s="324"/>
      <c r="P443" s="324"/>
      <c r="Q443" s="324"/>
      <c r="R443" s="73"/>
      <c r="S443" s="73"/>
      <c r="T443" s="73"/>
      <c r="U443" s="73"/>
      <c r="V443" s="73"/>
      <c r="W443" s="74"/>
    </row>
    <row r="444" spans="1:24" ht="18.75" customHeight="1" thickBot="1">
      <c r="A444" s="95"/>
      <c r="B444" s="96"/>
      <c r="C444" s="96"/>
      <c r="D444" s="96"/>
      <c r="E444" s="96"/>
      <c r="F444" s="96"/>
      <c r="G444" s="96"/>
      <c r="H444" s="96"/>
      <c r="I444" s="325" t="s">
        <v>93</v>
      </c>
      <c r="J444" s="325"/>
      <c r="K444" s="326"/>
      <c r="M444" s="95"/>
      <c r="N444" s="96"/>
      <c r="O444" s="96"/>
      <c r="P444" s="96"/>
      <c r="Q444" s="96"/>
      <c r="R444" s="96"/>
      <c r="S444" s="96"/>
      <c r="T444" s="96"/>
      <c r="U444" s="325" t="s">
        <v>93</v>
      </c>
      <c r="V444" s="325"/>
      <c r="W444" s="326"/>
    </row>
    <row r="446" spans="1:24" ht="18.75" customHeight="1" thickTop="1">
      <c r="A446" s="300" t="s">
        <v>41</v>
      </c>
      <c r="B446" s="301"/>
      <c r="C446" s="301"/>
      <c r="D446" s="301"/>
      <c r="E446" s="301"/>
      <c r="F446" s="301"/>
      <c r="G446" s="301"/>
      <c r="H446" s="301"/>
      <c r="I446" s="301"/>
      <c r="J446" s="301"/>
      <c r="K446" s="302"/>
      <c r="L446" s="69">
        <v>25</v>
      </c>
      <c r="M446" s="300" t="s">
        <v>41</v>
      </c>
      <c r="N446" s="301"/>
      <c r="O446" s="301"/>
      <c r="P446" s="301"/>
      <c r="Q446" s="301"/>
      <c r="R446" s="301"/>
      <c r="S446" s="301"/>
      <c r="T446" s="301"/>
      <c r="U446" s="301"/>
      <c r="V446" s="301"/>
      <c r="W446" s="302"/>
      <c r="X446" s="69">
        <v>25</v>
      </c>
    </row>
    <row r="447" spans="1:24" ht="18.75" customHeight="1">
      <c r="A447" s="70" t="s">
        <v>132</v>
      </c>
      <c r="B447" s="71"/>
      <c r="C447" s="71"/>
      <c r="D447" s="71"/>
      <c r="E447" s="71"/>
      <c r="F447" s="71"/>
      <c r="G447" s="71"/>
      <c r="H447" s="71"/>
      <c r="I447" s="71"/>
      <c r="J447" s="71"/>
      <c r="K447" s="72"/>
      <c r="M447" s="70" t="s">
        <v>133</v>
      </c>
      <c r="N447" s="71"/>
      <c r="O447" s="71"/>
      <c r="P447" s="71"/>
      <c r="Q447" s="71"/>
      <c r="R447" s="71"/>
      <c r="S447" s="71"/>
      <c r="T447" s="71"/>
      <c r="U447" s="71"/>
      <c r="V447" s="71"/>
      <c r="W447" s="72"/>
    </row>
    <row r="448" spans="1:24" ht="18.75" customHeight="1">
      <c r="A448" s="303" t="s">
        <v>45</v>
      </c>
      <c r="B448" s="304"/>
      <c r="C448" s="304"/>
      <c r="D448" s="304"/>
      <c r="E448" s="304"/>
      <c r="F448" s="304"/>
      <c r="G448" s="304"/>
      <c r="H448" s="304"/>
      <c r="I448" s="304"/>
      <c r="J448" s="304"/>
      <c r="K448" s="305"/>
      <c r="M448" s="303" t="s">
        <v>45</v>
      </c>
      <c r="N448" s="304"/>
      <c r="O448" s="304"/>
      <c r="P448" s="304"/>
      <c r="Q448" s="304"/>
      <c r="R448" s="304"/>
      <c r="S448" s="304"/>
      <c r="T448" s="304"/>
      <c r="U448" s="304"/>
      <c r="V448" s="304"/>
      <c r="W448" s="305"/>
    </row>
    <row r="449" spans="1:24" ht="18.75" customHeight="1">
      <c r="A449" s="295" t="s">
        <v>46</v>
      </c>
      <c r="B449" s="296"/>
      <c r="C449" s="296"/>
      <c r="D449" s="296"/>
      <c r="E449" s="73" t="s">
        <v>47</v>
      </c>
      <c r="F449" s="297">
        <f>'[2]Bang TH nop'!B44</f>
        <v>0</v>
      </c>
      <c r="G449" s="296"/>
      <c r="H449" s="296"/>
      <c r="I449" s="296"/>
      <c r="J449" s="296"/>
      <c r="K449" s="299"/>
      <c r="M449" s="295" t="s">
        <v>46</v>
      </c>
      <c r="N449" s="296"/>
      <c r="O449" s="296"/>
      <c r="P449" s="296"/>
      <c r="Q449" s="73" t="s">
        <v>47</v>
      </c>
      <c r="R449" s="297">
        <f>'[2]Bang TH nop'!B46</f>
        <v>0</v>
      </c>
      <c r="S449" s="296"/>
      <c r="T449" s="296"/>
      <c r="U449" s="296"/>
      <c r="V449" s="296"/>
      <c r="W449" s="299"/>
    </row>
    <row r="450" spans="1:24" ht="18.75" customHeight="1">
      <c r="A450" s="295" t="s">
        <v>49</v>
      </c>
      <c r="B450" s="296"/>
      <c r="C450" s="296"/>
      <c r="D450" s="296"/>
      <c r="E450" s="73" t="s">
        <v>47</v>
      </c>
      <c r="F450" s="297">
        <f>'[2]Bang TH nop'!C44</f>
        <v>0</v>
      </c>
      <c r="G450" s="297"/>
      <c r="H450" s="297"/>
      <c r="I450" s="297"/>
      <c r="J450" s="297"/>
      <c r="K450" s="298"/>
      <c r="M450" s="295" t="s">
        <v>49</v>
      </c>
      <c r="N450" s="296"/>
      <c r="O450" s="296"/>
      <c r="P450" s="296"/>
      <c r="Q450" s="73" t="s">
        <v>47</v>
      </c>
      <c r="R450" s="297">
        <f>'[2]Bang TH nop'!C46</f>
        <v>0</v>
      </c>
      <c r="S450" s="297"/>
      <c r="T450" s="297"/>
      <c r="U450" s="297"/>
      <c r="V450" s="297"/>
      <c r="W450" s="298"/>
    </row>
    <row r="451" spans="1:24" ht="18.75" customHeight="1">
      <c r="A451" s="295" t="s">
        <v>50</v>
      </c>
      <c r="B451" s="296"/>
      <c r="C451" s="296"/>
      <c r="D451" s="296"/>
      <c r="E451" s="73" t="s">
        <v>47</v>
      </c>
      <c r="F451" s="296" t="s">
        <v>121</v>
      </c>
      <c r="G451" s="296"/>
      <c r="H451" s="296"/>
      <c r="I451" s="296"/>
      <c r="J451" s="296"/>
      <c r="K451" s="299"/>
      <c r="M451" s="295" t="s">
        <v>50</v>
      </c>
      <c r="N451" s="296"/>
      <c r="O451" s="296"/>
      <c r="P451" s="296"/>
      <c r="Q451" s="73" t="s">
        <v>47</v>
      </c>
      <c r="R451" s="296" t="s">
        <v>121</v>
      </c>
      <c r="S451" s="296"/>
      <c r="T451" s="296"/>
      <c r="U451" s="296"/>
      <c r="V451" s="296"/>
      <c r="W451" s="299"/>
    </row>
    <row r="452" spans="1:24" ht="18.75" customHeight="1">
      <c r="A452" s="303" t="s">
        <v>51</v>
      </c>
      <c r="B452" s="304"/>
      <c r="C452" s="304"/>
      <c r="D452" s="304"/>
      <c r="E452" s="304"/>
      <c r="F452" s="304"/>
      <c r="G452" s="304"/>
      <c r="H452" s="304"/>
      <c r="I452" s="304"/>
      <c r="J452" s="304"/>
      <c r="K452" s="305"/>
      <c r="M452" s="303" t="s">
        <v>51</v>
      </c>
      <c r="N452" s="304"/>
      <c r="O452" s="304"/>
      <c r="P452" s="304"/>
      <c r="Q452" s="304"/>
      <c r="R452" s="304"/>
      <c r="S452" s="304"/>
      <c r="T452" s="304"/>
      <c r="U452" s="304"/>
      <c r="V452" s="304"/>
      <c r="W452" s="305"/>
    </row>
    <row r="453" spans="1:24" ht="18.75" customHeight="1">
      <c r="A453" s="295" t="s">
        <v>52</v>
      </c>
      <c r="B453" s="296"/>
      <c r="C453" s="296"/>
      <c r="D453" s="296"/>
      <c r="E453" s="73" t="s">
        <v>47</v>
      </c>
      <c r="F453" s="310">
        <v>2915400</v>
      </c>
      <c r="G453" s="310"/>
      <c r="H453" s="310"/>
      <c r="I453" s="310"/>
      <c r="J453" s="73" t="s">
        <v>53</v>
      </c>
      <c r="K453" s="74"/>
      <c r="M453" s="295" t="s">
        <v>52</v>
      </c>
      <c r="N453" s="296"/>
      <c r="O453" s="296"/>
      <c r="P453" s="296"/>
      <c r="Q453" s="73" t="s">
        <v>47</v>
      </c>
      <c r="R453" s="310">
        <v>2915400</v>
      </c>
      <c r="S453" s="310"/>
      <c r="T453" s="310"/>
      <c r="U453" s="310"/>
      <c r="V453" s="73" t="s">
        <v>53</v>
      </c>
      <c r="W453" s="74"/>
    </row>
    <row r="454" spans="1:24" ht="18.75" customHeight="1">
      <c r="A454" s="75" t="s">
        <v>54</v>
      </c>
      <c r="B454" s="73"/>
      <c r="C454" s="76"/>
      <c r="D454" s="77"/>
      <c r="E454" s="78"/>
      <c r="F454" s="78"/>
      <c r="G454" s="78"/>
      <c r="H454" s="73"/>
      <c r="I454" s="79">
        <f>'[2]LUONG T7'!F53</f>
        <v>0</v>
      </c>
      <c r="J454" s="80"/>
      <c r="K454" s="81"/>
      <c r="M454" s="75" t="s">
        <v>54</v>
      </c>
      <c r="N454" s="73"/>
      <c r="O454" s="76"/>
      <c r="P454" s="77"/>
      <c r="Q454" s="78"/>
      <c r="R454" s="78"/>
      <c r="S454" s="78"/>
      <c r="T454" s="73"/>
      <c r="U454" s="79">
        <f>'[2]LUONG T7'!F55</f>
        <v>0</v>
      </c>
      <c r="V454" s="80"/>
      <c r="W454" s="81"/>
    </row>
    <row r="455" spans="1:24" ht="18.75" customHeight="1">
      <c r="A455" s="75" t="s">
        <v>55</v>
      </c>
      <c r="B455" s="73"/>
      <c r="C455" s="76"/>
      <c r="D455" s="77"/>
      <c r="E455" s="78"/>
      <c r="F455" s="78"/>
      <c r="G455" s="78"/>
      <c r="H455" s="73"/>
      <c r="I455" s="79" t="e">
        <f>I456/C456/8</f>
        <v>#DIV/0!</v>
      </c>
      <c r="J455" s="80"/>
      <c r="K455" s="81"/>
      <c r="M455" s="75" t="s">
        <v>55</v>
      </c>
      <c r="N455" s="73"/>
      <c r="O455" s="76"/>
      <c r="P455" s="77"/>
      <c r="Q455" s="78"/>
      <c r="R455" s="78"/>
      <c r="S455" s="78"/>
      <c r="T455" s="73"/>
      <c r="U455" s="79" t="e">
        <f>U456/O456/8</f>
        <v>#DIV/0!</v>
      </c>
      <c r="V455" s="80"/>
      <c r="W455" s="81"/>
    </row>
    <row r="456" spans="1:24" ht="18.75" customHeight="1">
      <c r="A456" s="75" t="s">
        <v>56</v>
      </c>
      <c r="B456" s="73" t="s">
        <v>47</v>
      </c>
      <c r="C456" s="76">
        <f>'[2]LUONG T7'!I52</f>
        <v>0</v>
      </c>
      <c r="D456" s="77" t="s">
        <v>57</v>
      </c>
      <c r="E456" s="308" t="s">
        <v>58</v>
      </c>
      <c r="F456" s="308"/>
      <c r="G456" s="308"/>
      <c r="H456" s="73" t="s">
        <v>47</v>
      </c>
      <c r="I456" s="309">
        <f>'[2]LUONG T7'!I53</f>
        <v>0</v>
      </c>
      <c r="J456" s="309"/>
      <c r="K456" s="81" t="s">
        <v>53</v>
      </c>
      <c r="L456" s="82">
        <f>F453/L446*C456</f>
        <v>0</v>
      </c>
      <c r="M456" s="75" t="s">
        <v>56</v>
      </c>
      <c r="N456" s="73" t="s">
        <v>47</v>
      </c>
      <c r="O456" s="76">
        <f>'[2]LUONG T7'!I54</f>
        <v>0</v>
      </c>
      <c r="P456" s="77" t="s">
        <v>57</v>
      </c>
      <c r="Q456" s="308" t="s">
        <v>58</v>
      </c>
      <c r="R456" s="308"/>
      <c r="S456" s="308"/>
      <c r="T456" s="73" t="s">
        <v>47</v>
      </c>
      <c r="U456" s="309">
        <f>'[2]LUONG T7'!I55</f>
        <v>0</v>
      </c>
      <c r="V456" s="309"/>
      <c r="W456" s="81" t="s">
        <v>53</v>
      </c>
      <c r="X456" s="82">
        <f>R453/X446*O456</f>
        <v>0</v>
      </c>
    </row>
    <row r="457" spans="1:24" ht="18.75" customHeight="1">
      <c r="A457" s="75" t="s">
        <v>59</v>
      </c>
      <c r="B457" s="73" t="s">
        <v>47</v>
      </c>
      <c r="C457" s="76">
        <f>'[2]LUONG T7'!J52</f>
        <v>0</v>
      </c>
      <c r="D457" s="77" t="s">
        <v>57</v>
      </c>
      <c r="E457" s="296" t="s">
        <v>60</v>
      </c>
      <c r="F457" s="296"/>
      <c r="G457" s="296"/>
      <c r="H457" s="73" t="s">
        <v>47</v>
      </c>
      <c r="I457" s="307">
        <f>$F$8/$L$1*C457</f>
        <v>0</v>
      </c>
      <c r="J457" s="307"/>
      <c r="K457" s="81" t="s">
        <v>53</v>
      </c>
      <c r="L457" s="82"/>
      <c r="M457" s="75" t="s">
        <v>59</v>
      </c>
      <c r="N457" s="73" t="s">
        <v>47</v>
      </c>
      <c r="O457" s="76">
        <f>'[2]LUONG T7'!J54</f>
        <v>0</v>
      </c>
      <c r="P457" s="77" t="s">
        <v>57</v>
      </c>
      <c r="Q457" s="296" t="s">
        <v>60</v>
      </c>
      <c r="R457" s="296"/>
      <c r="S457" s="296"/>
      <c r="T457" s="73" t="s">
        <v>47</v>
      </c>
      <c r="U457" s="307">
        <f>$F$8/$L$1*O457</f>
        <v>0</v>
      </c>
      <c r="V457" s="307"/>
      <c r="W457" s="81" t="s">
        <v>53</v>
      </c>
      <c r="X457" s="82"/>
    </row>
    <row r="458" spans="1:24" ht="18.75" customHeight="1">
      <c r="A458" s="75" t="s">
        <v>61</v>
      </c>
      <c r="B458" s="73" t="s">
        <v>47</v>
      </c>
      <c r="C458" s="76">
        <f>'[2]LUONG T7'!K52</f>
        <v>0</v>
      </c>
      <c r="D458" s="77" t="s">
        <v>57</v>
      </c>
      <c r="E458" s="306" t="s">
        <v>62</v>
      </c>
      <c r="F458" s="306"/>
      <c r="G458" s="306"/>
      <c r="H458" s="73" t="s">
        <v>47</v>
      </c>
      <c r="I458" s="307">
        <f>$F$8/$L$1*C458</f>
        <v>0</v>
      </c>
      <c r="J458" s="307"/>
      <c r="K458" s="81" t="s">
        <v>53</v>
      </c>
      <c r="L458" s="82"/>
      <c r="M458" s="75" t="s">
        <v>61</v>
      </c>
      <c r="N458" s="73" t="s">
        <v>47</v>
      </c>
      <c r="O458" s="76">
        <f>'[2]LUONG T7'!K54</f>
        <v>0</v>
      </c>
      <c r="P458" s="77" t="s">
        <v>57</v>
      </c>
      <c r="Q458" s="306" t="s">
        <v>62</v>
      </c>
      <c r="R458" s="306"/>
      <c r="S458" s="306"/>
      <c r="T458" s="73" t="s">
        <v>47</v>
      </c>
      <c r="U458" s="307">
        <f>$F$8/$L$1*O458</f>
        <v>0</v>
      </c>
      <c r="V458" s="307"/>
      <c r="W458" s="81" t="s">
        <v>53</v>
      </c>
      <c r="X458" s="82"/>
    </row>
    <row r="459" spans="1:24" ht="18.75" customHeight="1">
      <c r="A459" s="75" t="s">
        <v>63</v>
      </c>
      <c r="B459" s="73" t="s">
        <v>47</v>
      </c>
      <c r="C459" s="76">
        <f>'[2]LUONG T7'!L52</f>
        <v>0</v>
      </c>
      <c r="D459" s="77" t="s">
        <v>57</v>
      </c>
      <c r="E459" s="306" t="s">
        <v>64</v>
      </c>
      <c r="F459" s="306"/>
      <c r="G459" s="306"/>
      <c r="H459" s="73" t="s">
        <v>47</v>
      </c>
      <c r="I459" s="307">
        <f>$F$8/$L$1*C459</f>
        <v>0</v>
      </c>
      <c r="J459" s="307"/>
      <c r="K459" s="81" t="s">
        <v>53</v>
      </c>
      <c r="L459" s="82"/>
      <c r="M459" s="75" t="s">
        <v>63</v>
      </c>
      <c r="N459" s="73" t="s">
        <v>47</v>
      </c>
      <c r="O459" s="76">
        <f>'[2]LUONG T7'!L54</f>
        <v>0</v>
      </c>
      <c r="P459" s="77" t="s">
        <v>57</v>
      </c>
      <c r="Q459" s="306" t="s">
        <v>64</v>
      </c>
      <c r="R459" s="306"/>
      <c r="S459" s="306"/>
      <c r="T459" s="73" t="s">
        <v>47</v>
      </c>
      <c r="U459" s="307">
        <f>$F$8/$L$1*O459</f>
        <v>0</v>
      </c>
      <c r="V459" s="307"/>
      <c r="W459" s="81" t="s">
        <v>53</v>
      </c>
      <c r="X459" s="82"/>
    </row>
    <row r="460" spans="1:24" ht="18.75" customHeight="1">
      <c r="A460" s="75" t="s">
        <v>65</v>
      </c>
      <c r="B460" s="73" t="s">
        <v>47</v>
      </c>
      <c r="C460" s="76">
        <f>'[2]LUONG T7'!Q52</f>
        <v>0</v>
      </c>
      <c r="D460" s="77" t="s">
        <v>66</v>
      </c>
      <c r="E460" s="296" t="s">
        <v>67</v>
      </c>
      <c r="F460" s="296"/>
      <c r="G460" s="296"/>
      <c r="H460" s="73" t="s">
        <v>47</v>
      </c>
      <c r="I460" s="307">
        <f>'[2]LUONG T7'!Q53</f>
        <v>0</v>
      </c>
      <c r="J460" s="307"/>
      <c r="K460" s="81" t="s">
        <v>53</v>
      </c>
      <c r="L460" s="82">
        <f>F453*C460/L446/8*1.5</f>
        <v>0</v>
      </c>
      <c r="M460" s="75" t="s">
        <v>65</v>
      </c>
      <c r="N460" s="73" t="s">
        <v>47</v>
      </c>
      <c r="O460" s="76">
        <f>'[2]LUONG T7'!Q54</f>
        <v>0</v>
      </c>
      <c r="P460" s="77" t="s">
        <v>66</v>
      </c>
      <c r="Q460" s="296" t="s">
        <v>67</v>
      </c>
      <c r="R460" s="296"/>
      <c r="S460" s="296"/>
      <c r="T460" s="73" t="s">
        <v>47</v>
      </c>
      <c r="U460" s="307">
        <f>'[2]LUONG T7'!Q55</f>
        <v>0</v>
      </c>
      <c r="V460" s="307"/>
      <c r="W460" s="81" t="s">
        <v>53</v>
      </c>
      <c r="X460" s="82">
        <f>R453*O460/X446/8*1.5</f>
        <v>0</v>
      </c>
    </row>
    <row r="461" spans="1:24" ht="18.75" customHeight="1">
      <c r="A461" s="295" t="s">
        <v>68</v>
      </c>
      <c r="B461" s="296"/>
      <c r="C461" s="76"/>
      <c r="D461" s="77" t="s">
        <v>57</v>
      </c>
      <c r="E461" s="296" t="s">
        <v>69</v>
      </c>
      <c r="F461" s="296"/>
      <c r="G461" s="296"/>
      <c r="H461" s="83" t="s">
        <v>47</v>
      </c>
      <c r="I461" s="307"/>
      <c r="J461" s="307"/>
      <c r="K461" s="81" t="s">
        <v>53</v>
      </c>
      <c r="L461" s="82"/>
      <c r="M461" s="295" t="s">
        <v>68</v>
      </c>
      <c r="N461" s="296"/>
      <c r="O461" s="76"/>
      <c r="P461" s="77" t="s">
        <v>57</v>
      </c>
      <c r="Q461" s="296" t="s">
        <v>69</v>
      </c>
      <c r="R461" s="296"/>
      <c r="S461" s="296"/>
      <c r="T461" s="83" t="s">
        <v>47</v>
      </c>
      <c r="U461" s="307"/>
      <c r="V461" s="307"/>
      <c r="W461" s="81" t="s">
        <v>53</v>
      </c>
      <c r="X461" s="82"/>
    </row>
    <row r="462" spans="1:24" ht="18.75" customHeight="1">
      <c r="A462" s="75" t="s">
        <v>70</v>
      </c>
      <c r="B462" s="73" t="s">
        <v>47</v>
      </c>
      <c r="C462" s="76"/>
      <c r="D462" s="77" t="s">
        <v>57</v>
      </c>
      <c r="E462" s="296" t="s">
        <v>71</v>
      </c>
      <c r="F462" s="296"/>
      <c r="G462" s="296"/>
      <c r="H462" s="73" t="s">
        <v>47</v>
      </c>
      <c r="I462" s="307"/>
      <c r="J462" s="307"/>
      <c r="K462" s="81" t="s">
        <v>53</v>
      </c>
      <c r="L462" s="82"/>
      <c r="M462" s="75" t="s">
        <v>70</v>
      </c>
      <c r="N462" s="73" t="s">
        <v>47</v>
      </c>
      <c r="O462" s="76"/>
      <c r="P462" s="77" t="s">
        <v>57</v>
      </c>
      <c r="Q462" s="296" t="s">
        <v>71</v>
      </c>
      <c r="R462" s="296"/>
      <c r="S462" s="296"/>
      <c r="T462" s="73" t="s">
        <v>47</v>
      </c>
      <c r="U462" s="307"/>
      <c r="V462" s="307"/>
      <c r="W462" s="81" t="s">
        <v>53</v>
      </c>
      <c r="X462" s="82"/>
    </row>
    <row r="463" spans="1:24" ht="18.75" customHeight="1">
      <c r="A463" s="84" t="s">
        <v>72</v>
      </c>
      <c r="B463" s="73"/>
      <c r="C463" s="76">
        <f>'[2]LUONG T7'!M52</f>
        <v>0</v>
      </c>
      <c r="D463" s="77" t="s">
        <v>66</v>
      </c>
      <c r="E463" s="296" t="s">
        <v>73</v>
      </c>
      <c r="F463" s="296"/>
      <c r="G463" s="296"/>
      <c r="H463" s="73" t="s">
        <v>47</v>
      </c>
      <c r="I463" s="307">
        <f>$F$8*C463/8/$L$1</f>
        <v>0</v>
      </c>
      <c r="J463" s="307"/>
      <c r="K463" s="81" t="s">
        <v>53</v>
      </c>
      <c r="L463" s="82"/>
      <c r="M463" s="84" t="s">
        <v>72</v>
      </c>
      <c r="N463" s="73"/>
      <c r="O463" s="76">
        <f>'[2]LUONG T7'!M54</f>
        <v>0</v>
      </c>
      <c r="P463" s="77" t="s">
        <v>66</v>
      </c>
      <c r="Q463" s="296" t="s">
        <v>73</v>
      </c>
      <c r="R463" s="296"/>
      <c r="S463" s="296"/>
      <c r="T463" s="73" t="s">
        <v>47</v>
      </c>
      <c r="U463" s="307">
        <f>$F$8*O463/8/$L$1</f>
        <v>0</v>
      </c>
      <c r="V463" s="307"/>
      <c r="W463" s="81" t="s">
        <v>53</v>
      </c>
      <c r="X463" s="82"/>
    </row>
    <row r="464" spans="1:24" ht="18.75" customHeight="1">
      <c r="A464" s="75" t="s">
        <v>74</v>
      </c>
      <c r="B464" s="73" t="s">
        <v>47</v>
      </c>
      <c r="C464" s="76"/>
      <c r="D464" s="77" t="s">
        <v>66</v>
      </c>
      <c r="E464" s="296" t="s">
        <v>98</v>
      </c>
      <c r="F464" s="296"/>
      <c r="G464" s="296"/>
      <c r="H464" s="73" t="s">
        <v>47</v>
      </c>
      <c r="I464" s="309"/>
      <c r="J464" s="309"/>
      <c r="K464" s="81" t="s">
        <v>53</v>
      </c>
      <c r="L464" s="82"/>
      <c r="M464" s="75" t="s">
        <v>74</v>
      </c>
      <c r="N464" s="73" t="s">
        <v>47</v>
      </c>
      <c r="O464" s="76"/>
      <c r="P464" s="77" t="s">
        <v>66</v>
      </c>
      <c r="Q464" s="296" t="s">
        <v>98</v>
      </c>
      <c r="R464" s="296"/>
      <c r="S464" s="296"/>
      <c r="T464" s="73" t="s">
        <v>47</v>
      </c>
      <c r="U464" s="309"/>
      <c r="V464" s="309"/>
      <c r="W464" s="81" t="s">
        <v>53</v>
      </c>
      <c r="X464" s="82"/>
    </row>
    <row r="465" spans="1:24" ht="18.75" customHeight="1">
      <c r="A465" s="75" t="s">
        <v>76</v>
      </c>
      <c r="B465" s="73" t="s">
        <v>47</v>
      </c>
      <c r="C465" s="76"/>
      <c r="D465" s="77" t="s">
        <v>77</v>
      </c>
      <c r="E465" s="85" t="s">
        <v>78</v>
      </c>
      <c r="F465" s="85"/>
      <c r="G465" s="85"/>
      <c r="H465" s="73" t="s">
        <v>47</v>
      </c>
      <c r="I465" s="307"/>
      <c r="J465" s="307"/>
      <c r="K465" s="81" t="s">
        <v>53</v>
      </c>
      <c r="L465" s="82">
        <f>+IF(L456-I456&lt;0,0,L456-I456)+IF(L460-I460&lt;0,0,L460-I460)</f>
        <v>0</v>
      </c>
      <c r="M465" s="75" t="s">
        <v>76</v>
      </c>
      <c r="N465" s="73" t="s">
        <v>47</v>
      </c>
      <c r="O465" s="76"/>
      <c r="P465" s="77" t="s">
        <v>77</v>
      </c>
      <c r="Q465" s="85" t="s">
        <v>78</v>
      </c>
      <c r="R465" s="85"/>
      <c r="S465" s="85"/>
      <c r="T465" s="73" t="s">
        <v>47</v>
      </c>
      <c r="U465" s="307"/>
      <c r="V465" s="307"/>
      <c r="W465" s="81" t="s">
        <v>53</v>
      </c>
      <c r="X465" s="82">
        <f>+IF(X456-U456&lt;0,0,X456-U456)+IF(X460-U460&lt;0,0,X460-U460)</f>
        <v>0</v>
      </c>
    </row>
    <row r="466" spans="1:24" ht="18.75" customHeight="1">
      <c r="A466" s="86" t="s">
        <v>122</v>
      </c>
      <c r="B466" s="87"/>
      <c r="C466" s="76"/>
      <c r="D466" s="77" t="s">
        <v>57</v>
      </c>
      <c r="E466" s="296" t="s">
        <v>123</v>
      </c>
      <c r="F466" s="296"/>
      <c r="G466" s="296"/>
      <c r="H466" s="73" t="s">
        <v>47</v>
      </c>
      <c r="I466" s="307"/>
      <c r="J466" s="307"/>
      <c r="K466" s="81" t="s">
        <v>53</v>
      </c>
      <c r="L466" s="82"/>
      <c r="M466" s="86" t="s">
        <v>122</v>
      </c>
      <c r="N466" s="87"/>
      <c r="O466" s="76"/>
      <c r="P466" s="77" t="s">
        <v>57</v>
      </c>
      <c r="Q466" s="296" t="s">
        <v>123</v>
      </c>
      <c r="R466" s="296"/>
      <c r="S466" s="296"/>
      <c r="T466" s="73" t="s">
        <v>47</v>
      </c>
      <c r="U466" s="307"/>
      <c r="V466" s="307"/>
      <c r="W466" s="81" t="s">
        <v>53</v>
      </c>
      <c r="X466" s="82"/>
    </row>
    <row r="467" spans="1:24" ht="18.75" customHeight="1">
      <c r="A467" s="314" t="s">
        <v>81</v>
      </c>
      <c r="B467" s="308"/>
      <c r="C467" s="76"/>
      <c r="D467" s="77"/>
      <c r="E467" s="78"/>
      <c r="F467" s="78"/>
      <c r="G467" s="78"/>
      <c r="H467" s="73" t="s">
        <v>47</v>
      </c>
      <c r="I467" s="307">
        <f>'[2]LUONG T7'!P53</f>
        <v>0</v>
      </c>
      <c r="J467" s="307"/>
      <c r="K467" s="81" t="s">
        <v>53</v>
      </c>
      <c r="L467" s="82"/>
      <c r="M467" s="314" t="s">
        <v>81</v>
      </c>
      <c r="N467" s="308"/>
      <c r="O467" s="76"/>
      <c r="P467" s="77"/>
      <c r="Q467" s="78"/>
      <c r="R467" s="78"/>
      <c r="S467" s="78"/>
      <c r="T467" s="73" t="s">
        <v>47</v>
      </c>
      <c r="U467" s="307">
        <f>'[2]LUONG T7'!P55</f>
        <v>0</v>
      </c>
      <c r="V467" s="307"/>
      <c r="W467" s="81" t="s">
        <v>53</v>
      </c>
      <c r="X467" s="82"/>
    </row>
    <row r="468" spans="1:24" ht="18.75" customHeight="1">
      <c r="A468" s="75" t="s">
        <v>82</v>
      </c>
      <c r="B468" s="73" t="s">
        <v>47</v>
      </c>
      <c r="C468" s="76"/>
      <c r="D468" s="77"/>
      <c r="E468" s="78" t="s">
        <v>83</v>
      </c>
      <c r="F468" s="78"/>
      <c r="G468" s="78"/>
      <c r="H468" s="73" t="s">
        <v>47</v>
      </c>
      <c r="I468" s="307">
        <f>L465</f>
        <v>0</v>
      </c>
      <c r="J468" s="307"/>
      <c r="K468" s="81" t="s">
        <v>53</v>
      </c>
      <c r="L468" s="82"/>
      <c r="M468" s="75" t="s">
        <v>82</v>
      </c>
      <c r="N468" s="73" t="s">
        <v>47</v>
      </c>
      <c r="O468" s="76"/>
      <c r="P468" s="77"/>
      <c r="Q468" s="78" t="s">
        <v>83</v>
      </c>
      <c r="R468" s="78"/>
      <c r="S468" s="78"/>
      <c r="T468" s="73" t="s">
        <v>47</v>
      </c>
      <c r="U468" s="307">
        <f>X465</f>
        <v>0</v>
      </c>
      <c r="V468" s="307"/>
      <c r="W468" s="81" t="s">
        <v>53</v>
      </c>
      <c r="X468" s="82"/>
    </row>
    <row r="469" spans="1:24" ht="18.75" customHeight="1">
      <c r="A469" s="311" t="s">
        <v>84</v>
      </c>
      <c r="B469" s="312"/>
      <c r="C469" s="312"/>
      <c r="D469" s="312"/>
      <c r="E469" s="312"/>
      <c r="F469" s="312"/>
      <c r="G469" s="73" t="s">
        <v>47</v>
      </c>
      <c r="H469" s="313">
        <f>I456+I457+I458+I459+I460+I463+I467+I468</f>
        <v>0</v>
      </c>
      <c r="I469" s="313"/>
      <c r="J469" s="313"/>
      <c r="K469" s="81" t="s">
        <v>53</v>
      </c>
      <c r="M469" s="311" t="s">
        <v>84</v>
      </c>
      <c r="N469" s="312"/>
      <c r="O469" s="312"/>
      <c r="P469" s="312"/>
      <c r="Q469" s="312"/>
      <c r="R469" s="312"/>
      <c r="S469" s="73" t="s">
        <v>47</v>
      </c>
      <c r="T469" s="313">
        <f>U456+U457+U458+U459+U460+U463+U467+U468</f>
        <v>0</v>
      </c>
      <c r="U469" s="313"/>
      <c r="V469" s="313"/>
      <c r="W469" s="81" t="s">
        <v>53</v>
      </c>
    </row>
    <row r="470" spans="1:24" ht="18.75" customHeight="1">
      <c r="A470" s="88"/>
      <c r="B470" s="89"/>
      <c r="C470" s="89"/>
      <c r="D470" s="89"/>
      <c r="E470" s="89"/>
      <c r="F470" s="89"/>
      <c r="G470" s="89"/>
      <c r="H470" s="89"/>
      <c r="I470" s="89"/>
      <c r="J470" s="89"/>
      <c r="K470" s="90"/>
      <c r="M470" s="88"/>
      <c r="N470" s="89"/>
      <c r="O470" s="89"/>
      <c r="P470" s="89"/>
      <c r="Q470" s="89"/>
      <c r="R470" s="89"/>
      <c r="S470" s="89"/>
      <c r="T470" s="89"/>
      <c r="U470" s="89"/>
      <c r="V470" s="89"/>
      <c r="W470" s="90"/>
    </row>
    <row r="471" spans="1:24" ht="18.75" customHeight="1">
      <c r="A471" s="321" t="s">
        <v>85</v>
      </c>
      <c r="B471" s="322"/>
      <c r="C471" s="322"/>
      <c r="D471" s="322"/>
      <c r="E471" s="322"/>
      <c r="F471" s="322"/>
      <c r="G471" s="73"/>
      <c r="H471" s="73"/>
      <c r="I471" s="73"/>
      <c r="J471" s="73"/>
      <c r="K471" s="81"/>
      <c r="M471" s="321" t="s">
        <v>85</v>
      </c>
      <c r="N471" s="322"/>
      <c r="O471" s="322"/>
      <c r="P471" s="322"/>
      <c r="Q471" s="322"/>
      <c r="R471" s="322"/>
      <c r="S471" s="73"/>
      <c r="T471" s="73"/>
      <c r="U471" s="73"/>
      <c r="V471" s="73"/>
      <c r="W471" s="81"/>
    </row>
    <row r="472" spans="1:24" ht="18.75" customHeight="1">
      <c r="A472" s="315" t="s">
        <v>86</v>
      </c>
      <c r="B472" s="316"/>
      <c r="C472" s="316"/>
      <c r="D472" s="316"/>
      <c r="E472" s="316"/>
      <c r="F472" s="316"/>
      <c r="G472" s="73" t="s">
        <v>47</v>
      </c>
      <c r="H472" s="323">
        <f>IF(($L$1-(C456+C457+C458+C459))&gt;12,0,F453*8%)</f>
        <v>0</v>
      </c>
      <c r="I472" s="323"/>
      <c r="J472" s="323"/>
      <c r="K472" s="81" t="s">
        <v>53</v>
      </c>
      <c r="M472" s="315" t="s">
        <v>86</v>
      </c>
      <c r="N472" s="316"/>
      <c r="O472" s="316"/>
      <c r="P472" s="316"/>
      <c r="Q472" s="316"/>
      <c r="R472" s="316"/>
      <c r="S472" s="73" t="s">
        <v>47</v>
      </c>
      <c r="T472" s="323">
        <f>IF(($L$1-(O456+O457+O458+O459))&gt;12,0,R453*8%)</f>
        <v>0</v>
      </c>
      <c r="U472" s="323"/>
      <c r="V472" s="323"/>
      <c r="W472" s="81" t="s">
        <v>53</v>
      </c>
    </row>
    <row r="473" spans="1:24" ht="18.75" customHeight="1">
      <c r="A473" s="315" t="s">
        <v>87</v>
      </c>
      <c r="B473" s="316"/>
      <c r="C473" s="316"/>
      <c r="D473" s="316"/>
      <c r="E473" s="316"/>
      <c r="F473" s="316"/>
      <c r="G473" s="73" t="s">
        <v>47</v>
      </c>
      <c r="H473" s="317">
        <f>IF(($L$1-(C456+C457+C458+C459))&gt;12,0,F453*1.5%)</f>
        <v>0</v>
      </c>
      <c r="I473" s="317"/>
      <c r="J473" s="317"/>
      <c r="K473" s="81" t="s">
        <v>53</v>
      </c>
      <c r="M473" s="315" t="s">
        <v>87</v>
      </c>
      <c r="N473" s="316"/>
      <c r="O473" s="316"/>
      <c r="P473" s="316"/>
      <c r="Q473" s="316"/>
      <c r="R473" s="316"/>
      <c r="S473" s="73" t="s">
        <v>47</v>
      </c>
      <c r="T473" s="317">
        <f>IF(($L$1-(O456+O457+O458+O459))&gt;12,0,R453*1.5%)</f>
        <v>0</v>
      </c>
      <c r="U473" s="317"/>
      <c r="V473" s="317"/>
      <c r="W473" s="81" t="s">
        <v>53</v>
      </c>
    </row>
    <row r="474" spans="1:24" ht="18.75" customHeight="1">
      <c r="A474" s="315" t="s">
        <v>88</v>
      </c>
      <c r="B474" s="316"/>
      <c r="C474" s="316"/>
      <c r="D474" s="316"/>
      <c r="E474" s="316"/>
      <c r="F474" s="316"/>
      <c r="G474" s="73" t="s">
        <v>47</v>
      </c>
      <c r="H474" s="317">
        <f>IF(($L$1-(C456+C457+C458+C459))&gt;12,0,F453*1%)</f>
        <v>0</v>
      </c>
      <c r="I474" s="317"/>
      <c r="J474" s="317"/>
      <c r="K474" s="81" t="s">
        <v>53</v>
      </c>
      <c r="M474" s="315" t="s">
        <v>88</v>
      </c>
      <c r="N474" s="316"/>
      <c r="O474" s="316"/>
      <c r="P474" s="316"/>
      <c r="Q474" s="316"/>
      <c r="R474" s="316"/>
      <c r="S474" s="73" t="s">
        <v>47</v>
      </c>
      <c r="T474" s="317">
        <f>IF(($L$1-(O456+O457+O458+O459))&gt;12,0,R453*1%)</f>
        <v>0</v>
      </c>
      <c r="U474" s="317"/>
      <c r="V474" s="317"/>
      <c r="W474" s="81" t="s">
        <v>53</v>
      </c>
    </row>
    <row r="475" spans="1:24" ht="18.75" customHeight="1">
      <c r="A475" s="315" t="s">
        <v>89</v>
      </c>
      <c r="B475" s="316"/>
      <c r="C475" s="316"/>
      <c r="D475" s="316"/>
      <c r="E475" s="316"/>
      <c r="F475" s="316"/>
      <c r="G475" s="73" t="s">
        <v>47</v>
      </c>
      <c r="H475" s="317">
        <v>0</v>
      </c>
      <c r="I475" s="317"/>
      <c r="J475" s="317"/>
      <c r="K475" s="81" t="s">
        <v>53</v>
      </c>
      <c r="M475" s="315" t="s">
        <v>89</v>
      </c>
      <c r="N475" s="316"/>
      <c r="O475" s="316"/>
      <c r="P475" s="316"/>
      <c r="Q475" s="316"/>
      <c r="R475" s="316"/>
      <c r="S475" s="73" t="s">
        <v>47</v>
      </c>
      <c r="T475" s="317">
        <v>0</v>
      </c>
      <c r="U475" s="317"/>
      <c r="V475" s="317"/>
      <c r="W475" s="81" t="s">
        <v>53</v>
      </c>
    </row>
    <row r="476" spans="1:24" ht="18.75" customHeight="1">
      <c r="A476" s="318" t="s">
        <v>90</v>
      </c>
      <c r="B476" s="319"/>
      <c r="C476" s="319"/>
      <c r="D476" s="319"/>
      <c r="E476" s="319"/>
      <c r="F476" s="319"/>
      <c r="G476" s="73" t="s">
        <v>47</v>
      </c>
      <c r="H476" s="320">
        <f>SUM(H472:J475)</f>
        <v>0</v>
      </c>
      <c r="I476" s="320"/>
      <c r="J476" s="320"/>
      <c r="K476" s="81" t="s">
        <v>53</v>
      </c>
      <c r="M476" s="318" t="s">
        <v>90</v>
      </c>
      <c r="N476" s="319"/>
      <c r="O476" s="319"/>
      <c r="P476" s="319"/>
      <c r="Q476" s="319"/>
      <c r="R476" s="319"/>
      <c r="S476" s="73" t="s">
        <v>47</v>
      </c>
      <c r="T476" s="320">
        <f>SUM(T472:V475)</f>
        <v>0</v>
      </c>
      <c r="U476" s="320"/>
      <c r="V476" s="320"/>
      <c r="W476" s="81" t="s">
        <v>53</v>
      </c>
    </row>
    <row r="477" spans="1:24" ht="18.75" customHeight="1">
      <c r="A477" s="315" t="s">
        <v>91</v>
      </c>
      <c r="B477" s="316"/>
      <c r="C477" s="316"/>
      <c r="D477" s="316"/>
      <c r="E477" s="316"/>
      <c r="F477" s="316"/>
      <c r="G477" s="73" t="s">
        <v>47</v>
      </c>
      <c r="H477" s="327">
        <f>ROUND(H469-H476,-2)</f>
        <v>0</v>
      </c>
      <c r="I477" s="327"/>
      <c r="J477" s="327"/>
      <c r="K477" s="81" t="s">
        <v>53</v>
      </c>
      <c r="M477" s="315" t="s">
        <v>91</v>
      </c>
      <c r="N477" s="316"/>
      <c r="O477" s="316"/>
      <c r="P477" s="316"/>
      <c r="Q477" s="316"/>
      <c r="R477" s="316"/>
      <c r="S477" s="73" t="s">
        <v>47</v>
      </c>
      <c r="T477" s="327">
        <f>ROUND(T469-T476,-2)</f>
        <v>0</v>
      </c>
      <c r="U477" s="327"/>
      <c r="V477" s="327"/>
      <c r="W477" s="81" t="s">
        <v>53</v>
      </c>
    </row>
    <row r="478" spans="1:24" ht="18.75" customHeight="1">
      <c r="A478" s="91"/>
      <c r="B478" s="92"/>
      <c r="C478" s="92"/>
      <c r="D478" s="92"/>
      <c r="E478" s="92"/>
      <c r="F478" s="92"/>
      <c r="G478" s="92"/>
      <c r="H478" s="92"/>
      <c r="I478" s="92"/>
      <c r="J478" s="92"/>
      <c r="K478" s="93"/>
      <c r="M478" s="91"/>
      <c r="N478" s="92"/>
      <c r="O478" s="92"/>
      <c r="P478" s="92"/>
      <c r="Q478" s="92"/>
      <c r="R478" s="92"/>
      <c r="S478" s="92"/>
      <c r="T478" s="92"/>
      <c r="U478" s="92"/>
      <c r="V478" s="92"/>
      <c r="W478" s="93"/>
    </row>
    <row r="479" spans="1:24" ht="18.75" customHeight="1">
      <c r="A479" s="94"/>
      <c r="B479" s="73"/>
      <c r="C479" s="73"/>
      <c r="D479" s="73"/>
      <c r="E479" s="73"/>
      <c r="F479" s="73"/>
      <c r="G479" s="73"/>
      <c r="H479" s="73"/>
      <c r="I479" s="324" t="s">
        <v>92</v>
      </c>
      <c r="J479" s="324"/>
      <c r="K479" s="328"/>
      <c r="M479" s="94"/>
      <c r="N479" s="73"/>
      <c r="O479" s="73"/>
      <c r="P479" s="73"/>
      <c r="Q479" s="73"/>
      <c r="R479" s="73"/>
      <c r="S479" s="73"/>
      <c r="T479" s="73"/>
      <c r="U479" s="324" t="s">
        <v>92</v>
      </c>
      <c r="V479" s="324"/>
      <c r="W479" s="328"/>
    </row>
    <row r="480" spans="1:24" ht="18.75" customHeight="1">
      <c r="A480" s="94"/>
      <c r="B480" s="324"/>
      <c r="C480" s="324"/>
      <c r="D480" s="324"/>
      <c r="E480" s="324"/>
      <c r="F480" s="73"/>
      <c r="G480" s="73"/>
      <c r="H480" s="73"/>
      <c r="I480" s="73"/>
      <c r="J480" s="73"/>
      <c r="K480" s="74"/>
      <c r="M480" s="94"/>
      <c r="N480" s="324"/>
      <c r="O480" s="324"/>
      <c r="P480" s="324"/>
      <c r="Q480" s="324"/>
      <c r="R480" s="73"/>
      <c r="S480" s="73"/>
      <c r="T480" s="73"/>
      <c r="U480" s="73"/>
      <c r="V480" s="73"/>
      <c r="W480" s="74"/>
    </row>
    <row r="481" spans="1:24" ht="18.75" customHeight="1" thickBot="1">
      <c r="A481" s="95"/>
      <c r="B481" s="96"/>
      <c r="C481" s="96"/>
      <c r="D481" s="96"/>
      <c r="E481" s="96"/>
      <c r="F481" s="96"/>
      <c r="G481" s="96"/>
      <c r="H481" s="96"/>
      <c r="I481" s="325" t="s">
        <v>93</v>
      </c>
      <c r="J481" s="325"/>
      <c r="K481" s="326"/>
      <c r="M481" s="95"/>
      <c r="N481" s="96"/>
      <c r="O481" s="96"/>
      <c r="P481" s="96"/>
      <c r="Q481" s="96"/>
      <c r="R481" s="96"/>
      <c r="S481" s="96"/>
      <c r="T481" s="96"/>
      <c r="U481" s="325" t="s">
        <v>93</v>
      </c>
      <c r="V481" s="325"/>
      <c r="W481" s="326"/>
    </row>
    <row r="483" spans="1:24" ht="18.75" customHeight="1" thickTop="1">
      <c r="A483" s="300" t="s">
        <v>41</v>
      </c>
      <c r="B483" s="301"/>
      <c r="C483" s="301"/>
      <c r="D483" s="301"/>
      <c r="E483" s="301"/>
      <c r="F483" s="301"/>
      <c r="G483" s="301"/>
      <c r="H483" s="301"/>
      <c r="I483" s="301"/>
      <c r="J483" s="301"/>
      <c r="K483" s="302"/>
      <c r="L483" s="69">
        <v>25</v>
      </c>
      <c r="M483" s="300" t="s">
        <v>41</v>
      </c>
      <c r="N483" s="301"/>
      <c r="O483" s="301"/>
      <c r="P483" s="301"/>
      <c r="Q483" s="301"/>
      <c r="R483" s="301"/>
      <c r="S483" s="301"/>
      <c r="T483" s="301"/>
      <c r="U483" s="301"/>
      <c r="V483" s="301"/>
      <c r="W483" s="302"/>
      <c r="X483" s="69">
        <v>25</v>
      </c>
    </row>
    <row r="484" spans="1:24" ht="18.75" customHeight="1">
      <c r="A484" s="70" t="s">
        <v>134</v>
      </c>
      <c r="B484" s="71"/>
      <c r="C484" s="71"/>
      <c r="D484" s="71"/>
      <c r="E484" s="71"/>
      <c r="F484" s="71"/>
      <c r="G484" s="71"/>
      <c r="H484" s="71"/>
      <c r="I484" s="71"/>
      <c r="J484" s="71"/>
      <c r="K484" s="72"/>
      <c r="M484" s="70" t="s">
        <v>135</v>
      </c>
      <c r="N484" s="71"/>
      <c r="O484" s="71"/>
      <c r="P484" s="71"/>
      <c r="Q484" s="71"/>
      <c r="R484" s="71"/>
      <c r="S484" s="71"/>
      <c r="T484" s="71"/>
      <c r="U484" s="71"/>
      <c r="V484" s="71"/>
      <c r="W484" s="72"/>
    </row>
    <row r="485" spans="1:24" ht="18.75" customHeight="1">
      <c r="A485" s="303" t="s">
        <v>45</v>
      </c>
      <c r="B485" s="304"/>
      <c r="C485" s="304"/>
      <c r="D485" s="304"/>
      <c r="E485" s="304"/>
      <c r="F485" s="304"/>
      <c r="G485" s="304"/>
      <c r="H485" s="304"/>
      <c r="I485" s="304"/>
      <c r="J485" s="304"/>
      <c r="K485" s="305"/>
      <c r="M485" s="303" t="s">
        <v>45</v>
      </c>
      <c r="N485" s="304"/>
      <c r="O485" s="304"/>
      <c r="P485" s="304"/>
      <c r="Q485" s="304"/>
      <c r="R485" s="304"/>
      <c r="S485" s="304"/>
      <c r="T485" s="304"/>
      <c r="U485" s="304"/>
      <c r="V485" s="304"/>
      <c r="W485" s="305"/>
    </row>
    <row r="486" spans="1:24" ht="18.75" customHeight="1">
      <c r="A486" s="295" t="s">
        <v>46</v>
      </c>
      <c r="B486" s="296"/>
      <c r="C486" s="296"/>
      <c r="D486" s="296"/>
      <c r="E486" s="73" t="s">
        <v>47</v>
      </c>
      <c r="F486" s="297">
        <f>'[2]Bang TH nop'!B52</f>
        <v>0</v>
      </c>
      <c r="G486" s="296"/>
      <c r="H486" s="296"/>
      <c r="I486" s="296"/>
      <c r="J486" s="296"/>
      <c r="K486" s="299"/>
      <c r="M486" s="295" t="s">
        <v>46</v>
      </c>
      <c r="N486" s="296"/>
      <c r="O486" s="296"/>
      <c r="P486" s="296"/>
      <c r="Q486" s="73" t="s">
        <v>47</v>
      </c>
      <c r="R486" s="297">
        <f>'[2]Bang TH nop'!B54</f>
        <v>0</v>
      </c>
      <c r="S486" s="296"/>
      <c r="T486" s="296"/>
      <c r="U486" s="296"/>
      <c r="V486" s="296"/>
      <c r="W486" s="299"/>
    </row>
    <row r="487" spans="1:24" ht="18.75" customHeight="1">
      <c r="A487" s="295" t="s">
        <v>49</v>
      </c>
      <c r="B487" s="296"/>
      <c r="C487" s="296"/>
      <c r="D487" s="296"/>
      <c r="E487" s="73" t="s">
        <v>47</v>
      </c>
      <c r="F487" s="297">
        <f>'[2]Bang TH nop'!C52</f>
        <v>0</v>
      </c>
      <c r="G487" s="297"/>
      <c r="H487" s="297"/>
      <c r="I487" s="297"/>
      <c r="J487" s="297"/>
      <c r="K487" s="298"/>
      <c r="M487" s="295" t="s">
        <v>49</v>
      </c>
      <c r="N487" s="296"/>
      <c r="O487" s="296"/>
      <c r="P487" s="296"/>
      <c r="Q487" s="73" t="s">
        <v>47</v>
      </c>
      <c r="R487" s="297">
        <f>'[2]Bang TH nop'!C54</f>
        <v>0</v>
      </c>
      <c r="S487" s="297"/>
      <c r="T487" s="297"/>
      <c r="U487" s="297"/>
      <c r="V487" s="297"/>
      <c r="W487" s="298"/>
    </row>
    <row r="488" spans="1:24" ht="18.75" customHeight="1">
      <c r="A488" s="295" t="s">
        <v>50</v>
      </c>
      <c r="B488" s="296"/>
      <c r="C488" s="296"/>
      <c r="D488" s="296"/>
      <c r="E488" s="73" t="s">
        <v>47</v>
      </c>
      <c r="F488" s="296" t="s">
        <v>121</v>
      </c>
      <c r="G488" s="296"/>
      <c r="H488" s="296"/>
      <c r="I488" s="296"/>
      <c r="J488" s="296"/>
      <c r="K488" s="299"/>
      <c r="M488" s="295" t="s">
        <v>50</v>
      </c>
      <c r="N488" s="296"/>
      <c r="O488" s="296"/>
      <c r="P488" s="296"/>
      <c r="Q488" s="73" t="s">
        <v>47</v>
      </c>
      <c r="R488" s="296" t="s">
        <v>121</v>
      </c>
      <c r="S488" s="296"/>
      <c r="T488" s="296"/>
      <c r="U488" s="296"/>
      <c r="V488" s="296"/>
      <c r="W488" s="299"/>
    </row>
    <row r="489" spans="1:24" ht="18.75" customHeight="1">
      <c r="A489" s="303" t="s">
        <v>51</v>
      </c>
      <c r="B489" s="304"/>
      <c r="C489" s="304"/>
      <c r="D489" s="304"/>
      <c r="E489" s="304"/>
      <c r="F489" s="304"/>
      <c r="G489" s="304"/>
      <c r="H489" s="304"/>
      <c r="I489" s="304"/>
      <c r="J489" s="304"/>
      <c r="K489" s="305"/>
      <c r="M489" s="303" t="s">
        <v>51</v>
      </c>
      <c r="N489" s="304"/>
      <c r="O489" s="304"/>
      <c r="P489" s="304"/>
      <c r="Q489" s="304"/>
      <c r="R489" s="304"/>
      <c r="S489" s="304"/>
      <c r="T489" s="304"/>
      <c r="U489" s="304"/>
      <c r="V489" s="304"/>
      <c r="W489" s="305"/>
    </row>
    <row r="490" spans="1:24" ht="18.75" customHeight="1">
      <c r="A490" s="295" t="s">
        <v>52</v>
      </c>
      <c r="B490" s="296"/>
      <c r="C490" s="296"/>
      <c r="D490" s="296"/>
      <c r="E490" s="73" t="s">
        <v>47</v>
      </c>
      <c r="F490" s="310">
        <v>2915400</v>
      </c>
      <c r="G490" s="310"/>
      <c r="H490" s="310"/>
      <c r="I490" s="310"/>
      <c r="J490" s="73" t="s">
        <v>53</v>
      </c>
      <c r="K490" s="74"/>
      <c r="M490" s="295" t="s">
        <v>52</v>
      </c>
      <c r="N490" s="296"/>
      <c r="O490" s="296"/>
      <c r="P490" s="296"/>
      <c r="Q490" s="73" t="s">
        <v>47</v>
      </c>
      <c r="R490" s="310">
        <v>2915400</v>
      </c>
      <c r="S490" s="310"/>
      <c r="T490" s="310"/>
      <c r="U490" s="310"/>
      <c r="V490" s="73" t="s">
        <v>53</v>
      </c>
      <c r="W490" s="74"/>
    </row>
    <row r="491" spans="1:24" ht="18.75" customHeight="1">
      <c r="A491" s="75" t="s">
        <v>54</v>
      </c>
      <c r="B491" s="73"/>
      <c r="C491" s="76"/>
      <c r="D491" s="77"/>
      <c r="E491" s="78"/>
      <c r="F491" s="78"/>
      <c r="G491" s="78"/>
      <c r="H491" s="73"/>
      <c r="I491" s="79">
        <f>'[2]LUONG T7'!F57</f>
        <v>0</v>
      </c>
      <c r="J491" s="80"/>
      <c r="K491" s="81"/>
      <c r="M491" s="75" t="s">
        <v>54</v>
      </c>
      <c r="N491" s="73"/>
      <c r="O491" s="76"/>
      <c r="P491" s="77"/>
      <c r="Q491" s="78"/>
      <c r="R491" s="78"/>
      <c r="S491" s="78"/>
      <c r="T491" s="73"/>
      <c r="U491" s="79">
        <f>'[2]LUONG T7'!F59</f>
        <v>0</v>
      </c>
      <c r="V491" s="80"/>
      <c r="W491" s="81"/>
    </row>
    <row r="492" spans="1:24" ht="18.75" customHeight="1">
      <c r="A492" s="75" t="s">
        <v>55</v>
      </c>
      <c r="B492" s="73"/>
      <c r="C492" s="76"/>
      <c r="D492" s="77"/>
      <c r="E492" s="78"/>
      <c r="F492" s="78"/>
      <c r="G492" s="78"/>
      <c r="H492" s="73"/>
      <c r="I492" s="79" t="e">
        <f>I493/C493/8</f>
        <v>#DIV/0!</v>
      </c>
      <c r="J492" s="80"/>
      <c r="K492" s="81"/>
      <c r="M492" s="75" t="s">
        <v>55</v>
      </c>
      <c r="N492" s="73"/>
      <c r="O492" s="76"/>
      <c r="P492" s="77"/>
      <c r="Q492" s="78"/>
      <c r="R492" s="78"/>
      <c r="S492" s="78"/>
      <c r="T492" s="73"/>
      <c r="U492" s="79" t="e">
        <f>U493/O493/8</f>
        <v>#DIV/0!</v>
      </c>
      <c r="V492" s="80"/>
      <c r="W492" s="81"/>
    </row>
    <row r="493" spans="1:24" ht="18.75" customHeight="1">
      <c r="A493" s="75" t="s">
        <v>56</v>
      </c>
      <c r="B493" s="73" t="s">
        <v>47</v>
      </c>
      <c r="C493" s="76">
        <f>'[2]LUONG T7'!I56</f>
        <v>0</v>
      </c>
      <c r="D493" s="77" t="s">
        <v>57</v>
      </c>
      <c r="E493" s="308" t="s">
        <v>58</v>
      </c>
      <c r="F493" s="308"/>
      <c r="G493" s="308"/>
      <c r="H493" s="73" t="s">
        <v>47</v>
      </c>
      <c r="I493" s="309">
        <f>'[2]LUONG T7'!I57</f>
        <v>0</v>
      </c>
      <c r="J493" s="309"/>
      <c r="K493" s="81" t="s">
        <v>53</v>
      </c>
      <c r="L493" s="82">
        <f>F490/L483*C493</f>
        <v>0</v>
      </c>
      <c r="M493" s="75" t="s">
        <v>56</v>
      </c>
      <c r="N493" s="73" t="s">
        <v>47</v>
      </c>
      <c r="O493" s="76">
        <f>'[2]LUONG T7'!I58</f>
        <v>0</v>
      </c>
      <c r="P493" s="77" t="s">
        <v>57</v>
      </c>
      <c r="Q493" s="308" t="s">
        <v>58</v>
      </c>
      <c r="R493" s="308"/>
      <c r="S493" s="308"/>
      <c r="T493" s="73" t="s">
        <v>47</v>
      </c>
      <c r="U493" s="309">
        <f>'[2]LUONG T7'!I59</f>
        <v>0</v>
      </c>
      <c r="V493" s="309"/>
      <c r="W493" s="81" t="s">
        <v>53</v>
      </c>
      <c r="X493" s="82">
        <f>R490/X483*O493</f>
        <v>0</v>
      </c>
    </row>
    <row r="494" spans="1:24" ht="18.75" customHeight="1">
      <c r="A494" s="75" t="s">
        <v>59</v>
      </c>
      <c r="B494" s="73" t="s">
        <v>47</v>
      </c>
      <c r="C494" s="76">
        <f>'[2]LUONG T7'!J56</f>
        <v>0</v>
      </c>
      <c r="D494" s="77" t="s">
        <v>57</v>
      </c>
      <c r="E494" s="296" t="s">
        <v>60</v>
      </c>
      <c r="F494" s="296"/>
      <c r="G494" s="296"/>
      <c r="H494" s="73" t="s">
        <v>47</v>
      </c>
      <c r="I494" s="307">
        <f>$F$8/$L$1*C494</f>
        <v>0</v>
      </c>
      <c r="J494" s="307"/>
      <c r="K494" s="81" t="s">
        <v>53</v>
      </c>
      <c r="L494" s="82"/>
      <c r="M494" s="75" t="s">
        <v>59</v>
      </c>
      <c r="N494" s="73" t="s">
        <v>47</v>
      </c>
      <c r="O494" s="76">
        <f>'[2]LUONG T7'!J58</f>
        <v>0</v>
      </c>
      <c r="P494" s="77" t="s">
        <v>57</v>
      </c>
      <c r="Q494" s="296" t="s">
        <v>60</v>
      </c>
      <c r="R494" s="296"/>
      <c r="S494" s="296"/>
      <c r="T494" s="73" t="s">
        <v>47</v>
      </c>
      <c r="U494" s="307">
        <f>$F$8/$L$1*O494</f>
        <v>0</v>
      </c>
      <c r="V494" s="307"/>
      <c r="W494" s="81" t="s">
        <v>53</v>
      </c>
      <c r="X494" s="82"/>
    </row>
    <row r="495" spans="1:24" ht="18.75" customHeight="1">
      <c r="A495" s="75" t="s">
        <v>61</v>
      </c>
      <c r="B495" s="73" t="s">
        <v>47</v>
      </c>
      <c r="C495" s="76">
        <f>'[2]LUONG T7'!K56</f>
        <v>0</v>
      </c>
      <c r="D495" s="77" t="s">
        <v>57</v>
      </c>
      <c r="E495" s="306" t="s">
        <v>62</v>
      </c>
      <c r="F495" s="306"/>
      <c r="G495" s="306"/>
      <c r="H495" s="73" t="s">
        <v>47</v>
      </c>
      <c r="I495" s="307">
        <f>$F$8/$L$1*C495</f>
        <v>0</v>
      </c>
      <c r="J495" s="307"/>
      <c r="K495" s="81" t="s">
        <v>53</v>
      </c>
      <c r="L495" s="82"/>
      <c r="M495" s="75" t="s">
        <v>61</v>
      </c>
      <c r="N495" s="73" t="s">
        <v>47</v>
      </c>
      <c r="O495" s="76">
        <f>'[2]LUONG T7'!K58</f>
        <v>0</v>
      </c>
      <c r="P495" s="77" t="s">
        <v>57</v>
      </c>
      <c r="Q495" s="306" t="s">
        <v>62</v>
      </c>
      <c r="R495" s="306"/>
      <c r="S495" s="306"/>
      <c r="T495" s="73" t="s">
        <v>47</v>
      </c>
      <c r="U495" s="307">
        <f>$F$8/$L$1*O495</f>
        <v>0</v>
      </c>
      <c r="V495" s="307"/>
      <c r="W495" s="81" t="s">
        <v>53</v>
      </c>
      <c r="X495" s="82"/>
    </row>
    <row r="496" spans="1:24" ht="18.75" customHeight="1">
      <c r="A496" s="75" t="s">
        <v>63</v>
      </c>
      <c r="B496" s="73" t="s">
        <v>47</v>
      </c>
      <c r="C496" s="76">
        <f>'[2]LUONG T7'!L56</f>
        <v>0</v>
      </c>
      <c r="D496" s="77" t="s">
        <v>57</v>
      </c>
      <c r="E496" s="306" t="s">
        <v>64</v>
      </c>
      <c r="F496" s="306"/>
      <c r="G496" s="306"/>
      <c r="H496" s="73" t="s">
        <v>47</v>
      </c>
      <c r="I496" s="307">
        <f>$F$8/$L$1*C496</f>
        <v>0</v>
      </c>
      <c r="J496" s="307"/>
      <c r="K496" s="81" t="s">
        <v>53</v>
      </c>
      <c r="L496" s="82"/>
      <c r="M496" s="75" t="s">
        <v>63</v>
      </c>
      <c r="N496" s="73" t="s">
        <v>47</v>
      </c>
      <c r="O496" s="76">
        <f>'[2]LUONG T7'!L58</f>
        <v>0</v>
      </c>
      <c r="P496" s="77" t="s">
        <v>57</v>
      </c>
      <c r="Q496" s="306" t="s">
        <v>64</v>
      </c>
      <c r="R496" s="306"/>
      <c r="S496" s="306"/>
      <c r="T496" s="73" t="s">
        <v>47</v>
      </c>
      <c r="U496" s="307">
        <f>$F$8/$L$1*O496</f>
        <v>0</v>
      </c>
      <c r="V496" s="307"/>
      <c r="W496" s="81" t="s">
        <v>53</v>
      </c>
      <c r="X496" s="82"/>
    </row>
    <row r="497" spans="1:24" ht="18.75" customHeight="1">
      <c r="A497" s="75" t="s">
        <v>65</v>
      </c>
      <c r="B497" s="73" t="s">
        <v>47</v>
      </c>
      <c r="C497" s="76">
        <f>'[2]LUONG T7'!Q56</f>
        <v>0</v>
      </c>
      <c r="D497" s="77" t="s">
        <v>66</v>
      </c>
      <c r="E497" s="296" t="s">
        <v>67</v>
      </c>
      <c r="F497" s="296"/>
      <c r="G497" s="296"/>
      <c r="H497" s="73" t="s">
        <v>47</v>
      </c>
      <c r="I497" s="307">
        <f>'[2]LUONG T7'!Q57</f>
        <v>0</v>
      </c>
      <c r="J497" s="307"/>
      <c r="K497" s="81" t="s">
        <v>53</v>
      </c>
      <c r="L497" s="82">
        <f>F490*C497/L483/8*1.5</f>
        <v>0</v>
      </c>
      <c r="M497" s="75" t="s">
        <v>65</v>
      </c>
      <c r="N497" s="73" t="s">
        <v>47</v>
      </c>
      <c r="O497" s="76">
        <f>'[2]LUONG T7'!Q58</f>
        <v>0</v>
      </c>
      <c r="P497" s="77" t="s">
        <v>66</v>
      </c>
      <c r="Q497" s="296" t="s">
        <v>67</v>
      </c>
      <c r="R497" s="296"/>
      <c r="S497" s="296"/>
      <c r="T497" s="73" t="s">
        <v>47</v>
      </c>
      <c r="U497" s="307">
        <f>'[2]LUONG T7'!Q59</f>
        <v>0</v>
      </c>
      <c r="V497" s="307"/>
      <c r="W497" s="81" t="s">
        <v>53</v>
      </c>
      <c r="X497" s="82">
        <f>R490*O497/X483/8*1.5</f>
        <v>0</v>
      </c>
    </row>
    <row r="498" spans="1:24" ht="18.75" customHeight="1">
      <c r="A498" s="295" t="s">
        <v>68</v>
      </c>
      <c r="B498" s="296"/>
      <c r="C498" s="76"/>
      <c r="D498" s="77" t="s">
        <v>57</v>
      </c>
      <c r="E498" s="296" t="s">
        <v>69</v>
      </c>
      <c r="F498" s="296"/>
      <c r="G498" s="296"/>
      <c r="H498" s="83" t="s">
        <v>47</v>
      </c>
      <c r="I498" s="307"/>
      <c r="J498" s="307"/>
      <c r="K498" s="81" t="s">
        <v>53</v>
      </c>
      <c r="L498" s="82"/>
      <c r="M498" s="295" t="s">
        <v>68</v>
      </c>
      <c r="N498" s="296"/>
      <c r="O498" s="76"/>
      <c r="P498" s="77" t="s">
        <v>57</v>
      </c>
      <c r="Q498" s="296" t="s">
        <v>69</v>
      </c>
      <c r="R498" s="296"/>
      <c r="S498" s="296"/>
      <c r="T498" s="83" t="s">
        <v>47</v>
      </c>
      <c r="U498" s="307"/>
      <c r="V498" s="307"/>
      <c r="W498" s="81" t="s">
        <v>53</v>
      </c>
      <c r="X498" s="82"/>
    </row>
    <row r="499" spans="1:24" ht="18.75" customHeight="1">
      <c r="A499" s="75" t="s">
        <v>70</v>
      </c>
      <c r="B499" s="73" t="s">
        <v>47</v>
      </c>
      <c r="C499" s="76"/>
      <c r="D499" s="77" t="s">
        <v>57</v>
      </c>
      <c r="E499" s="296" t="s">
        <v>71</v>
      </c>
      <c r="F499" s="296"/>
      <c r="G499" s="296"/>
      <c r="H499" s="73" t="s">
        <v>47</v>
      </c>
      <c r="I499" s="307"/>
      <c r="J499" s="307"/>
      <c r="K499" s="81" t="s">
        <v>53</v>
      </c>
      <c r="L499" s="82"/>
      <c r="M499" s="75" t="s">
        <v>70</v>
      </c>
      <c r="N499" s="73" t="s">
        <v>47</v>
      </c>
      <c r="O499" s="76"/>
      <c r="P499" s="77" t="s">
        <v>57</v>
      </c>
      <c r="Q499" s="296" t="s">
        <v>71</v>
      </c>
      <c r="R499" s="296"/>
      <c r="S499" s="296"/>
      <c r="T499" s="73" t="s">
        <v>47</v>
      </c>
      <c r="U499" s="307"/>
      <c r="V499" s="307"/>
      <c r="W499" s="81" t="s">
        <v>53</v>
      </c>
      <c r="X499" s="82"/>
    </row>
    <row r="500" spans="1:24" ht="18.75" customHeight="1">
      <c r="A500" s="84" t="s">
        <v>72</v>
      </c>
      <c r="B500" s="73"/>
      <c r="C500" s="76">
        <f>'[2]LUONG T7'!M56</f>
        <v>0</v>
      </c>
      <c r="D500" s="77" t="s">
        <v>66</v>
      </c>
      <c r="E500" s="296" t="s">
        <v>73</v>
      </c>
      <c r="F500" s="296"/>
      <c r="G500" s="296"/>
      <c r="H500" s="73" t="s">
        <v>47</v>
      </c>
      <c r="I500" s="307">
        <f>$F$8*C500/8/$L$1</f>
        <v>0</v>
      </c>
      <c r="J500" s="307"/>
      <c r="K500" s="81" t="s">
        <v>53</v>
      </c>
      <c r="L500" s="82"/>
      <c r="M500" s="84" t="s">
        <v>72</v>
      </c>
      <c r="N500" s="73"/>
      <c r="O500" s="76">
        <f>'[2]LUONG T7'!M58</f>
        <v>0</v>
      </c>
      <c r="P500" s="77" t="s">
        <v>66</v>
      </c>
      <c r="Q500" s="296" t="s">
        <v>73</v>
      </c>
      <c r="R500" s="296"/>
      <c r="S500" s="296"/>
      <c r="T500" s="73" t="s">
        <v>47</v>
      </c>
      <c r="U500" s="307">
        <f>$F$8*O500/8/$L$1</f>
        <v>0</v>
      </c>
      <c r="V500" s="307"/>
      <c r="W500" s="81" t="s">
        <v>53</v>
      </c>
      <c r="X500" s="82"/>
    </row>
    <row r="501" spans="1:24" ht="18.75" customHeight="1">
      <c r="A501" s="75" t="s">
        <v>74</v>
      </c>
      <c r="B501" s="73" t="s">
        <v>47</v>
      </c>
      <c r="C501" s="76"/>
      <c r="D501" s="77" t="s">
        <v>66</v>
      </c>
      <c r="E501" s="296" t="s">
        <v>98</v>
      </c>
      <c r="F501" s="296"/>
      <c r="G501" s="296"/>
      <c r="H501" s="73" t="s">
        <v>47</v>
      </c>
      <c r="I501" s="309"/>
      <c r="J501" s="309"/>
      <c r="K501" s="81" t="s">
        <v>53</v>
      </c>
      <c r="L501" s="82"/>
      <c r="M501" s="75" t="s">
        <v>74</v>
      </c>
      <c r="N501" s="73" t="s">
        <v>47</v>
      </c>
      <c r="O501" s="76"/>
      <c r="P501" s="77" t="s">
        <v>66</v>
      </c>
      <c r="Q501" s="296" t="s">
        <v>98</v>
      </c>
      <c r="R501" s="296"/>
      <c r="S501" s="296"/>
      <c r="T501" s="73" t="s">
        <v>47</v>
      </c>
      <c r="U501" s="309"/>
      <c r="V501" s="309"/>
      <c r="W501" s="81" t="s">
        <v>53</v>
      </c>
      <c r="X501" s="82"/>
    </row>
    <row r="502" spans="1:24" ht="18.75" customHeight="1">
      <c r="A502" s="75" t="s">
        <v>76</v>
      </c>
      <c r="B502" s="73" t="s">
        <v>47</v>
      </c>
      <c r="C502" s="76"/>
      <c r="D502" s="77" t="s">
        <v>77</v>
      </c>
      <c r="E502" s="85" t="s">
        <v>78</v>
      </c>
      <c r="F502" s="85"/>
      <c r="G502" s="85"/>
      <c r="H502" s="73" t="s">
        <v>47</v>
      </c>
      <c r="I502" s="307"/>
      <c r="J502" s="307"/>
      <c r="K502" s="81" t="s">
        <v>53</v>
      </c>
      <c r="L502" s="82">
        <f>+IF(L493-I493&lt;0,0,L493-I493)+IF(L497-I497&lt;0,0,L497-I497)</f>
        <v>0</v>
      </c>
      <c r="M502" s="75" t="s">
        <v>76</v>
      </c>
      <c r="N502" s="73" t="s">
        <v>47</v>
      </c>
      <c r="O502" s="76"/>
      <c r="P502" s="77" t="s">
        <v>77</v>
      </c>
      <c r="Q502" s="85" t="s">
        <v>78</v>
      </c>
      <c r="R502" s="85"/>
      <c r="S502" s="85"/>
      <c r="T502" s="73" t="s">
        <v>47</v>
      </c>
      <c r="U502" s="307"/>
      <c r="V502" s="307"/>
      <c r="W502" s="81" t="s">
        <v>53</v>
      </c>
      <c r="X502" s="82">
        <f>+IF(X493-U493&lt;0,0,X493-U493)+IF(X497-U497&lt;0,0,X497-U497)</f>
        <v>0</v>
      </c>
    </row>
    <row r="503" spans="1:24" ht="18.75" customHeight="1">
      <c r="A503" s="86" t="s">
        <v>122</v>
      </c>
      <c r="B503" s="87"/>
      <c r="C503" s="76"/>
      <c r="D503" s="77" t="s">
        <v>57</v>
      </c>
      <c r="E503" s="296" t="s">
        <v>123</v>
      </c>
      <c r="F503" s="296"/>
      <c r="G503" s="296"/>
      <c r="H503" s="73" t="s">
        <v>47</v>
      </c>
      <c r="I503" s="307"/>
      <c r="J503" s="307"/>
      <c r="K503" s="81" t="s">
        <v>53</v>
      </c>
      <c r="L503" s="82"/>
      <c r="M503" s="86" t="s">
        <v>122</v>
      </c>
      <c r="N503" s="87"/>
      <c r="O503" s="76"/>
      <c r="P503" s="77" t="s">
        <v>57</v>
      </c>
      <c r="Q503" s="296" t="s">
        <v>123</v>
      </c>
      <c r="R503" s="296"/>
      <c r="S503" s="296"/>
      <c r="T503" s="73" t="s">
        <v>47</v>
      </c>
      <c r="U503" s="307"/>
      <c r="V503" s="307"/>
      <c r="W503" s="81" t="s">
        <v>53</v>
      </c>
      <c r="X503" s="82"/>
    </row>
    <row r="504" spans="1:24" ht="18.75" customHeight="1">
      <c r="A504" s="314" t="s">
        <v>81</v>
      </c>
      <c r="B504" s="308"/>
      <c r="C504" s="76"/>
      <c r="D504" s="77"/>
      <c r="E504" s="78"/>
      <c r="F504" s="78"/>
      <c r="G504" s="78"/>
      <c r="H504" s="73" t="s">
        <v>47</v>
      </c>
      <c r="I504" s="307">
        <f>'[2]LUONG T7'!P57</f>
        <v>0</v>
      </c>
      <c r="J504" s="307"/>
      <c r="K504" s="81" t="s">
        <v>53</v>
      </c>
      <c r="L504" s="82"/>
      <c r="M504" s="314" t="s">
        <v>81</v>
      </c>
      <c r="N504" s="308"/>
      <c r="O504" s="76"/>
      <c r="P504" s="77"/>
      <c r="Q504" s="78"/>
      <c r="R504" s="78"/>
      <c r="S504" s="78"/>
      <c r="T504" s="73" t="s">
        <v>47</v>
      </c>
      <c r="U504" s="307">
        <f>'[2]LUONG T7'!P59</f>
        <v>0</v>
      </c>
      <c r="V504" s="307"/>
      <c r="W504" s="81" t="s">
        <v>53</v>
      </c>
      <c r="X504" s="82"/>
    </row>
    <row r="505" spans="1:24" ht="18.75" customHeight="1">
      <c r="A505" s="75" t="s">
        <v>82</v>
      </c>
      <c r="B505" s="73" t="s">
        <v>47</v>
      </c>
      <c r="C505" s="76"/>
      <c r="D505" s="77"/>
      <c r="E505" s="78" t="s">
        <v>83</v>
      </c>
      <c r="F505" s="78"/>
      <c r="G505" s="78"/>
      <c r="H505" s="73" t="s">
        <v>47</v>
      </c>
      <c r="I505" s="307">
        <f>L502</f>
        <v>0</v>
      </c>
      <c r="J505" s="307"/>
      <c r="K505" s="81" t="s">
        <v>53</v>
      </c>
      <c r="L505" s="82"/>
      <c r="M505" s="75" t="s">
        <v>82</v>
      </c>
      <c r="N505" s="73" t="s">
        <v>47</v>
      </c>
      <c r="O505" s="76"/>
      <c r="P505" s="77"/>
      <c r="Q505" s="78" t="s">
        <v>83</v>
      </c>
      <c r="R505" s="78"/>
      <c r="S505" s="78"/>
      <c r="T505" s="73" t="s">
        <v>47</v>
      </c>
      <c r="U505" s="307">
        <f>X502</f>
        <v>0</v>
      </c>
      <c r="V505" s="307"/>
      <c r="W505" s="81" t="s">
        <v>53</v>
      </c>
      <c r="X505" s="82"/>
    </row>
    <row r="506" spans="1:24" ht="18.75" customHeight="1">
      <c r="A506" s="311" t="s">
        <v>84</v>
      </c>
      <c r="B506" s="312"/>
      <c r="C506" s="312"/>
      <c r="D506" s="312"/>
      <c r="E506" s="312"/>
      <c r="F506" s="312"/>
      <c r="G506" s="73" t="s">
        <v>47</v>
      </c>
      <c r="H506" s="313">
        <f>I493+I494+I495+I496+I497+I500+I504+I505</f>
        <v>0</v>
      </c>
      <c r="I506" s="313"/>
      <c r="J506" s="313"/>
      <c r="K506" s="81" t="s">
        <v>53</v>
      </c>
      <c r="M506" s="311" t="s">
        <v>84</v>
      </c>
      <c r="N506" s="312"/>
      <c r="O506" s="312"/>
      <c r="P506" s="312"/>
      <c r="Q506" s="312"/>
      <c r="R506" s="312"/>
      <c r="S506" s="73" t="s">
        <v>47</v>
      </c>
      <c r="T506" s="313">
        <f>U493+U494+U495+U496+U497+U500+U504+U505</f>
        <v>0</v>
      </c>
      <c r="U506" s="313"/>
      <c r="V506" s="313"/>
      <c r="W506" s="81" t="s">
        <v>53</v>
      </c>
    </row>
    <row r="507" spans="1:24" ht="18.75" customHeight="1">
      <c r="A507" s="88"/>
      <c r="B507" s="89"/>
      <c r="C507" s="89"/>
      <c r="D507" s="89"/>
      <c r="E507" s="89"/>
      <c r="F507" s="89"/>
      <c r="G507" s="89"/>
      <c r="H507" s="89"/>
      <c r="I507" s="89"/>
      <c r="J507" s="89"/>
      <c r="K507" s="90"/>
      <c r="M507" s="88"/>
      <c r="N507" s="89"/>
      <c r="O507" s="89"/>
      <c r="P507" s="89"/>
      <c r="Q507" s="89"/>
      <c r="R507" s="89"/>
      <c r="S507" s="89"/>
      <c r="T507" s="89"/>
      <c r="U507" s="89"/>
      <c r="V507" s="89"/>
      <c r="W507" s="90"/>
    </row>
    <row r="508" spans="1:24" ht="18.75" customHeight="1">
      <c r="A508" s="321" t="s">
        <v>85</v>
      </c>
      <c r="B508" s="322"/>
      <c r="C508" s="322"/>
      <c r="D508" s="322"/>
      <c r="E508" s="322"/>
      <c r="F508" s="322"/>
      <c r="G508" s="73"/>
      <c r="H508" s="73"/>
      <c r="I508" s="73"/>
      <c r="J508" s="73"/>
      <c r="K508" s="81"/>
      <c r="M508" s="321" t="s">
        <v>85</v>
      </c>
      <c r="N508" s="322"/>
      <c r="O508" s="322"/>
      <c r="P508" s="322"/>
      <c r="Q508" s="322"/>
      <c r="R508" s="322"/>
      <c r="S508" s="73"/>
      <c r="T508" s="73"/>
      <c r="U508" s="73"/>
      <c r="V508" s="73"/>
      <c r="W508" s="81"/>
    </row>
    <row r="509" spans="1:24" ht="18.75" customHeight="1">
      <c r="A509" s="315" t="s">
        <v>86</v>
      </c>
      <c r="B509" s="316"/>
      <c r="C509" s="316"/>
      <c r="D509" s="316"/>
      <c r="E509" s="316"/>
      <c r="F509" s="316"/>
      <c r="G509" s="73" t="s">
        <v>47</v>
      </c>
      <c r="H509" s="323">
        <f>IF(($L$1-(C493+C494+C495+C496))&gt;12,0,F490*8%)</f>
        <v>0</v>
      </c>
      <c r="I509" s="323"/>
      <c r="J509" s="323"/>
      <c r="K509" s="81" t="s">
        <v>53</v>
      </c>
      <c r="M509" s="315" t="s">
        <v>86</v>
      </c>
      <c r="N509" s="316"/>
      <c r="O509" s="316"/>
      <c r="P509" s="316"/>
      <c r="Q509" s="316"/>
      <c r="R509" s="316"/>
      <c r="S509" s="73" t="s">
        <v>47</v>
      </c>
      <c r="T509" s="323">
        <f>IF(($L$1-(O493+O494+O495+O496))&gt;12,0,R490*8%)</f>
        <v>0</v>
      </c>
      <c r="U509" s="323"/>
      <c r="V509" s="323"/>
      <c r="W509" s="81" t="s">
        <v>53</v>
      </c>
    </row>
    <row r="510" spans="1:24" ht="18.75" customHeight="1">
      <c r="A510" s="315" t="s">
        <v>87</v>
      </c>
      <c r="B510" s="316"/>
      <c r="C510" s="316"/>
      <c r="D510" s="316"/>
      <c r="E510" s="316"/>
      <c r="F510" s="316"/>
      <c r="G510" s="73" t="s">
        <v>47</v>
      </c>
      <c r="H510" s="317">
        <f>IF(($L$1-(C493+C494+C495+C496))&gt;12,0,F490*1.5%)</f>
        <v>0</v>
      </c>
      <c r="I510" s="317"/>
      <c r="J510" s="317"/>
      <c r="K510" s="81" t="s">
        <v>53</v>
      </c>
      <c r="M510" s="315" t="s">
        <v>87</v>
      </c>
      <c r="N510" s="316"/>
      <c r="O510" s="316"/>
      <c r="P510" s="316"/>
      <c r="Q510" s="316"/>
      <c r="R510" s="316"/>
      <c r="S510" s="73" t="s">
        <v>47</v>
      </c>
      <c r="T510" s="317">
        <f>IF(($L$1-(O493+O494+O495+O496))&gt;12,0,R490*1.5%)</f>
        <v>0</v>
      </c>
      <c r="U510" s="317"/>
      <c r="V510" s="317"/>
      <c r="W510" s="81" t="s">
        <v>53</v>
      </c>
    </row>
    <row r="511" spans="1:24" ht="18.75" customHeight="1">
      <c r="A511" s="315" t="s">
        <v>88</v>
      </c>
      <c r="B511" s="316"/>
      <c r="C511" s="316"/>
      <c r="D511" s="316"/>
      <c r="E511" s="316"/>
      <c r="F511" s="316"/>
      <c r="G511" s="73" t="s">
        <v>47</v>
      </c>
      <c r="H511" s="317">
        <f>IF(($L$1-(C493+C494+C495+C496))&gt;12,0,F490*1%)</f>
        <v>0</v>
      </c>
      <c r="I511" s="317"/>
      <c r="J511" s="317"/>
      <c r="K511" s="81" t="s">
        <v>53</v>
      </c>
      <c r="M511" s="315" t="s">
        <v>88</v>
      </c>
      <c r="N511" s="316"/>
      <c r="O511" s="316"/>
      <c r="P511" s="316"/>
      <c r="Q511" s="316"/>
      <c r="R511" s="316"/>
      <c r="S511" s="73" t="s">
        <v>47</v>
      </c>
      <c r="T511" s="317">
        <f>IF(($L$1-(O493+O494+O495+O496))&gt;12,0,R490*1%)</f>
        <v>0</v>
      </c>
      <c r="U511" s="317"/>
      <c r="V511" s="317"/>
      <c r="W511" s="81" t="s">
        <v>53</v>
      </c>
    </row>
    <row r="512" spans="1:24" ht="18.75" customHeight="1">
      <c r="A512" s="315" t="s">
        <v>89</v>
      </c>
      <c r="B512" s="316"/>
      <c r="C512" s="316"/>
      <c r="D512" s="316"/>
      <c r="E512" s="316"/>
      <c r="F512" s="316"/>
      <c r="G512" s="73" t="s">
        <v>47</v>
      </c>
      <c r="H512" s="317">
        <v>0</v>
      </c>
      <c r="I512" s="317"/>
      <c r="J512" s="317"/>
      <c r="K512" s="81" t="s">
        <v>53</v>
      </c>
      <c r="M512" s="315" t="s">
        <v>89</v>
      </c>
      <c r="N512" s="316"/>
      <c r="O512" s="316"/>
      <c r="P512" s="316"/>
      <c r="Q512" s="316"/>
      <c r="R512" s="316"/>
      <c r="S512" s="73" t="s">
        <v>47</v>
      </c>
      <c r="T512" s="317">
        <v>0</v>
      </c>
      <c r="U512" s="317"/>
      <c r="V512" s="317"/>
      <c r="W512" s="81" t="s">
        <v>53</v>
      </c>
    </row>
    <row r="513" spans="1:24" ht="18.75" customHeight="1">
      <c r="A513" s="318" t="s">
        <v>90</v>
      </c>
      <c r="B513" s="319"/>
      <c r="C513" s="319"/>
      <c r="D513" s="319"/>
      <c r="E513" s="319"/>
      <c r="F513" s="319"/>
      <c r="G513" s="73" t="s">
        <v>47</v>
      </c>
      <c r="H513" s="320">
        <f>SUM(H509:J512)</f>
        <v>0</v>
      </c>
      <c r="I513" s="320"/>
      <c r="J513" s="320"/>
      <c r="K513" s="81" t="s">
        <v>53</v>
      </c>
      <c r="M513" s="318" t="s">
        <v>90</v>
      </c>
      <c r="N513" s="319"/>
      <c r="O513" s="319"/>
      <c r="P513" s="319"/>
      <c r="Q513" s="319"/>
      <c r="R513" s="319"/>
      <c r="S513" s="73" t="s">
        <v>47</v>
      </c>
      <c r="T513" s="320">
        <f>SUM(T509:V512)</f>
        <v>0</v>
      </c>
      <c r="U513" s="320"/>
      <c r="V513" s="320"/>
      <c r="W513" s="81" t="s">
        <v>53</v>
      </c>
    </row>
    <row r="514" spans="1:24" ht="18.75" customHeight="1">
      <c r="A514" s="315" t="s">
        <v>91</v>
      </c>
      <c r="B514" s="316"/>
      <c r="C514" s="316"/>
      <c r="D514" s="316"/>
      <c r="E514" s="316"/>
      <c r="F514" s="316"/>
      <c r="G514" s="73" t="s">
        <v>47</v>
      </c>
      <c r="H514" s="327">
        <f>ROUND(H506-H513,-2)</f>
        <v>0</v>
      </c>
      <c r="I514" s="327"/>
      <c r="J514" s="327"/>
      <c r="K514" s="81" t="s">
        <v>53</v>
      </c>
      <c r="M514" s="315" t="s">
        <v>91</v>
      </c>
      <c r="N514" s="316"/>
      <c r="O514" s="316"/>
      <c r="P514" s="316"/>
      <c r="Q514" s="316"/>
      <c r="R514" s="316"/>
      <c r="S514" s="73" t="s">
        <v>47</v>
      </c>
      <c r="T514" s="327">
        <f>ROUND(T506-T513,-2)</f>
        <v>0</v>
      </c>
      <c r="U514" s="327"/>
      <c r="V514" s="327"/>
      <c r="W514" s="81" t="s">
        <v>53</v>
      </c>
    </row>
    <row r="515" spans="1:24" ht="18.75" customHeight="1">
      <c r="A515" s="91"/>
      <c r="B515" s="92"/>
      <c r="C515" s="92"/>
      <c r="D515" s="92"/>
      <c r="E515" s="92"/>
      <c r="F515" s="92"/>
      <c r="G515" s="92"/>
      <c r="H515" s="92"/>
      <c r="I515" s="92"/>
      <c r="J515" s="92"/>
      <c r="K515" s="93"/>
      <c r="M515" s="91"/>
      <c r="N515" s="92"/>
      <c r="O515" s="92"/>
      <c r="P515" s="92"/>
      <c r="Q515" s="92"/>
      <c r="R515" s="92"/>
      <c r="S515" s="92"/>
      <c r="T515" s="92"/>
      <c r="U515" s="92"/>
      <c r="V515" s="92"/>
      <c r="W515" s="93"/>
    </row>
    <row r="516" spans="1:24" ht="18.75" customHeight="1">
      <c r="A516" s="94"/>
      <c r="B516" s="73"/>
      <c r="C516" s="73"/>
      <c r="D516" s="73"/>
      <c r="E516" s="73"/>
      <c r="F516" s="73"/>
      <c r="G516" s="73"/>
      <c r="H516" s="73"/>
      <c r="I516" s="324" t="s">
        <v>92</v>
      </c>
      <c r="J516" s="324"/>
      <c r="K516" s="328"/>
      <c r="M516" s="94"/>
      <c r="N516" s="73"/>
      <c r="O516" s="73"/>
      <c r="P516" s="73"/>
      <c r="Q516" s="73"/>
      <c r="R516" s="73"/>
      <c r="S516" s="73"/>
      <c r="T516" s="73"/>
      <c r="U516" s="324" t="s">
        <v>92</v>
      </c>
      <c r="V516" s="324"/>
      <c r="W516" s="328"/>
    </row>
    <row r="517" spans="1:24" ht="18.75" customHeight="1">
      <c r="A517" s="94"/>
      <c r="B517" s="324"/>
      <c r="C517" s="324"/>
      <c r="D517" s="324"/>
      <c r="E517" s="324"/>
      <c r="F517" s="73"/>
      <c r="G517" s="73"/>
      <c r="H517" s="73"/>
      <c r="I517" s="73"/>
      <c r="J517" s="73"/>
      <c r="K517" s="74"/>
      <c r="M517" s="94"/>
      <c r="N517" s="324"/>
      <c r="O517" s="324"/>
      <c r="P517" s="324"/>
      <c r="Q517" s="324"/>
      <c r="R517" s="73"/>
      <c r="S517" s="73"/>
      <c r="T517" s="73"/>
      <c r="U517" s="73"/>
      <c r="V517" s="73"/>
      <c r="W517" s="74"/>
    </row>
    <row r="518" spans="1:24" ht="18.75" customHeight="1" thickBot="1">
      <c r="A518" s="95"/>
      <c r="B518" s="96"/>
      <c r="C518" s="96"/>
      <c r="D518" s="96"/>
      <c r="E518" s="96"/>
      <c r="F518" s="96"/>
      <c r="G518" s="96"/>
      <c r="H518" s="96"/>
      <c r="I518" s="325" t="s">
        <v>93</v>
      </c>
      <c r="J518" s="325"/>
      <c r="K518" s="326"/>
      <c r="M518" s="95"/>
      <c r="N518" s="96"/>
      <c r="O518" s="96"/>
      <c r="P518" s="96"/>
      <c r="Q518" s="96"/>
      <c r="R518" s="96"/>
      <c r="S518" s="96"/>
      <c r="T518" s="96"/>
      <c r="U518" s="325" t="s">
        <v>93</v>
      </c>
      <c r="V518" s="325"/>
      <c r="W518" s="326"/>
    </row>
    <row r="520" spans="1:24" ht="18.75" customHeight="1" thickTop="1">
      <c r="A520" s="300" t="s">
        <v>41</v>
      </c>
      <c r="B520" s="301"/>
      <c r="C520" s="301"/>
      <c r="D520" s="301"/>
      <c r="E520" s="301"/>
      <c r="F520" s="301"/>
      <c r="G520" s="301"/>
      <c r="H520" s="301"/>
      <c r="I520" s="301"/>
      <c r="J520" s="301"/>
      <c r="K520" s="302"/>
      <c r="L520" s="69">
        <v>25</v>
      </c>
      <c r="M520" s="300" t="s">
        <v>41</v>
      </c>
      <c r="N520" s="301"/>
      <c r="O520" s="301"/>
      <c r="P520" s="301"/>
      <c r="Q520" s="301"/>
      <c r="R520" s="301"/>
      <c r="S520" s="301"/>
      <c r="T520" s="301"/>
      <c r="U520" s="301"/>
      <c r="V520" s="301"/>
      <c r="W520" s="302"/>
      <c r="X520" s="69">
        <v>25</v>
      </c>
    </row>
    <row r="521" spans="1:24" ht="18.75" customHeight="1">
      <c r="A521" s="70" t="s">
        <v>136</v>
      </c>
      <c r="B521" s="71"/>
      <c r="C521" s="71"/>
      <c r="D521" s="71"/>
      <c r="E521" s="71"/>
      <c r="F521" s="71"/>
      <c r="G521" s="71"/>
      <c r="H521" s="71"/>
      <c r="I521" s="71"/>
      <c r="J521" s="71"/>
      <c r="K521" s="72"/>
      <c r="M521" s="70" t="s">
        <v>137</v>
      </c>
      <c r="N521" s="71"/>
      <c r="O521" s="71"/>
      <c r="P521" s="71"/>
      <c r="Q521" s="71"/>
      <c r="R521" s="71"/>
      <c r="S521" s="71"/>
      <c r="T521" s="71"/>
      <c r="U521" s="71"/>
      <c r="V521" s="71"/>
      <c r="W521" s="72"/>
    </row>
    <row r="522" spans="1:24" ht="18.75" customHeight="1">
      <c r="A522" s="303" t="s">
        <v>45</v>
      </c>
      <c r="B522" s="304"/>
      <c r="C522" s="304"/>
      <c r="D522" s="304"/>
      <c r="E522" s="304"/>
      <c r="F522" s="304"/>
      <c r="G522" s="304"/>
      <c r="H522" s="304"/>
      <c r="I522" s="304"/>
      <c r="J522" s="304"/>
      <c r="K522" s="305"/>
      <c r="M522" s="303" t="s">
        <v>45</v>
      </c>
      <c r="N522" s="304"/>
      <c r="O522" s="304"/>
      <c r="P522" s="304"/>
      <c r="Q522" s="304"/>
      <c r="R522" s="304"/>
      <c r="S522" s="304"/>
      <c r="T522" s="304"/>
      <c r="U522" s="304"/>
      <c r="V522" s="304"/>
      <c r="W522" s="305"/>
    </row>
    <row r="523" spans="1:24" ht="18.75" customHeight="1">
      <c r="A523" s="295" t="s">
        <v>46</v>
      </c>
      <c r="B523" s="296"/>
      <c r="C523" s="296"/>
      <c r="D523" s="296"/>
      <c r="E523" s="73" t="s">
        <v>47</v>
      </c>
      <c r="F523" s="297">
        <f>'[2]Bang TH nop'!B57</f>
        <v>0</v>
      </c>
      <c r="G523" s="296"/>
      <c r="H523" s="296"/>
      <c r="I523" s="296"/>
      <c r="J523" s="296"/>
      <c r="K523" s="299"/>
      <c r="M523" s="295" t="s">
        <v>46</v>
      </c>
      <c r="N523" s="296"/>
      <c r="O523" s="296"/>
      <c r="P523" s="296"/>
      <c r="Q523" s="73" t="s">
        <v>47</v>
      </c>
      <c r="R523" s="297">
        <f>'[2]Bang TH nop'!B59</f>
        <v>0</v>
      </c>
      <c r="S523" s="296"/>
      <c r="T523" s="296"/>
      <c r="U523" s="296"/>
      <c r="V523" s="296"/>
      <c r="W523" s="299"/>
    </row>
    <row r="524" spans="1:24" ht="18.75" customHeight="1">
      <c r="A524" s="295" t="s">
        <v>49</v>
      </c>
      <c r="B524" s="296"/>
      <c r="C524" s="296"/>
      <c r="D524" s="296"/>
      <c r="E524" s="73" t="s">
        <v>47</v>
      </c>
      <c r="F524" s="297">
        <f>'[2]Bang TH nop'!C57</f>
        <v>0</v>
      </c>
      <c r="G524" s="297"/>
      <c r="H524" s="297"/>
      <c r="I524" s="297"/>
      <c r="J524" s="297"/>
      <c r="K524" s="298"/>
      <c r="M524" s="295" t="s">
        <v>49</v>
      </c>
      <c r="N524" s="296"/>
      <c r="O524" s="296"/>
      <c r="P524" s="296"/>
      <c r="Q524" s="73" t="s">
        <v>47</v>
      </c>
      <c r="R524" s="297">
        <f>'[2]Bang TH nop'!C59</f>
        <v>0</v>
      </c>
      <c r="S524" s="297"/>
      <c r="T524" s="297"/>
      <c r="U524" s="297"/>
      <c r="V524" s="297"/>
      <c r="W524" s="298"/>
    </row>
    <row r="525" spans="1:24" ht="18.75" customHeight="1">
      <c r="A525" s="295" t="s">
        <v>50</v>
      </c>
      <c r="B525" s="296"/>
      <c r="C525" s="296"/>
      <c r="D525" s="296"/>
      <c r="E525" s="73" t="s">
        <v>47</v>
      </c>
      <c r="F525" s="296" t="s">
        <v>121</v>
      </c>
      <c r="G525" s="296"/>
      <c r="H525" s="296"/>
      <c r="I525" s="296"/>
      <c r="J525" s="296"/>
      <c r="K525" s="299"/>
      <c r="M525" s="295" t="s">
        <v>50</v>
      </c>
      <c r="N525" s="296"/>
      <c r="O525" s="296"/>
      <c r="P525" s="296"/>
      <c r="Q525" s="73" t="s">
        <v>47</v>
      </c>
      <c r="R525" s="296" t="s">
        <v>121</v>
      </c>
      <c r="S525" s="296"/>
      <c r="T525" s="296"/>
      <c r="U525" s="296"/>
      <c r="V525" s="296"/>
      <c r="W525" s="299"/>
    </row>
    <row r="526" spans="1:24" ht="18.75" customHeight="1">
      <c r="A526" s="303" t="s">
        <v>51</v>
      </c>
      <c r="B526" s="304"/>
      <c r="C526" s="304"/>
      <c r="D526" s="304"/>
      <c r="E526" s="304"/>
      <c r="F526" s="304"/>
      <c r="G526" s="304"/>
      <c r="H526" s="304"/>
      <c r="I526" s="304"/>
      <c r="J526" s="304"/>
      <c r="K526" s="305"/>
      <c r="M526" s="303" t="s">
        <v>51</v>
      </c>
      <c r="N526" s="304"/>
      <c r="O526" s="304"/>
      <c r="P526" s="304"/>
      <c r="Q526" s="304"/>
      <c r="R526" s="304"/>
      <c r="S526" s="304"/>
      <c r="T526" s="304"/>
      <c r="U526" s="304"/>
      <c r="V526" s="304"/>
      <c r="W526" s="305"/>
    </row>
    <row r="527" spans="1:24" ht="18.75" customHeight="1">
      <c r="A527" s="295" t="s">
        <v>52</v>
      </c>
      <c r="B527" s="296"/>
      <c r="C527" s="296"/>
      <c r="D527" s="296"/>
      <c r="E527" s="73" t="s">
        <v>47</v>
      </c>
      <c r="F527" s="310">
        <v>2915400</v>
      </c>
      <c r="G527" s="310"/>
      <c r="H527" s="310"/>
      <c r="I527" s="310"/>
      <c r="J527" s="73" t="s">
        <v>53</v>
      </c>
      <c r="K527" s="74"/>
      <c r="M527" s="295" t="s">
        <v>52</v>
      </c>
      <c r="N527" s="296"/>
      <c r="O527" s="296"/>
      <c r="P527" s="296"/>
      <c r="Q527" s="73" t="s">
        <v>47</v>
      </c>
      <c r="R527" s="310">
        <v>2915400</v>
      </c>
      <c r="S527" s="310"/>
      <c r="T527" s="310"/>
      <c r="U527" s="310"/>
      <c r="V527" s="73" t="s">
        <v>53</v>
      </c>
      <c r="W527" s="74"/>
    </row>
    <row r="528" spans="1:24" ht="18.75" customHeight="1">
      <c r="A528" s="75" t="s">
        <v>54</v>
      </c>
      <c r="B528" s="73"/>
      <c r="C528" s="76"/>
      <c r="D528" s="77"/>
      <c r="E528" s="78"/>
      <c r="F528" s="78"/>
      <c r="G528" s="78"/>
      <c r="H528" s="73"/>
      <c r="I528" s="79">
        <f>'[2]LUONG T7'!F61</f>
        <v>0</v>
      </c>
      <c r="J528" s="80"/>
      <c r="K528" s="81"/>
      <c r="M528" s="75" t="s">
        <v>54</v>
      </c>
      <c r="N528" s="73"/>
      <c r="O528" s="76"/>
      <c r="P528" s="77"/>
      <c r="Q528" s="78"/>
      <c r="R528" s="78"/>
      <c r="S528" s="78"/>
      <c r="T528" s="73"/>
      <c r="U528" s="79">
        <f>'[2]LUONG T7'!F63</f>
        <v>0</v>
      </c>
      <c r="V528" s="80"/>
      <c r="W528" s="81"/>
    </row>
    <row r="529" spans="1:24" ht="18.75" customHeight="1">
      <c r="A529" s="75" t="s">
        <v>55</v>
      </c>
      <c r="B529" s="73"/>
      <c r="C529" s="76"/>
      <c r="D529" s="77"/>
      <c r="E529" s="78"/>
      <c r="F529" s="78"/>
      <c r="G529" s="78"/>
      <c r="H529" s="73"/>
      <c r="I529" s="79" t="e">
        <f>I530/C530/8</f>
        <v>#DIV/0!</v>
      </c>
      <c r="J529" s="80"/>
      <c r="K529" s="81"/>
      <c r="M529" s="75" t="s">
        <v>55</v>
      </c>
      <c r="N529" s="73"/>
      <c r="O529" s="76"/>
      <c r="P529" s="77"/>
      <c r="Q529" s="78"/>
      <c r="R529" s="78"/>
      <c r="S529" s="78"/>
      <c r="T529" s="73"/>
      <c r="U529" s="79" t="e">
        <f>U530/O530/8</f>
        <v>#DIV/0!</v>
      </c>
      <c r="V529" s="80"/>
      <c r="W529" s="81"/>
    </row>
    <row r="530" spans="1:24" ht="18.75" customHeight="1">
      <c r="A530" s="75" t="s">
        <v>56</v>
      </c>
      <c r="B530" s="73" t="s">
        <v>47</v>
      </c>
      <c r="C530" s="76">
        <f>'[2]LUONG T7'!I60</f>
        <v>0</v>
      </c>
      <c r="D530" s="77" t="s">
        <v>57</v>
      </c>
      <c r="E530" s="308" t="s">
        <v>58</v>
      </c>
      <c r="F530" s="308"/>
      <c r="G530" s="308"/>
      <c r="H530" s="73" t="s">
        <v>47</v>
      </c>
      <c r="I530" s="309">
        <f>'[2]LUONG T7'!I61</f>
        <v>0</v>
      </c>
      <c r="J530" s="309"/>
      <c r="K530" s="81" t="s">
        <v>53</v>
      </c>
      <c r="L530" s="82">
        <f>F527/L520*C530</f>
        <v>0</v>
      </c>
      <c r="M530" s="75" t="s">
        <v>56</v>
      </c>
      <c r="N530" s="73" t="s">
        <v>47</v>
      </c>
      <c r="O530" s="76">
        <f>'[2]LUONG T7'!I62</f>
        <v>0</v>
      </c>
      <c r="P530" s="77" t="s">
        <v>57</v>
      </c>
      <c r="Q530" s="308" t="s">
        <v>58</v>
      </c>
      <c r="R530" s="308"/>
      <c r="S530" s="308"/>
      <c r="T530" s="73" t="s">
        <v>47</v>
      </c>
      <c r="U530" s="309">
        <f>'[2]LUONG T7'!I63</f>
        <v>0</v>
      </c>
      <c r="V530" s="309"/>
      <c r="W530" s="81" t="s">
        <v>53</v>
      </c>
      <c r="X530" s="82">
        <f>R527/X520*O530</f>
        <v>0</v>
      </c>
    </row>
    <row r="531" spans="1:24" ht="18.75" customHeight="1">
      <c r="A531" s="75" t="s">
        <v>59</v>
      </c>
      <c r="B531" s="73" t="s">
        <v>47</v>
      </c>
      <c r="C531" s="76">
        <f>'[2]LUONG T7'!J60</f>
        <v>0</v>
      </c>
      <c r="D531" s="77" t="s">
        <v>57</v>
      </c>
      <c r="E531" s="296" t="s">
        <v>60</v>
      </c>
      <c r="F531" s="296"/>
      <c r="G531" s="296"/>
      <c r="H531" s="73" t="s">
        <v>47</v>
      </c>
      <c r="I531" s="307">
        <f>$F$8/$L$1*C531</f>
        <v>0</v>
      </c>
      <c r="J531" s="307"/>
      <c r="K531" s="81" t="s">
        <v>53</v>
      </c>
      <c r="L531" s="82"/>
      <c r="M531" s="75" t="s">
        <v>59</v>
      </c>
      <c r="N531" s="73" t="s">
        <v>47</v>
      </c>
      <c r="O531" s="76">
        <f>'[2]LUONG T7'!J62</f>
        <v>0</v>
      </c>
      <c r="P531" s="77" t="s">
        <v>57</v>
      </c>
      <c r="Q531" s="296" t="s">
        <v>60</v>
      </c>
      <c r="R531" s="296"/>
      <c r="S531" s="296"/>
      <c r="T531" s="73" t="s">
        <v>47</v>
      </c>
      <c r="U531" s="307">
        <f>$F$8/$L$1*O531</f>
        <v>0</v>
      </c>
      <c r="V531" s="307"/>
      <c r="W531" s="81" t="s">
        <v>53</v>
      </c>
      <c r="X531" s="82"/>
    </row>
    <row r="532" spans="1:24" ht="18.75" customHeight="1">
      <c r="A532" s="75" t="s">
        <v>61</v>
      </c>
      <c r="B532" s="73" t="s">
        <v>47</v>
      </c>
      <c r="C532" s="76">
        <f>'[2]LUONG T7'!K60</f>
        <v>0</v>
      </c>
      <c r="D532" s="77" t="s">
        <v>57</v>
      </c>
      <c r="E532" s="306" t="s">
        <v>62</v>
      </c>
      <c r="F532" s="306"/>
      <c r="G532" s="306"/>
      <c r="H532" s="73" t="s">
        <v>47</v>
      </c>
      <c r="I532" s="307">
        <f>$F$8/$L$1*C532</f>
        <v>0</v>
      </c>
      <c r="J532" s="307"/>
      <c r="K532" s="81" t="s">
        <v>53</v>
      </c>
      <c r="L532" s="82"/>
      <c r="M532" s="75" t="s">
        <v>61</v>
      </c>
      <c r="N532" s="73" t="s">
        <v>47</v>
      </c>
      <c r="O532" s="76">
        <f>'[2]LUONG T7'!K62</f>
        <v>0</v>
      </c>
      <c r="P532" s="77" t="s">
        <v>57</v>
      </c>
      <c r="Q532" s="306" t="s">
        <v>62</v>
      </c>
      <c r="R532" s="306"/>
      <c r="S532" s="306"/>
      <c r="T532" s="73" t="s">
        <v>47</v>
      </c>
      <c r="U532" s="307">
        <f>$F$8/$L$1*O532</f>
        <v>0</v>
      </c>
      <c r="V532" s="307"/>
      <c r="W532" s="81" t="s">
        <v>53</v>
      </c>
      <c r="X532" s="82"/>
    </row>
    <row r="533" spans="1:24" ht="18.75" customHeight="1">
      <c r="A533" s="75" t="s">
        <v>63</v>
      </c>
      <c r="B533" s="73" t="s">
        <v>47</v>
      </c>
      <c r="C533" s="76">
        <f>'[2]LUONG T7'!L60</f>
        <v>0</v>
      </c>
      <c r="D533" s="77" t="s">
        <v>57</v>
      </c>
      <c r="E533" s="306" t="s">
        <v>64</v>
      </c>
      <c r="F533" s="306"/>
      <c r="G533" s="306"/>
      <c r="H533" s="73" t="s">
        <v>47</v>
      </c>
      <c r="I533" s="307">
        <f>$F$8/$L$1*C533</f>
        <v>0</v>
      </c>
      <c r="J533" s="307"/>
      <c r="K533" s="81" t="s">
        <v>53</v>
      </c>
      <c r="L533" s="82"/>
      <c r="M533" s="75" t="s">
        <v>63</v>
      </c>
      <c r="N533" s="73" t="s">
        <v>47</v>
      </c>
      <c r="O533" s="76">
        <f>'[2]LUONG T7'!L62</f>
        <v>0</v>
      </c>
      <c r="P533" s="77" t="s">
        <v>57</v>
      </c>
      <c r="Q533" s="306" t="s">
        <v>64</v>
      </c>
      <c r="R533" s="306"/>
      <c r="S533" s="306"/>
      <c r="T533" s="73" t="s">
        <v>47</v>
      </c>
      <c r="U533" s="307">
        <f>$F$8/$L$1*O533</f>
        <v>0</v>
      </c>
      <c r="V533" s="307"/>
      <c r="W533" s="81" t="s">
        <v>53</v>
      </c>
      <c r="X533" s="82"/>
    </row>
    <row r="534" spans="1:24" ht="18.75" customHeight="1">
      <c r="A534" s="75" t="s">
        <v>65</v>
      </c>
      <c r="B534" s="73" t="s">
        <v>47</v>
      </c>
      <c r="C534" s="76">
        <f>'[2]LUONG T7'!Q60</f>
        <v>0</v>
      </c>
      <c r="D534" s="77" t="s">
        <v>66</v>
      </c>
      <c r="E534" s="296" t="s">
        <v>67</v>
      </c>
      <c r="F534" s="296"/>
      <c r="G534" s="296"/>
      <c r="H534" s="73" t="s">
        <v>47</v>
      </c>
      <c r="I534" s="307">
        <f>'[2]LUONG T7'!Q61</f>
        <v>0</v>
      </c>
      <c r="J534" s="307"/>
      <c r="K534" s="81" t="s">
        <v>53</v>
      </c>
      <c r="L534" s="82">
        <f>F527*C534/L520/8*1.5</f>
        <v>0</v>
      </c>
      <c r="M534" s="75" t="s">
        <v>65</v>
      </c>
      <c r="N534" s="73" t="s">
        <v>47</v>
      </c>
      <c r="O534" s="76">
        <f>'[2]LUONG T7'!Q62</f>
        <v>0</v>
      </c>
      <c r="P534" s="77" t="s">
        <v>66</v>
      </c>
      <c r="Q534" s="296" t="s">
        <v>67</v>
      </c>
      <c r="R534" s="296"/>
      <c r="S534" s="296"/>
      <c r="T534" s="73" t="s">
        <v>47</v>
      </c>
      <c r="U534" s="307">
        <f>'[2]LUONG T7'!Q63</f>
        <v>0</v>
      </c>
      <c r="V534" s="307"/>
      <c r="W534" s="81" t="s">
        <v>53</v>
      </c>
      <c r="X534" s="82">
        <f>R527*O534/X520/8*1.5</f>
        <v>0</v>
      </c>
    </row>
    <row r="535" spans="1:24" ht="18.75" customHeight="1">
      <c r="A535" s="295" t="s">
        <v>68</v>
      </c>
      <c r="B535" s="296"/>
      <c r="C535" s="76"/>
      <c r="D535" s="77" t="s">
        <v>57</v>
      </c>
      <c r="E535" s="296" t="s">
        <v>69</v>
      </c>
      <c r="F535" s="296"/>
      <c r="G535" s="296"/>
      <c r="H535" s="83" t="s">
        <v>47</v>
      </c>
      <c r="I535" s="307"/>
      <c r="J535" s="307"/>
      <c r="K535" s="81" t="s">
        <v>53</v>
      </c>
      <c r="L535" s="82"/>
      <c r="M535" s="295" t="s">
        <v>68</v>
      </c>
      <c r="N535" s="296"/>
      <c r="O535" s="76"/>
      <c r="P535" s="77" t="s">
        <v>57</v>
      </c>
      <c r="Q535" s="296" t="s">
        <v>69</v>
      </c>
      <c r="R535" s="296"/>
      <c r="S535" s="296"/>
      <c r="T535" s="83" t="s">
        <v>47</v>
      </c>
      <c r="U535" s="307"/>
      <c r="V535" s="307"/>
      <c r="W535" s="81" t="s">
        <v>53</v>
      </c>
      <c r="X535" s="82"/>
    </row>
    <row r="536" spans="1:24" ht="18.75" customHeight="1">
      <c r="A536" s="75" t="s">
        <v>70</v>
      </c>
      <c r="B536" s="73" t="s">
        <v>47</v>
      </c>
      <c r="C536" s="76"/>
      <c r="D536" s="77" t="s">
        <v>57</v>
      </c>
      <c r="E536" s="296" t="s">
        <v>71</v>
      </c>
      <c r="F536" s="296"/>
      <c r="G536" s="296"/>
      <c r="H536" s="73" t="s">
        <v>47</v>
      </c>
      <c r="I536" s="307"/>
      <c r="J536" s="307"/>
      <c r="K536" s="81" t="s">
        <v>53</v>
      </c>
      <c r="L536" s="82"/>
      <c r="M536" s="75" t="s">
        <v>70</v>
      </c>
      <c r="N536" s="73" t="s">
        <v>47</v>
      </c>
      <c r="O536" s="76"/>
      <c r="P536" s="77" t="s">
        <v>57</v>
      </c>
      <c r="Q536" s="296" t="s">
        <v>71</v>
      </c>
      <c r="R536" s="296"/>
      <c r="S536" s="296"/>
      <c r="T536" s="73" t="s">
        <v>47</v>
      </c>
      <c r="U536" s="307"/>
      <c r="V536" s="307"/>
      <c r="W536" s="81" t="s">
        <v>53</v>
      </c>
      <c r="X536" s="82"/>
    </row>
    <row r="537" spans="1:24" ht="18.75" customHeight="1">
      <c r="A537" s="84" t="s">
        <v>72</v>
      </c>
      <c r="B537" s="73"/>
      <c r="C537" s="76">
        <f>'[2]LUONG T7'!M60</f>
        <v>0</v>
      </c>
      <c r="D537" s="77" t="s">
        <v>66</v>
      </c>
      <c r="E537" s="296" t="s">
        <v>73</v>
      </c>
      <c r="F537" s="296"/>
      <c r="G537" s="296"/>
      <c r="H537" s="73" t="s">
        <v>47</v>
      </c>
      <c r="I537" s="307">
        <f>$F$8*C537/8/$L$1</f>
        <v>0</v>
      </c>
      <c r="J537" s="307"/>
      <c r="K537" s="81" t="s">
        <v>53</v>
      </c>
      <c r="L537" s="82"/>
      <c r="M537" s="84" t="s">
        <v>72</v>
      </c>
      <c r="N537" s="73"/>
      <c r="O537" s="76">
        <f>'[2]LUONG T7'!M62</f>
        <v>0</v>
      </c>
      <c r="P537" s="77" t="s">
        <v>66</v>
      </c>
      <c r="Q537" s="296" t="s">
        <v>73</v>
      </c>
      <c r="R537" s="296"/>
      <c r="S537" s="296"/>
      <c r="T537" s="73" t="s">
        <v>47</v>
      </c>
      <c r="U537" s="307">
        <f>$F$8*O537/8/$L$1</f>
        <v>0</v>
      </c>
      <c r="V537" s="307"/>
      <c r="W537" s="81" t="s">
        <v>53</v>
      </c>
      <c r="X537" s="82"/>
    </row>
    <row r="538" spans="1:24" ht="18.75" customHeight="1">
      <c r="A538" s="75" t="s">
        <v>74</v>
      </c>
      <c r="B538" s="73" t="s">
        <v>47</v>
      </c>
      <c r="C538" s="76"/>
      <c r="D538" s="77" t="s">
        <v>66</v>
      </c>
      <c r="E538" s="296" t="s">
        <v>98</v>
      </c>
      <c r="F538" s="296"/>
      <c r="G538" s="296"/>
      <c r="H538" s="73" t="s">
        <v>47</v>
      </c>
      <c r="I538" s="309"/>
      <c r="J538" s="309"/>
      <c r="K538" s="81" t="s">
        <v>53</v>
      </c>
      <c r="L538" s="82"/>
      <c r="M538" s="75" t="s">
        <v>74</v>
      </c>
      <c r="N538" s="73" t="s">
        <v>47</v>
      </c>
      <c r="O538" s="76"/>
      <c r="P538" s="77" t="s">
        <v>66</v>
      </c>
      <c r="Q538" s="296" t="s">
        <v>98</v>
      </c>
      <c r="R538" s="296"/>
      <c r="S538" s="296"/>
      <c r="T538" s="73" t="s">
        <v>47</v>
      </c>
      <c r="U538" s="309"/>
      <c r="V538" s="309"/>
      <c r="W538" s="81" t="s">
        <v>53</v>
      </c>
      <c r="X538" s="82"/>
    </row>
    <row r="539" spans="1:24" ht="18.75" customHeight="1">
      <c r="A539" s="75" t="s">
        <v>76</v>
      </c>
      <c r="B539" s="73" t="s">
        <v>47</v>
      </c>
      <c r="C539" s="76"/>
      <c r="D539" s="77" t="s">
        <v>77</v>
      </c>
      <c r="E539" s="85" t="s">
        <v>78</v>
      </c>
      <c r="F539" s="85"/>
      <c r="G539" s="85"/>
      <c r="H539" s="73" t="s">
        <v>47</v>
      </c>
      <c r="I539" s="307"/>
      <c r="J539" s="307"/>
      <c r="K539" s="81" t="s">
        <v>53</v>
      </c>
      <c r="L539" s="82">
        <f>+IF(L530-I530&lt;0,0,L530-I530)+IF(L534-I534&lt;0,0,L534-I534)</f>
        <v>0</v>
      </c>
      <c r="M539" s="75" t="s">
        <v>76</v>
      </c>
      <c r="N539" s="73" t="s">
        <v>47</v>
      </c>
      <c r="O539" s="76"/>
      <c r="P539" s="77" t="s">
        <v>77</v>
      </c>
      <c r="Q539" s="85" t="s">
        <v>78</v>
      </c>
      <c r="R539" s="85"/>
      <c r="S539" s="85"/>
      <c r="T539" s="73" t="s">
        <v>47</v>
      </c>
      <c r="U539" s="307"/>
      <c r="V539" s="307"/>
      <c r="W539" s="81" t="s">
        <v>53</v>
      </c>
      <c r="X539" s="82">
        <f>+IF(X530-U530&lt;0,0,X530-U530)+IF(X534-U534&lt;0,0,X534-U534)</f>
        <v>0</v>
      </c>
    </row>
    <row r="540" spans="1:24" ht="18.75" customHeight="1">
      <c r="A540" s="86" t="s">
        <v>122</v>
      </c>
      <c r="B540" s="87"/>
      <c r="C540" s="76"/>
      <c r="D540" s="77" t="s">
        <v>57</v>
      </c>
      <c r="E540" s="296" t="s">
        <v>123</v>
      </c>
      <c r="F540" s="296"/>
      <c r="G540" s="296"/>
      <c r="H540" s="73" t="s">
        <v>47</v>
      </c>
      <c r="I540" s="307"/>
      <c r="J540" s="307"/>
      <c r="K540" s="81" t="s">
        <v>53</v>
      </c>
      <c r="L540" s="82"/>
      <c r="M540" s="86" t="s">
        <v>122</v>
      </c>
      <c r="N540" s="87"/>
      <c r="O540" s="76"/>
      <c r="P540" s="77" t="s">
        <v>57</v>
      </c>
      <c r="Q540" s="296" t="s">
        <v>123</v>
      </c>
      <c r="R540" s="296"/>
      <c r="S540" s="296"/>
      <c r="T540" s="73" t="s">
        <v>47</v>
      </c>
      <c r="U540" s="307"/>
      <c r="V540" s="307"/>
      <c r="W540" s="81" t="s">
        <v>53</v>
      </c>
      <c r="X540" s="82"/>
    </row>
    <row r="541" spans="1:24" ht="18.75" customHeight="1">
      <c r="A541" s="314" t="s">
        <v>81</v>
      </c>
      <c r="B541" s="308"/>
      <c r="C541" s="76"/>
      <c r="D541" s="77"/>
      <c r="E541" s="78"/>
      <c r="F541" s="78"/>
      <c r="G541" s="78"/>
      <c r="H541" s="73" t="s">
        <v>47</v>
      </c>
      <c r="I541" s="307">
        <f>'[2]LUONG T7'!P61</f>
        <v>0</v>
      </c>
      <c r="J541" s="307"/>
      <c r="K541" s="81" t="s">
        <v>53</v>
      </c>
      <c r="L541" s="82"/>
      <c r="M541" s="314" t="s">
        <v>81</v>
      </c>
      <c r="N541" s="308"/>
      <c r="O541" s="76"/>
      <c r="P541" s="77"/>
      <c r="Q541" s="78"/>
      <c r="R541" s="78"/>
      <c r="S541" s="78"/>
      <c r="T541" s="73" t="s">
        <v>47</v>
      </c>
      <c r="U541" s="307">
        <f>'[2]LUONG T7'!P63</f>
        <v>0</v>
      </c>
      <c r="V541" s="307"/>
      <c r="W541" s="81" t="s">
        <v>53</v>
      </c>
      <c r="X541" s="82"/>
    </row>
    <row r="542" spans="1:24" ht="18.75" customHeight="1">
      <c r="A542" s="75" t="s">
        <v>82</v>
      </c>
      <c r="B542" s="73" t="s">
        <v>47</v>
      </c>
      <c r="C542" s="76"/>
      <c r="D542" s="77"/>
      <c r="E542" s="78" t="s">
        <v>83</v>
      </c>
      <c r="F542" s="78"/>
      <c r="G542" s="78"/>
      <c r="H542" s="73" t="s">
        <v>47</v>
      </c>
      <c r="I542" s="307">
        <f>L539</f>
        <v>0</v>
      </c>
      <c r="J542" s="307"/>
      <c r="K542" s="81" t="s">
        <v>53</v>
      </c>
      <c r="L542" s="82"/>
      <c r="M542" s="75" t="s">
        <v>82</v>
      </c>
      <c r="N542" s="73" t="s">
        <v>47</v>
      </c>
      <c r="O542" s="76"/>
      <c r="P542" s="77"/>
      <c r="Q542" s="78" t="s">
        <v>83</v>
      </c>
      <c r="R542" s="78"/>
      <c r="S542" s="78"/>
      <c r="T542" s="73" t="s">
        <v>47</v>
      </c>
      <c r="U542" s="307">
        <f>X539</f>
        <v>0</v>
      </c>
      <c r="V542" s="307"/>
      <c r="W542" s="81" t="s">
        <v>53</v>
      </c>
      <c r="X542" s="82"/>
    </row>
    <row r="543" spans="1:24" ht="18.75" customHeight="1">
      <c r="A543" s="311" t="s">
        <v>84</v>
      </c>
      <c r="B543" s="312"/>
      <c r="C543" s="312"/>
      <c r="D543" s="312"/>
      <c r="E543" s="312"/>
      <c r="F543" s="312"/>
      <c r="G543" s="73" t="s">
        <v>47</v>
      </c>
      <c r="H543" s="313">
        <f>I530+I531+I532+I533+I534+I537+I541+I542</f>
        <v>0</v>
      </c>
      <c r="I543" s="313"/>
      <c r="J543" s="313"/>
      <c r="K543" s="81" t="s">
        <v>53</v>
      </c>
      <c r="M543" s="311" t="s">
        <v>84</v>
      </c>
      <c r="N543" s="312"/>
      <c r="O543" s="312"/>
      <c r="P543" s="312"/>
      <c r="Q543" s="312"/>
      <c r="R543" s="312"/>
      <c r="S543" s="73" t="s">
        <v>47</v>
      </c>
      <c r="T543" s="313">
        <f>U530+U531+U532+U533+U534+U537+U541+U542</f>
        <v>0</v>
      </c>
      <c r="U543" s="313"/>
      <c r="V543" s="313"/>
      <c r="W543" s="81" t="s">
        <v>53</v>
      </c>
    </row>
    <row r="544" spans="1:24" ht="18.75" customHeight="1">
      <c r="A544" s="88"/>
      <c r="B544" s="89"/>
      <c r="C544" s="89"/>
      <c r="D544" s="89"/>
      <c r="E544" s="89"/>
      <c r="F544" s="89"/>
      <c r="G544" s="89"/>
      <c r="H544" s="89"/>
      <c r="I544" s="89"/>
      <c r="J544" s="89"/>
      <c r="K544" s="90"/>
      <c r="M544" s="88"/>
      <c r="N544" s="89"/>
      <c r="O544" s="89"/>
      <c r="P544" s="89"/>
      <c r="Q544" s="89"/>
      <c r="R544" s="89"/>
      <c r="S544" s="89"/>
      <c r="T544" s="89"/>
      <c r="U544" s="89"/>
      <c r="V544" s="89"/>
      <c r="W544" s="90"/>
    </row>
    <row r="545" spans="1:24" ht="18.75" customHeight="1">
      <c r="A545" s="321" t="s">
        <v>85</v>
      </c>
      <c r="B545" s="322"/>
      <c r="C545" s="322"/>
      <c r="D545" s="322"/>
      <c r="E545" s="322"/>
      <c r="F545" s="322"/>
      <c r="G545" s="73"/>
      <c r="H545" s="73"/>
      <c r="I545" s="73"/>
      <c r="J545" s="73"/>
      <c r="K545" s="81"/>
      <c r="M545" s="321" t="s">
        <v>85</v>
      </c>
      <c r="N545" s="322"/>
      <c r="O545" s="322"/>
      <c r="P545" s="322"/>
      <c r="Q545" s="322"/>
      <c r="R545" s="322"/>
      <c r="S545" s="73"/>
      <c r="T545" s="73"/>
      <c r="U545" s="73"/>
      <c r="V545" s="73"/>
      <c r="W545" s="81"/>
    </row>
    <row r="546" spans="1:24" ht="18.75" customHeight="1">
      <c r="A546" s="315" t="s">
        <v>86</v>
      </c>
      <c r="B546" s="316"/>
      <c r="C546" s="316"/>
      <c r="D546" s="316"/>
      <c r="E546" s="316"/>
      <c r="F546" s="316"/>
      <c r="G546" s="73" t="s">
        <v>47</v>
      </c>
      <c r="H546" s="323">
        <f>IF(($L$1-(C530+C531+C532+C533))&gt;12,0,F527*8%)</f>
        <v>0</v>
      </c>
      <c r="I546" s="323"/>
      <c r="J546" s="323"/>
      <c r="K546" s="81" t="s">
        <v>53</v>
      </c>
      <c r="M546" s="315" t="s">
        <v>86</v>
      </c>
      <c r="N546" s="316"/>
      <c r="O546" s="316"/>
      <c r="P546" s="316"/>
      <c r="Q546" s="316"/>
      <c r="R546" s="316"/>
      <c r="S546" s="73" t="s">
        <v>47</v>
      </c>
      <c r="T546" s="323">
        <f>IF(($L$1-(O530+O531+O532+O533))&gt;12,0,R527*8%)</f>
        <v>0</v>
      </c>
      <c r="U546" s="323"/>
      <c r="V546" s="323"/>
      <c r="W546" s="81" t="s">
        <v>53</v>
      </c>
    </row>
    <row r="547" spans="1:24" ht="18.75" customHeight="1">
      <c r="A547" s="315" t="s">
        <v>87</v>
      </c>
      <c r="B547" s="316"/>
      <c r="C547" s="316"/>
      <c r="D547" s="316"/>
      <c r="E547" s="316"/>
      <c r="F547" s="316"/>
      <c r="G547" s="73" t="s">
        <v>47</v>
      </c>
      <c r="H547" s="317">
        <f>IF(($L$1-(C530+C531+C532+C533))&gt;12,0,F527*1.5%)</f>
        <v>0</v>
      </c>
      <c r="I547" s="317"/>
      <c r="J547" s="317"/>
      <c r="K547" s="81" t="s">
        <v>53</v>
      </c>
      <c r="M547" s="315" t="s">
        <v>87</v>
      </c>
      <c r="N547" s="316"/>
      <c r="O547" s="316"/>
      <c r="P547" s="316"/>
      <c r="Q547" s="316"/>
      <c r="R547" s="316"/>
      <c r="S547" s="73" t="s">
        <v>47</v>
      </c>
      <c r="T547" s="317">
        <f>IF(($L$1-(O530+O531+O532+O533))&gt;12,0,R527*1.5%)</f>
        <v>0</v>
      </c>
      <c r="U547" s="317"/>
      <c r="V547" s="317"/>
      <c r="W547" s="81" t="s">
        <v>53</v>
      </c>
    </row>
    <row r="548" spans="1:24" ht="18.75" customHeight="1">
      <c r="A548" s="315" t="s">
        <v>88</v>
      </c>
      <c r="B548" s="316"/>
      <c r="C548" s="316"/>
      <c r="D548" s="316"/>
      <c r="E548" s="316"/>
      <c r="F548" s="316"/>
      <c r="G548" s="73" t="s">
        <v>47</v>
      </c>
      <c r="H548" s="317">
        <f>IF(($L$1-(C530+C531+C532+C533))&gt;12,0,F527*1%)</f>
        <v>0</v>
      </c>
      <c r="I548" s="317"/>
      <c r="J548" s="317"/>
      <c r="K548" s="81" t="s">
        <v>53</v>
      </c>
      <c r="M548" s="315" t="s">
        <v>88</v>
      </c>
      <c r="N548" s="316"/>
      <c r="O548" s="316"/>
      <c r="P548" s="316"/>
      <c r="Q548" s="316"/>
      <c r="R548" s="316"/>
      <c r="S548" s="73" t="s">
        <v>47</v>
      </c>
      <c r="T548" s="317">
        <f>IF(($L$1-(O530+O531+O532+O533))&gt;12,0,R527*1%)</f>
        <v>0</v>
      </c>
      <c r="U548" s="317"/>
      <c r="V548" s="317"/>
      <c r="W548" s="81" t="s">
        <v>53</v>
      </c>
    </row>
    <row r="549" spans="1:24" ht="18.75" customHeight="1">
      <c r="A549" s="315" t="s">
        <v>89</v>
      </c>
      <c r="B549" s="316"/>
      <c r="C549" s="316"/>
      <c r="D549" s="316"/>
      <c r="E549" s="316"/>
      <c r="F549" s="316"/>
      <c r="G549" s="73" t="s">
        <v>47</v>
      </c>
      <c r="H549" s="317">
        <v>0</v>
      </c>
      <c r="I549" s="317"/>
      <c r="J549" s="317"/>
      <c r="K549" s="81" t="s">
        <v>53</v>
      </c>
      <c r="M549" s="315" t="s">
        <v>89</v>
      </c>
      <c r="N549" s="316"/>
      <c r="O549" s="316"/>
      <c r="P549" s="316"/>
      <c r="Q549" s="316"/>
      <c r="R549" s="316"/>
      <c r="S549" s="73" t="s">
        <v>47</v>
      </c>
      <c r="T549" s="317">
        <v>0</v>
      </c>
      <c r="U549" s="317"/>
      <c r="V549" s="317"/>
      <c r="W549" s="81" t="s">
        <v>53</v>
      </c>
    </row>
    <row r="550" spans="1:24" ht="18.75" customHeight="1">
      <c r="A550" s="318" t="s">
        <v>90</v>
      </c>
      <c r="B550" s="319"/>
      <c r="C550" s="319"/>
      <c r="D550" s="319"/>
      <c r="E550" s="319"/>
      <c r="F550" s="319"/>
      <c r="G550" s="73" t="s">
        <v>47</v>
      </c>
      <c r="H550" s="320">
        <f>SUM(H546:J549)</f>
        <v>0</v>
      </c>
      <c r="I550" s="320"/>
      <c r="J550" s="320"/>
      <c r="K550" s="81" t="s">
        <v>53</v>
      </c>
      <c r="M550" s="318" t="s">
        <v>90</v>
      </c>
      <c r="N550" s="319"/>
      <c r="O550" s="319"/>
      <c r="P550" s="319"/>
      <c r="Q550" s="319"/>
      <c r="R550" s="319"/>
      <c r="S550" s="73" t="s">
        <v>47</v>
      </c>
      <c r="T550" s="320">
        <f>SUM(T546:V549)</f>
        <v>0</v>
      </c>
      <c r="U550" s="320"/>
      <c r="V550" s="320"/>
      <c r="W550" s="81" t="s">
        <v>53</v>
      </c>
    </row>
    <row r="551" spans="1:24" ht="18.75" customHeight="1">
      <c r="A551" s="315" t="s">
        <v>91</v>
      </c>
      <c r="B551" s="316"/>
      <c r="C551" s="316"/>
      <c r="D551" s="316"/>
      <c r="E551" s="316"/>
      <c r="F551" s="316"/>
      <c r="G551" s="73" t="s">
        <v>47</v>
      </c>
      <c r="H551" s="327">
        <f>ROUND(H543-H550,-2)</f>
        <v>0</v>
      </c>
      <c r="I551" s="327"/>
      <c r="J551" s="327"/>
      <c r="K551" s="81" t="s">
        <v>53</v>
      </c>
      <c r="M551" s="315" t="s">
        <v>91</v>
      </c>
      <c r="N551" s="316"/>
      <c r="O551" s="316"/>
      <c r="P551" s="316"/>
      <c r="Q551" s="316"/>
      <c r="R551" s="316"/>
      <c r="S551" s="73" t="s">
        <v>47</v>
      </c>
      <c r="T551" s="327">
        <f>ROUND(T543-T550,-2)</f>
        <v>0</v>
      </c>
      <c r="U551" s="327"/>
      <c r="V551" s="327"/>
      <c r="W551" s="81" t="s">
        <v>53</v>
      </c>
    </row>
    <row r="552" spans="1:24" ht="18.75" customHeight="1">
      <c r="A552" s="91"/>
      <c r="B552" s="92"/>
      <c r="C552" s="92"/>
      <c r="D552" s="92"/>
      <c r="E552" s="92"/>
      <c r="F552" s="92"/>
      <c r="G552" s="92"/>
      <c r="H552" s="92"/>
      <c r="I552" s="92"/>
      <c r="J552" s="92"/>
      <c r="K552" s="93"/>
      <c r="M552" s="91"/>
      <c r="N552" s="92"/>
      <c r="O552" s="92"/>
      <c r="P552" s="92"/>
      <c r="Q552" s="92"/>
      <c r="R552" s="92"/>
      <c r="S552" s="92"/>
      <c r="T552" s="92"/>
      <c r="U552" s="92"/>
      <c r="V552" s="92"/>
      <c r="W552" s="93"/>
    </row>
    <row r="553" spans="1:24" ht="18.75" customHeight="1">
      <c r="A553" s="94"/>
      <c r="B553" s="73"/>
      <c r="C553" s="73"/>
      <c r="D553" s="73"/>
      <c r="E553" s="73"/>
      <c r="F553" s="73"/>
      <c r="G553" s="73"/>
      <c r="H553" s="73"/>
      <c r="I553" s="324" t="s">
        <v>92</v>
      </c>
      <c r="J553" s="324"/>
      <c r="K553" s="328"/>
      <c r="M553" s="94"/>
      <c r="N553" s="73"/>
      <c r="O553" s="73"/>
      <c r="P553" s="73"/>
      <c r="Q553" s="73"/>
      <c r="R553" s="73"/>
      <c r="S553" s="73"/>
      <c r="T553" s="73"/>
      <c r="U553" s="324" t="s">
        <v>92</v>
      </c>
      <c r="V553" s="324"/>
      <c r="W553" s="328"/>
    </row>
    <row r="554" spans="1:24" ht="18.75" customHeight="1">
      <c r="A554" s="94"/>
      <c r="B554" s="324"/>
      <c r="C554" s="324"/>
      <c r="D554" s="324"/>
      <c r="E554" s="324"/>
      <c r="F554" s="73"/>
      <c r="G554" s="73"/>
      <c r="H554" s="73"/>
      <c r="I554" s="73"/>
      <c r="J554" s="73"/>
      <c r="K554" s="74"/>
      <c r="M554" s="94"/>
      <c r="N554" s="324"/>
      <c r="O554" s="324"/>
      <c r="P554" s="324"/>
      <c r="Q554" s="324"/>
      <c r="R554" s="73"/>
      <c r="S554" s="73"/>
      <c r="T554" s="73"/>
      <c r="U554" s="73"/>
      <c r="V554" s="73"/>
      <c r="W554" s="74"/>
    </row>
    <row r="555" spans="1:24" ht="18.75" customHeight="1" thickBot="1">
      <c r="A555" s="95"/>
      <c r="B555" s="96"/>
      <c r="C555" s="96"/>
      <c r="D555" s="96"/>
      <c r="E555" s="96"/>
      <c r="F555" s="96"/>
      <c r="G555" s="96"/>
      <c r="H555" s="96"/>
      <c r="I555" s="325" t="s">
        <v>93</v>
      </c>
      <c r="J555" s="325"/>
      <c r="K555" s="326"/>
      <c r="M555" s="95"/>
      <c r="N555" s="96"/>
      <c r="O555" s="96"/>
      <c r="P555" s="96"/>
      <c r="Q555" s="96"/>
      <c r="R555" s="96"/>
      <c r="S555" s="96"/>
      <c r="T555" s="96"/>
      <c r="U555" s="325" t="s">
        <v>93</v>
      </c>
      <c r="V555" s="325"/>
      <c r="W555" s="326"/>
    </row>
    <row r="557" spans="1:24" ht="18.75" customHeight="1" thickTop="1">
      <c r="A557" s="300" t="s">
        <v>41</v>
      </c>
      <c r="B557" s="301"/>
      <c r="C557" s="301"/>
      <c r="D557" s="301"/>
      <c r="E557" s="301"/>
      <c r="F557" s="301"/>
      <c r="G557" s="301"/>
      <c r="H557" s="301"/>
      <c r="I557" s="301"/>
      <c r="J557" s="301"/>
      <c r="K557" s="302"/>
      <c r="L557" s="69">
        <v>25</v>
      </c>
      <c r="M557" s="300" t="s">
        <v>41</v>
      </c>
      <c r="N557" s="301"/>
      <c r="O557" s="301"/>
      <c r="P557" s="301"/>
      <c r="Q557" s="301"/>
      <c r="R557" s="301"/>
      <c r="S557" s="301"/>
      <c r="T557" s="301"/>
      <c r="U557" s="301"/>
      <c r="V557" s="301"/>
      <c r="W557" s="302"/>
      <c r="X557" s="69">
        <v>25</v>
      </c>
    </row>
    <row r="558" spans="1:24" ht="18.75" customHeight="1">
      <c r="A558" s="70" t="s">
        <v>138</v>
      </c>
      <c r="B558" s="71"/>
      <c r="C558" s="71"/>
      <c r="D558" s="71"/>
      <c r="E558" s="71"/>
      <c r="F558" s="71"/>
      <c r="G558" s="71"/>
      <c r="H558" s="71"/>
      <c r="I558" s="71"/>
      <c r="J558" s="71"/>
      <c r="K558" s="72"/>
      <c r="M558" s="70" t="s">
        <v>139</v>
      </c>
      <c r="N558" s="71"/>
      <c r="O558" s="71"/>
      <c r="P558" s="71"/>
      <c r="Q558" s="71"/>
      <c r="R558" s="71"/>
      <c r="S558" s="71"/>
      <c r="T558" s="71"/>
      <c r="U558" s="71"/>
      <c r="V558" s="71"/>
      <c r="W558" s="72"/>
    </row>
    <row r="559" spans="1:24" ht="18.75" customHeight="1">
      <c r="A559" s="303" t="s">
        <v>45</v>
      </c>
      <c r="B559" s="304"/>
      <c r="C559" s="304"/>
      <c r="D559" s="304"/>
      <c r="E559" s="304"/>
      <c r="F559" s="304"/>
      <c r="G559" s="304"/>
      <c r="H559" s="304"/>
      <c r="I559" s="304"/>
      <c r="J559" s="304"/>
      <c r="K559" s="305"/>
      <c r="M559" s="303" t="s">
        <v>45</v>
      </c>
      <c r="N559" s="304"/>
      <c r="O559" s="304"/>
      <c r="P559" s="304"/>
      <c r="Q559" s="304"/>
      <c r="R559" s="304"/>
      <c r="S559" s="304"/>
      <c r="T559" s="304"/>
      <c r="U559" s="304"/>
      <c r="V559" s="304"/>
      <c r="W559" s="305"/>
    </row>
    <row r="560" spans="1:24" ht="18.75" customHeight="1">
      <c r="A560" s="295" t="s">
        <v>46</v>
      </c>
      <c r="B560" s="296"/>
      <c r="C560" s="296"/>
      <c r="D560" s="296"/>
      <c r="E560" s="73" t="s">
        <v>47</v>
      </c>
      <c r="F560" s="297">
        <f>'[2]Bang TH nop'!B61</f>
        <v>0</v>
      </c>
      <c r="G560" s="296"/>
      <c r="H560" s="296"/>
      <c r="I560" s="296"/>
      <c r="J560" s="296"/>
      <c r="K560" s="299"/>
      <c r="M560" s="295" t="s">
        <v>46</v>
      </c>
      <c r="N560" s="296"/>
      <c r="O560" s="296"/>
      <c r="P560" s="296"/>
      <c r="Q560" s="73" t="s">
        <v>47</v>
      </c>
      <c r="R560" s="297">
        <f>'[2]Bang TH nop'!B63</f>
        <v>0</v>
      </c>
      <c r="S560" s="296"/>
      <c r="T560" s="296"/>
      <c r="U560" s="296"/>
      <c r="V560" s="296"/>
      <c r="W560" s="299"/>
    </row>
    <row r="561" spans="1:24" ht="18.75" customHeight="1">
      <c r="A561" s="295" t="s">
        <v>49</v>
      </c>
      <c r="B561" s="296"/>
      <c r="C561" s="296"/>
      <c r="D561" s="296"/>
      <c r="E561" s="73" t="s">
        <v>47</v>
      </c>
      <c r="F561" s="297">
        <f>'[2]Bang TH nop'!C61</f>
        <v>0</v>
      </c>
      <c r="G561" s="297"/>
      <c r="H561" s="297"/>
      <c r="I561" s="297"/>
      <c r="J561" s="297"/>
      <c r="K561" s="298"/>
      <c r="M561" s="295" t="s">
        <v>49</v>
      </c>
      <c r="N561" s="296"/>
      <c r="O561" s="296"/>
      <c r="P561" s="296"/>
      <c r="Q561" s="73" t="s">
        <v>47</v>
      </c>
      <c r="R561" s="297">
        <f>'[2]Bang TH nop'!C63</f>
        <v>0</v>
      </c>
      <c r="S561" s="297"/>
      <c r="T561" s="297"/>
      <c r="U561" s="297"/>
      <c r="V561" s="297"/>
      <c r="W561" s="298"/>
    </row>
    <row r="562" spans="1:24" ht="18.75" customHeight="1">
      <c r="A562" s="295" t="s">
        <v>50</v>
      </c>
      <c r="B562" s="296"/>
      <c r="C562" s="296"/>
      <c r="D562" s="296"/>
      <c r="E562" s="73" t="s">
        <v>47</v>
      </c>
      <c r="F562" s="296" t="s">
        <v>121</v>
      </c>
      <c r="G562" s="296"/>
      <c r="H562" s="296"/>
      <c r="I562" s="296"/>
      <c r="J562" s="296"/>
      <c r="K562" s="299"/>
      <c r="M562" s="295" t="s">
        <v>50</v>
      </c>
      <c r="N562" s="296"/>
      <c r="O562" s="296"/>
      <c r="P562" s="296"/>
      <c r="Q562" s="73" t="s">
        <v>47</v>
      </c>
      <c r="R562" s="296" t="s">
        <v>121</v>
      </c>
      <c r="S562" s="296"/>
      <c r="T562" s="296"/>
      <c r="U562" s="296"/>
      <c r="V562" s="296"/>
      <c r="W562" s="299"/>
    </row>
    <row r="563" spans="1:24" ht="18.75" customHeight="1">
      <c r="A563" s="303" t="s">
        <v>51</v>
      </c>
      <c r="B563" s="304"/>
      <c r="C563" s="304"/>
      <c r="D563" s="304"/>
      <c r="E563" s="304"/>
      <c r="F563" s="304"/>
      <c r="G563" s="304"/>
      <c r="H563" s="304"/>
      <c r="I563" s="304"/>
      <c r="J563" s="304"/>
      <c r="K563" s="305"/>
      <c r="M563" s="303" t="s">
        <v>51</v>
      </c>
      <c r="N563" s="304"/>
      <c r="O563" s="304"/>
      <c r="P563" s="304"/>
      <c r="Q563" s="304"/>
      <c r="R563" s="304"/>
      <c r="S563" s="304"/>
      <c r="T563" s="304"/>
      <c r="U563" s="304"/>
      <c r="V563" s="304"/>
      <c r="W563" s="305"/>
    </row>
    <row r="564" spans="1:24" ht="18.75" customHeight="1">
      <c r="A564" s="295" t="s">
        <v>52</v>
      </c>
      <c r="B564" s="296"/>
      <c r="C564" s="296"/>
      <c r="D564" s="296"/>
      <c r="E564" s="73" t="s">
        <v>47</v>
      </c>
      <c r="F564" s="310">
        <v>2915400</v>
      </c>
      <c r="G564" s="310"/>
      <c r="H564" s="310"/>
      <c r="I564" s="310"/>
      <c r="J564" s="73" t="s">
        <v>53</v>
      </c>
      <c r="K564" s="74"/>
      <c r="M564" s="295" t="s">
        <v>52</v>
      </c>
      <c r="N564" s="296"/>
      <c r="O564" s="296"/>
      <c r="P564" s="296"/>
      <c r="Q564" s="73" t="s">
        <v>47</v>
      </c>
      <c r="R564" s="310">
        <v>2915400</v>
      </c>
      <c r="S564" s="310"/>
      <c r="T564" s="310"/>
      <c r="U564" s="310"/>
      <c r="V564" s="73" t="s">
        <v>53</v>
      </c>
      <c r="W564" s="74"/>
    </row>
    <row r="565" spans="1:24" ht="18.75" customHeight="1">
      <c r="A565" s="75" t="s">
        <v>54</v>
      </c>
      <c r="B565" s="73"/>
      <c r="C565" s="76"/>
      <c r="D565" s="77"/>
      <c r="E565" s="78"/>
      <c r="F565" s="78"/>
      <c r="G565" s="78"/>
      <c r="H565" s="73"/>
      <c r="I565" s="79">
        <f>'[2]LUONG T7'!F65</f>
        <v>0</v>
      </c>
      <c r="J565" s="80"/>
      <c r="K565" s="81"/>
      <c r="M565" s="75" t="s">
        <v>54</v>
      </c>
      <c r="N565" s="73"/>
      <c r="O565" s="76"/>
      <c r="P565" s="77"/>
      <c r="Q565" s="78"/>
      <c r="R565" s="78"/>
      <c r="S565" s="78"/>
      <c r="T565" s="73"/>
      <c r="U565" s="79">
        <f>'[2]LUONG T7'!F67</f>
        <v>0</v>
      </c>
      <c r="V565" s="80"/>
      <c r="W565" s="81"/>
    </row>
    <row r="566" spans="1:24" ht="18.75" customHeight="1">
      <c r="A566" s="75" t="s">
        <v>55</v>
      </c>
      <c r="B566" s="73"/>
      <c r="C566" s="76"/>
      <c r="D566" s="77"/>
      <c r="E566" s="78"/>
      <c r="F566" s="78"/>
      <c r="G566" s="78"/>
      <c r="H566" s="73"/>
      <c r="I566" s="79" t="e">
        <f>I567/C567/8</f>
        <v>#DIV/0!</v>
      </c>
      <c r="J566" s="80"/>
      <c r="K566" s="81"/>
      <c r="M566" s="75" t="s">
        <v>55</v>
      </c>
      <c r="N566" s="73"/>
      <c r="O566" s="76"/>
      <c r="P566" s="77"/>
      <c r="Q566" s="78"/>
      <c r="R566" s="78"/>
      <c r="S566" s="78"/>
      <c r="T566" s="73"/>
      <c r="U566" s="79" t="e">
        <f>U567/O567/8</f>
        <v>#DIV/0!</v>
      </c>
      <c r="V566" s="80"/>
      <c r="W566" s="81"/>
    </row>
    <row r="567" spans="1:24" ht="18.75" customHeight="1">
      <c r="A567" s="75" t="s">
        <v>56</v>
      </c>
      <c r="B567" s="73" t="s">
        <v>47</v>
      </c>
      <c r="C567" s="76">
        <f>'[2]LUONG T7'!I64</f>
        <v>0</v>
      </c>
      <c r="D567" s="77" t="s">
        <v>57</v>
      </c>
      <c r="E567" s="308" t="s">
        <v>58</v>
      </c>
      <c r="F567" s="308"/>
      <c r="G567" s="308"/>
      <c r="H567" s="73" t="s">
        <v>47</v>
      </c>
      <c r="I567" s="309">
        <f>'[2]LUONG T7'!I65</f>
        <v>0</v>
      </c>
      <c r="J567" s="309"/>
      <c r="K567" s="81" t="s">
        <v>53</v>
      </c>
      <c r="L567" s="82">
        <f>F564/L557*C567</f>
        <v>0</v>
      </c>
      <c r="M567" s="75" t="s">
        <v>56</v>
      </c>
      <c r="N567" s="73" t="s">
        <v>47</v>
      </c>
      <c r="O567" s="76">
        <f>'[2]LUONG T7'!I66</f>
        <v>0</v>
      </c>
      <c r="P567" s="77" t="s">
        <v>57</v>
      </c>
      <c r="Q567" s="308" t="s">
        <v>58</v>
      </c>
      <c r="R567" s="308"/>
      <c r="S567" s="308"/>
      <c r="T567" s="73" t="s">
        <v>47</v>
      </c>
      <c r="U567" s="309">
        <f>'[2]LUONG T7'!I67</f>
        <v>0</v>
      </c>
      <c r="V567" s="309"/>
      <c r="W567" s="81" t="s">
        <v>53</v>
      </c>
      <c r="X567" s="82">
        <f>R564/X557*O567</f>
        <v>0</v>
      </c>
    </row>
    <row r="568" spans="1:24" ht="18.75" customHeight="1">
      <c r="A568" s="75" t="s">
        <v>59</v>
      </c>
      <c r="B568" s="73" t="s">
        <v>47</v>
      </c>
      <c r="C568" s="76">
        <f>'[2]LUONG T7'!J64</f>
        <v>0</v>
      </c>
      <c r="D568" s="77" t="s">
        <v>57</v>
      </c>
      <c r="E568" s="296" t="s">
        <v>60</v>
      </c>
      <c r="F568" s="296"/>
      <c r="G568" s="296"/>
      <c r="H568" s="73" t="s">
        <v>47</v>
      </c>
      <c r="I568" s="307">
        <f>$F$8/$L$1*C568</f>
        <v>0</v>
      </c>
      <c r="J568" s="307"/>
      <c r="K568" s="81" t="s">
        <v>53</v>
      </c>
      <c r="L568" s="82"/>
      <c r="M568" s="75" t="s">
        <v>59</v>
      </c>
      <c r="N568" s="73" t="s">
        <v>47</v>
      </c>
      <c r="O568" s="76">
        <f>'[2]LUONG T7'!J66</f>
        <v>0</v>
      </c>
      <c r="P568" s="77" t="s">
        <v>57</v>
      </c>
      <c r="Q568" s="296" t="s">
        <v>60</v>
      </c>
      <c r="R568" s="296"/>
      <c r="S568" s="296"/>
      <c r="T568" s="73" t="s">
        <v>47</v>
      </c>
      <c r="U568" s="307">
        <f>$F$8/$L$1*O568</f>
        <v>0</v>
      </c>
      <c r="V568" s="307"/>
      <c r="W568" s="81" t="s">
        <v>53</v>
      </c>
      <c r="X568" s="82"/>
    </row>
    <row r="569" spans="1:24" ht="18.75" customHeight="1">
      <c r="A569" s="75" t="s">
        <v>61</v>
      </c>
      <c r="B569" s="73" t="s">
        <v>47</v>
      </c>
      <c r="C569" s="76">
        <f>'[2]LUONG T7'!K64</f>
        <v>0</v>
      </c>
      <c r="D569" s="77" t="s">
        <v>57</v>
      </c>
      <c r="E569" s="306" t="s">
        <v>62</v>
      </c>
      <c r="F569" s="306"/>
      <c r="G569" s="306"/>
      <c r="H569" s="73" t="s">
        <v>47</v>
      </c>
      <c r="I569" s="307">
        <f>$F$8/$L$1*C569</f>
        <v>0</v>
      </c>
      <c r="J569" s="307"/>
      <c r="K569" s="81" t="s">
        <v>53</v>
      </c>
      <c r="L569" s="82"/>
      <c r="M569" s="75" t="s">
        <v>61</v>
      </c>
      <c r="N569" s="73" t="s">
        <v>47</v>
      </c>
      <c r="O569" s="76">
        <f>'[2]LUONG T7'!K66</f>
        <v>0</v>
      </c>
      <c r="P569" s="77" t="s">
        <v>57</v>
      </c>
      <c r="Q569" s="306" t="s">
        <v>62</v>
      </c>
      <c r="R569" s="306"/>
      <c r="S569" s="306"/>
      <c r="T569" s="73" t="s">
        <v>47</v>
      </c>
      <c r="U569" s="307">
        <f>$F$8/$L$1*O569</f>
        <v>0</v>
      </c>
      <c r="V569" s="307"/>
      <c r="W569" s="81" t="s">
        <v>53</v>
      </c>
      <c r="X569" s="82"/>
    </row>
    <row r="570" spans="1:24" ht="18.75" customHeight="1">
      <c r="A570" s="75" t="s">
        <v>63</v>
      </c>
      <c r="B570" s="73" t="s">
        <v>47</v>
      </c>
      <c r="C570" s="76">
        <f>'[2]LUONG T7'!L64</f>
        <v>0</v>
      </c>
      <c r="D570" s="77" t="s">
        <v>57</v>
      </c>
      <c r="E570" s="306" t="s">
        <v>64</v>
      </c>
      <c r="F570" s="306"/>
      <c r="G570" s="306"/>
      <c r="H570" s="73" t="s">
        <v>47</v>
      </c>
      <c r="I570" s="307">
        <f>$F$8/$L$1*C570</f>
        <v>0</v>
      </c>
      <c r="J570" s="307"/>
      <c r="K570" s="81" t="s">
        <v>53</v>
      </c>
      <c r="L570" s="82"/>
      <c r="M570" s="75" t="s">
        <v>63</v>
      </c>
      <c r="N570" s="73" t="s">
        <v>47</v>
      </c>
      <c r="O570" s="76">
        <f>'[2]LUONG T7'!L66</f>
        <v>0</v>
      </c>
      <c r="P570" s="77" t="s">
        <v>57</v>
      </c>
      <c r="Q570" s="306" t="s">
        <v>64</v>
      </c>
      <c r="R570" s="306"/>
      <c r="S570" s="306"/>
      <c r="T570" s="73" t="s">
        <v>47</v>
      </c>
      <c r="U570" s="307">
        <f>$F$8/$L$1*O570</f>
        <v>0</v>
      </c>
      <c r="V570" s="307"/>
      <c r="W570" s="81" t="s">
        <v>53</v>
      </c>
      <c r="X570" s="82"/>
    </row>
    <row r="571" spans="1:24" ht="18.75" customHeight="1">
      <c r="A571" s="75" t="s">
        <v>65</v>
      </c>
      <c r="B571" s="73" t="s">
        <v>47</v>
      </c>
      <c r="C571" s="76">
        <f>'[2]LUONG T7'!Q64</f>
        <v>0</v>
      </c>
      <c r="D571" s="77" t="s">
        <v>66</v>
      </c>
      <c r="E571" s="296" t="s">
        <v>67</v>
      </c>
      <c r="F571" s="296"/>
      <c r="G571" s="296"/>
      <c r="H571" s="73" t="s">
        <v>47</v>
      </c>
      <c r="I571" s="307">
        <f>'[2]LUONG T7'!Q65</f>
        <v>0</v>
      </c>
      <c r="J571" s="307"/>
      <c r="K571" s="81" t="s">
        <v>53</v>
      </c>
      <c r="L571" s="82">
        <f>F564*C571/L557/8*1.5</f>
        <v>0</v>
      </c>
      <c r="M571" s="75" t="s">
        <v>65</v>
      </c>
      <c r="N571" s="73" t="s">
        <v>47</v>
      </c>
      <c r="O571" s="76">
        <f>'[2]LUONG T7'!Q66</f>
        <v>0</v>
      </c>
      <c r="P571" s="77" t="s">
        <v>66</v>
      </c>
      <c r="Q571" s="296" t="s">
        <v>67</v>
      </c>
      <c r="R571" s="296"/>
      <c r="S571" s="296"/>
      <c r="T571" s="73" t="s">
        <v>47</v>
      </c>
      <c r="U571" s="307">
        <f>'[2]LUONG T7'!Q67</f>
        <v>0</v>
      </c>
      <c r="V571" s="307"/>
      <c r="W571" s="81" t="s">
        <v>53</v>
      </c>
      <c r="X571" s="82">
        <f>R564*O571/X557/8*1.5</f>
        <v>0</v>
      </c>
    </row>
    <row r="572" spans="1:24" ht="18.75" customHeight="1">
      <c r="A572" s="295" t="s">
        <v>68</v>
      </c>
      <c r="B572" s="296"/>
      <c r="C572" s="76"/>
      <c r="D572" s="77" t="s">
        <v>57</v>
      </c>
      <c r="E572" s="296" t="s">
        <v>69</v>
      </c>
      <c r="F572" s="296"/>
      <c r="G572" s="296"/>
      <c r="H572" s="83" t="s">
        <v>47</v>
      </c>
      <c r="I572" s="307"/>
      <c r="J572" s="307"/>
      <c r="K572" s="81" t="s">
        <v>53</v>
      </c>
      <c r="L572" s="82"/>
      <c r="M572" s="295" t="s">
        <v>68</v>
      </c>
      <c r="N572" s="296"/>
      <c r="O572" s="76"/>
      <c r="P572" s="77" t="s">
        <v>57</v>
      </c>
      <c r="Q572" s="296" t="s">
        <v>69</v>
      </c>
      <c r="R572" s="296"/>
      <c r="S572" s="296"/>
      <c r="T572" s="83" t="s">
        <v>47</v>
      </c>
      <c r="U572" s="307"/>
      <c r="V572" s="307"/>
      <c r="W572" s="81" t="s">
        <v>53</v>
      </c>
      <c r="X572" s="82"/>
    </row>
    <row r="573" spans="1:24" ht="18.75" customHeight="1">
      <c r="A573" s="75" t="s">
        <v>70</v>
      </c>
      <c r="B573" s="73" t="s">
        <v>47</v>
      </c>
      <c r="C573" s="76"/>
      <c r="D573" s="77" t="s">
        <v>57</v>
      </c>
      <c r="E573" s="296" t="s">
        <v>71</v>
      </c>
      <c r="F573" s="296"/>
      <c r="G573" s="296"/>
      <c r="H573" s="73" t="s">
        <v>47</v>
      </c>
      <c r="I573" s="307"/>
      <c r="J573" s="307"/>
      <c r="K573" s="81" t="s">
        <v>53</v>
      </c>
      <c r="L573" s="82"/>
      <c r="M573" s="75" t="s">
        <v>70</v>
      </c>
      <c r="N573" s="73" t="s">
        <v>47</v>
      </c>
      <c r="O573" s="76"/>
      <c r="P573" s="77" t="s">
        <v>57</v>
      </c>
      <c r="Q573" s="296" t="s">
        <v>71</v>
      </c>
      <c r="R573" s="296"/>
      <c r="S573" s="296"/>
      <c r="T573" s="73" t="s">
        <v>47</v>
      </c>
      <c r="U573" s="307"/>
      <c r="V573" s="307"/>
      <c r="W573" s="81" t="s">
        <v>53</v>
      </c>
      <c r="X573" s="82"/>
    </row>
    <row r="574" spans="1:24" ht="18.75" customHeight="1">
      <c r="A574" s="84" t="s">
        <v>72</v>
      </c>
      <c r="B574" s="73"/>
      <c r="C574" s="76">
        <f>'[2]LUONG T7'!M64</f>
        <v>0</v>
      </c>
      <c r="D574" s="77" t="s">
        <v>66</v>
      </c>
      <c r="E574" s="296" t="s">
        <v>73</v>
      </c>
      <c r="F574" s="296"/>
      <c r="G574" s="296"/>
      <c r="H574" s="73" t="s">
        <v>47</v>
      </c>
      <c r="I574" s="307">
        <f>$F$8*C574/8/$L$1</f>
        <v>0</v>
      </c>
      <c r="J574" s="307"/>
      <c r="K574" s="81" t="s">
        <v>53</v>
      </c>
      <c r="L574" s="82"/>
      <c r="M574" s="84" t="s">
        <v>72</v>
      </c>
      <c r="N574" s="73"/>
      <c r="O574" s="76">
        <f>'[2]LUONG T7'!M66</f>
        <v>0</v>
      </c>
      <c r="P574" s="77" t="s">
        <v>66</v>
      </c>
      <c r="Q574" s="296" t="s">
        <v>73</v>
      </c>
      <c r="R574" s="296"/>
      <c r="S574" s="296"/>
      <c r="T574" s="73" t="s">
        <v>47</v>
      </c>
      <c r="U574" s="307">
        <f>$F$8*O574/8/$L$1</f>
        <v>0</v>
      </c>
      <c r="V574" s="307"/>
      <c r="W574" s="81" t="s">
        <v>53</v>
      </c>
      <c r="X574" s="82"/>
    </row>
    <row r="575" spans="1:24" ht="18.75" customHeight="1">
      <c r="A575" s="75" t="s">
        <v>74</v>
      </c>
      <c r="B575" s="73" t="s">
        <v>47</v>
      </c>
      <c r="C575" s="76"/>
      <c r="D575" s="77" t="s">
        <v>66</v>
      </c>
      <c r="E575" s="296" t="s">
        <v>98</v>
      </c>
      <c r="F575" s="296"/>
      <c r="G575" s="296"/>
      <c r="H575" s="73" t="s">
        <v>47</v>
      </c>
      <c r="I575" s="309"/>
      <c r="J575" s="309"/>
      <c r="K575" s="81" t="s">
        <v>53</v>
      </c>
      <c r="L575" s="82"/>
      <c r="M575" s="75" t="s">
        <v>74</v>
      </c>
      <c r="N575" s="73" t="s">
        <v>47</v>
      </c>
      <c r="O575" s="76"/>
      <c r="P575" s="77" t="s">
        <v>66</v>
      </c>
      <c r="Q575" s="296" t="s">
        <v>98</v>
      </c>
      <c r="R575" s="296"/>
      <c r="S575" s="296"/>
      <c r="T575" s="73" t="s">
        <v>47</v>
      </c>
      <c r="U575" s="309"/>
      <c r="V575" s="309"/>
      <c r="W575" s="81" t="s">
        <v>53</v>
      </c>
      <c r="X575" s="82"/>
    </row>
    <row r="576" spans="1:24" ht="18.75" customHeight="1">
      <c r="A576" s="75" t="s">
        <v>76</v>
      </c>
      <c r="B576" s="73" t="s">
        <v>47</v>
      </c>
      <c r="C576" s="76"/>
      <c r="D576" s="77" t="s">
        <v>77</v>
      </c>
      <c r="E576" s="85" t="s">
        <v>78</v>
      </c>
      <c r="F576" s="85"/>
      <c r="G576" s="85"/>
      <c r="H576" s="73" t="s">
        <v>47</v>
      </c>
      <c r="I576" s="307"/>
      <c r="J576" s="307"/>
      <c r="K576" s="81" t="s">
        <v>53</v>
      </c>
      <c r="L576" s="82">
        <f>+IF(L567-I567&lt;0,0,L567-I567)+IF(L571-I571&lt;0,0,L571-I571)</f>
        <v>0</v>
      </c>
      <c r="M576" s="75" t="s">
        <v>76</v>
      </c>
      <c r="N576" s="73" t="s">
        <v>47</v>
      </c>
      <c r="O576" s="76"/>
      <c r="P576" s="77" t="s">
        <v>77</v>
      </c>
      <c r="Q576" s="85" t="s">
        <v>78</v>
      </c>
      <c r="R576" s="85"/>
      <c r="S576" s="85"/>
      <c r="T576" s="73" t="s">
        <v>47</v>
      </c>
      <c r="U576" s="307"/>
      <c r="V576" s="307"/>
      <c r="W576" s="81" t="s">
        <v>53</v>
      </c>
      <c r="X576" s="82">
        <f>+IF(X567-U567&lt;0,0,X567-U567)+IF(X571-U571&lt;0,0,X571-U571)</f>
        <v>0</v>
      </c>
    </row>
    <row r="577" spans="1:24" ht="18.75" customHeight="1">
      <c r="A577" s="86" t="s">
        <v>122</v>
      </c>
      <c r="B577" s="87"/>
      <c r="C577" s="76"/>
      <c r="D577" s="77" t="s">
        <v>57</v>
      </c>
      <c r="E577" s="296" t="s">
        <v>123</v>
      </c>
      <c r="F577" s="296"/>
      <c r="G577" s="296"/>
      <c r="H577" s="73" t="s">
        <v>47</v>
      </c>
      <c r="I577" s="307"/>
      <c r="J577" s="307"/>
      <c r="K577" s="81" t="s">
        <v>53</v>
      </c>
      <c r="L577" s="82"/>
      <c r="M577" s="86" t="s">
        <v>122</v>
      </c>
      <c r="N577" s="87"/>
      <c r="O577" s="76"/>
      <c r="P577" s="77" t="s">
        <v>57</v>
      </c>
      <c r="Q577" s="296" t="s">
        <v>123</v>
      </c>
      <c r="R577" s="296"/>
      <c r="S577" s="296"/>
      <c r="T577" s="73" t="s">
        <v>47</v>
      </c>
      <c r="U577" s="307"/>
      <c r="V577" s="307"/>
      <c r="W577" s="81" t="s">
        <v>53</v>
      </c>
      <c r="X577" s="82"/>
    </row>
    <row r="578" spans="1:24" ht="18.75" customHeight="1">
      <c r="A578" s="314" t="s">
        <v>81</v>
      </c>
      <c r="B578" s="308"/>
      <c r="C578" s="76"/>
      <c r="D578" s="77"/>
      <c r="E578" s="78"/>
      <c r="F578" s="78"/>
      <c r="G578" s="78"/>
      <c r="H578" s="73" t="s">
        <v>47</v>
      </c>
      <c r="I578" s="307">
        <f>'[2]LUONG T7'!P65</f>
        <v>0</v>
      </c>
      <c r="J578" s="307"/>
      <c r="K578" s="81" t="s">
        <v>53</v>
      </c>
      <c r="L578" s="82"/>
      <c r="M578" s="314" t="s">
        <v>81</v>
      </c>
      <c r="N578" s="308"/>
      <c r="O578" s="76"/>
      <c r="P578" s="77"/>
      <c r="Q578" s="78"/>
      <c r="R578" s="78"/>
      <c r="S578" s="78"/>
      <c r="T578" s="73" t="s">
        <v>47</v>
      </c>
      <c r="U578" s="307">
        <f>'[2]LUONG T7'!P67</f>
        <v>0</v>
      </c>
      <c r="V578" s="307"/>
      <c r="W578" s="81" t="s">
        <v>53</v>
      </c>
      <c r="X578" s="82"/>
    </row>
    <row r="579" spans="1:24" ht="18.75" customHeight="1">
      <c r="A579" s="75" t="s">
        <v>82</v>
      </c>
      <c r="B579" s="73" t="s">
        <v>47</v>
      </c>
      <c r="C579" s="76"/>
      <c r="D579" s="77"/>
      <c r="E579" s="78" t="s">
        <v>83</v>
      </c>
      <c r="F579" s="78"/>
      <c r="G579" s="78"/>
      <c r="H579" s="73" t="s">
        <v>47</v>
      </c>
      <c r="I579" s="307">
        <f>L576</f>
        <v>0</v>
      </c>
      <c r="J579" s="307"/>
      <c r="K579" s="81" t="s">
        <v>53</v>
      </c>
      <c r="L579" s="82"/>
      <c r="M579" s="75" t="s">
        <v>82</v>
      </c>
      <c r="N579" s="73" t="s">
        <v>47</v>
      </c>
      <c r="O579" s="76"/>
      <c r="P579" s="77"/>
      <c r="Q579" s="78" t="s">
        <v>83</v>
      </c>
      <c r="R579" s="78"/>
      <c r="S579" s="78"/>
      <c r="T579" s="73" t="s">
        <v>47</v>
      </c>
      <c r="U579" s="307">
        <f>X576</f>
        <v>0</v>
      </c>
      <c r="V579" s="307"/>
      <c r="W579" s="81" t="s">
        <v>53</v>
      </c>
      <c r="X579" s="82"/>
    </row>
    <row r="580" spans="1:24" ht="18.75" customHeight="1">
      <c r="A580" s="311" t="s">
        <v>84</v>
      </c>
      <c r="B580" s="312"/>
      <c r="C580" s="312"/>
      <c r="D580" s="312"/>
      <c r="E580" s="312"/>
      <c r="F580" s="312"/>
      <c r="G580" s="73" t="s">
        <v>47</v>
      </c>
      <c r="H580" s="313">
        <f>I567+I568+I569+I570+I571+I574+I578+I579</f>
        <v>0</v>
      </c>
      <c r="I580" s="313"/>
      <c r="J580" s="313"/>
      <c r="K580" s="81" t="s">
        <v>53</v>
      </c>
      <c r="M580" s="311" t="s">
        <v>84</v>
      </c>
      <c r="N580" s="312"/>
      <c r="O580" s="312"/>
      <c r="P580" s="312"/>
      <c r="Q580" s="312"/>
      <c r="R580" s="312"/>
      <c r="S580" s="73" t="s">
        <v>47</v>
      </c>
      <c r="T580" s="313">
        <f>U567+U568+U569+U570+U571+U574+U578+U579</f>
        <v>0</v>
      </c>
      <c r="U580" s="313"/>
      <c r="V580" s="313"/>
      <c r="W580" s="81" t="s">
        <v>53</v>
      </c>
    </row>
    <row r="581" spans="1:24" ht="18.75" customHeight="1">
      <c r="A581" s="88"/>
      <c r="B581" s="89"/>
      <c r="C581" s="89"/>
      <c r="D581" s="89"/>
      <c r="E581" s="89"/>
      <c r="F581" s="89"/>
      <c r="G581" s="89"/>
      <c r="H581" s="89"/>
      <c r="I581" s="89"/>
      <c r="J581" s="89"/>
      <c r="K581" s="90"/>
      <c r="M581" s="88"/>
      <c r="N581" s="89"/>
      <c r="O581" s="89"/>
      <c r="P581" s="89"/>
      <c r="Q581" s="89"/>
      <c r="R581" s="89"/>
      <c r="S581" s="89"/>
      <c r="T581" s="89"/>
      <c r="U581" s="89"/>
      <c r="V581" s="89"/>
      <c r="W581" s="90"/>
    </row>
    <row r="582" spans="1:24" ht="18.75" customHeight="1">
      <c r="A582" s="321" t="s">
        <v>85</v>
      </c>
      <c r="B582" s="322"/>
      <c r="C582" s="322"/>
      <c r="D582" s="322"/>
      <c r="E582" s="322"/>
      <c r="F582" s="322"/>
      <c r="G582" s="73"/>
      <c r="H582" s="73"/>
      <c r="I582" s="73"/>
      <c r="J582" s="73"/>
      <c r="K582" s="81"/>
      <c r="M582" s="321" t="s">
        <v>85</v>
      </c>
      <c r="N582" s="322"/>
      <c r="O582" s="322"/>
      <c r="P582" s="322"/>
      <c r="Q582" s="322"/>
      <c r="R582" s="322"/>
      <c r="S582" s="73"/>
      <c r="T582" s="73"/>
      <c r="U582" s="73"/>
      <c r="V582" s="73"/>
      <c r="W582" s="81"/>
    </row>
    <row r="583" spans="1:24" ht="18.75" customHeight="1">
      <c r="A583" s="315" t="s">
        <v>86</v>
      </c>
      <c r="B583" s="316"/>
      <c r="C583" s="316"/>
      <c r="D583" s="316"/>
      <c r="E583" s="316"/>
      <c r="F583" s="316"/>
      <c r="G583" s="73" t="s">
        <v>47</v>
      </c>
      <c r="H583" s="323">
        <f>IF(($L$1-(C567+C568+C569+C570))&gt;12,0,F564*8%)</f>
        <v>0</v>
      </c>
      <c r="I583" s="323"/>
      <c r="J583" s="323"/>
      <c r="K583" s="81" t="s">
        <v>53</v>
      </c>
      <c r="M583" s="315" t="s">
        <v>86</v>
      </c>
      <c r="N583" s="316"/>
      <c r="O583" s="316"/>
      <c r="P583" s="316"/>
      <c r="Q583" s="316"/>
      <c r="R583" s="316"/>
      <c r="S583" s="73" t="s">
        <v>47</v>
      </c>
      <c r="T583" s="323">
        <f>IF(($L$1-(O567+O568+O569+O570))&gt;12,0,R564*8%)</f>
        <v>0</v>
      </c>
      <c r="U583" s="323"/>
      <c r="V583" s="323"/>
      <c r="W583" s="81" t="s">
        <v>53</v>
      </c>
    </row>
    <row r="584" spans="1:24" ht="18.75" customHeight="1">
      <c r="A584" s="315" t="s">
        <v>87</v>
      </c>
      <c r="B584" s="316"/>
      <c r="C584" s="316"/>
      <c r="D584" s="316"/>
      <c r="E584" s="316"/>
      <c r="F584" s="316"/>
      <c r="G584" s="73" t="s">
        <v>47</v>
      </c>
      <c r="H584" s="317">
        <f>IF(($L$1-(C567+C568+C569+C570))&gt;12,0,F564*1.5%)</f>
        <v>0</v>
      </c>
      <c r="I584" s="317"/>
      <c r="J584" s="317"/>
      <c r="K584" s="81" t="s">
        <v>53</v>
      </c>
      <c r="M584" s="315" t="s">
        <v>87</v>
      </c>
      <c r="N584" s="316"/>
      <c r="O584" s="316"/>
      <c r="P584" s="316"/>
      <c r="Q584" s="316"/>
      <c r="R584" s="316"/>
      <c r="S584" s="73" t="s">
        <v>47</v>
      </c>
      <c r="T584" s="317">
        <f>IF(($L$1-(O567+O568+O569+O570))&gt;12,0,R564*1.5%)</f>
        <v>0</v>
      </c>
      <c r="U584" s="317"/>
      <c r="V584" s="317"/>
      <c r="W584" s="81" t="s">
        <v>53</v>
      </c>
    </row>
    <row r="585" spans="1:24" ht="18.75" customHeight="1">
      <c r="A585" s="315" t="s">
        <v>88</v>
      </c>
      <c r="B585" s="316"/>
      <c r="C585" s="316"/>
      <c r="D585" s="316"/>
      <c r="E585" s="316"/>
      <c r="F585" s="316"/>
      <c r="G585" s="73" t="s">
        <v>47</v>
      </c>
      <c r="H585" s="317">
        <f>IF(($L$1-(C567+C568+C569+C570))&gt;12,0,F564*1%)</f>
        <v>0</v>
      </c>
      <c r="I585" s="317"/>
      <c r="J585" s="317"/>
      <c r="K585" s="81" t="s">
        <v>53</v>
      </c>
      <c r="M585" s="315" t="s">
        <v>88</v>
      </c>
      <c r="N585" s="316"/>
      <c r="O585" s="316"/>
      <c r="P585" s="316"/>
      <c r="Q585" s="316"/>
      <c r="R585" s="316"/>
      <c r="S585" s="73" t="s">
        <v>47</v>
      </c>
      <c r="T585" s="317">
        <f>IF(($L$1-(O567+O568+O569+O570))&gt;12,0,R564*1%)</f>
        <v>0</v>
      </c>
      <c r="U585" s="317"/>
      <c r="V585" s="317"/>
      <c r="W585" s="81" t="s">
        <v>53</v>
      </c>
    </row>
    <row r="586" spans="1:24" ht="18.75" customHeight="1">
      <c r="A586" s="315" t="s">
        <v>89</v>
      </c>
      <c r="B586" s="316"/>
      <c r="C586" s="316"/>
      <c r="D586" s="316"/>
      <c r="E586" s="316"/>
      <c r="F586" s="316"/>
      <c r="G586" s="73" t="s">
        <v>47</v>
      </c>
      <c r="H586" s="317">
        <v>0</v>
      </c>
      <c r="I586" s="317"/>
      <c r="J586" s="317"/>
      <c r="K586" s="81" t="s">
        <v>53</v>
      </c>
      <c r="M586" s="315" t="s">
        <v>89</v>
      </c>
      <c r="N586" s="316"/>
      <c r="O586" s="316"/>
      <c r="P586" s="316"/>
      <c r="Q586" s="316"/>
      <c r="R586" s="316"/>
      <c r="S586" s="73" t="s">
        <v>47</v>
      </c>
      <c r="T586" s="317">
        <v>0</v>
      </c>
      <c r="U586" s="317"/>
      <c r="V586" s="317"/>
      <c r="W586" s="81" t="s">
        <v>53</v>
      </c>
    </row>
    <row r="587" spans="1:24" ht="18.75" customHeight="1">
      <c r="A587" s="318" t="s">
        <v>90</v>
      </c>
      <c r="B587" s="319"/>
      <c r="C587" s="319"/>
      <c r="D587" s="319"/>
      <c r="E587" s="319"/>
      <c r="F587" s="319"/>
      <c r="G587" s="73" t="s">
        <v>47</v>
      </c>
      <c r="H587" s="320">
        <f>SUM(H583:J586)</f>
        <v>0</v>
      </c>
      <c r="I587" s="320"/>
      <c r="J587" s="320"/>
      <c r="K587" s="81" t="s">
        <v>53</v>
      </c>
      <c r="M587" s="318" t="s">
        <v>90</v>
      </c>
      <c r="N587" s="319"/>
      <c r="O587" s="319"/>
      <c r="P587" s="319"/>
      <c r="Q587" s="319"/>
      <c r="R587" s="319"/>
      <c r="S587" s="73" t="s">
        <v>47</v>
      </c>
      <c r="T587" s="320">
        <f>SUM(T583:V586)</f>
        <v>0</v>
      </c>
      <c r="U587" s="320"/>
      <c r="V587" s="320"/>
      <c r="W587" s="81" t="s">
        <v>53</v>
      </c>
    </row>
    <row r="588" spans="1:24" ht="18.75" customHeight="1">
      <c r="A588" s="315" t="s">
        <v>91</v>
      </c>
      <c r="B588" s="316"/>
      <c r="C588" s="316"/>
      <c r="D588" s="316"/>
      <c r="E588" s="316"/>
      <c r="F588" s="316"/>
      <c r="G588" s="73" t="s">
        <v>47</v>
      </c>
      <c r="H588" s="327">
        <f>ROUND(H580-H587,-2)</f>
        <v>0</v>
      </c>
      <c r="I588" s="327"/>
      <c r="J588" s="327"/>
      <c r="K588" s="81" t="s">
        <v>53</v>
      </c>
      <c r="M588" s="315" t="s">
        <v>91</v>
      </c>
      <c r="N588" s="316"/>
      <c r="O588" s="316"/>
      <c r="P588" s="316"/>
      <c r="Q588" s="316"/>
      <c r="R588" s="316"/>
      <c r="S588" s="73" t="s">
        <v>47</v>
      </c>
      <c r="T588" s="327">
        <f>ROUND(T580-T587,-2)</f>
        <v>0</v>
      </c>
      <c r="U588" s="327"/>
      <c r="V588" s="327"/>
      <c r="W588" s="81" t="s">
        <v>53</v>
      </c>
    </row>
    <row r="589" spans="1:24" ht="18.75" customHeight="1">
      <c r="A589" s="91"/>
      <c r="B589" s="92"/>
      <c r="C589" s="92"/>
      <c r="D589" s="92"/>
      <c r="E589" s="92"/>
      <c r="F589" s="92"/>
      <c r="G589" s="92"/>
      <c r="H589" s="92"/>
      <c r="I589" s="92"/>
      <c r="J589" s="92"/>
      <c r="K589" s="93"/>
      <c r="M589" s="91"/>
      <c r="N589" s="92"/>
      <c r="O589" s="92"/>
      <c r="P589" s="92"/>
      <c r="Q589" s="92"/>
      <c r="R589" s="92"/>
      <c r="S589" s="92"/>
      <c r="T589" s="92"/>
      <c r="U589" s="92"/>
      <c r="V589" s="92"/>
      <c r="W589" s="93"/>
    </row>
    <row r="590" spans="1:24" ht="18.75" customHeight="1">
      <c r="A590" s="94"/>
      <c r="B590" s="73"/>
      <c r="C590" s="73"/>
      <c r="D590" s="73"/>
      <c r="E590" s="73"/>
      <c r="F590" s="73"/>
      <c r="G590" s="73"/>
      <c r="H590" s="73"/>
      <c r="I590" s="324" t="s">
        <v>92</v>
      </c>
      <c r="J590" s="324"/>
      <c r="K590" s="328"/>
      <c r="M590" s="94"/>
      <c r="N590" s="73"/>
      <c r="O590" s="73"/>
      <c r="P590" s="73"/>
      <c r="Q590" s="73"/>
      <c r="R590" s="73"/>
      <c r="S590" s="73"/>
      <c r="T590" s="73"/>
      <c r="U590" s="324" t="s">
        <v>92</v>
      </c>
      <c r="V590" s="324"/>
      <c r="W590" s="328"/>
    </row>
    <row r="591" spans="1:24" ht="18.75" customHeight="1">
      <c r="A591" s="94"/>
      <c r="B591" s="324"/>
      <c r="C591" s="324"/>
      <c r="D591" s="324"/>
      <c r="E591" s="324"/>
      <c r="F591" s="73"/>
      <c r="G591" s="73"/>
      <c r="H591" s="73"/>
      <c r="I591" s="73"/>
      <c r="J591" s="73"/>
      <c r="K591" s="74"/>
      <c r="M591" s="94"/>
      <c r="N591" s="324"/>
      <c r="O591" s="324"/>
      <c r="P591" s="324"/>
      <c r="Q591" s="324"/>
      <c r="R591" s="73"/>
      <c r="S591" s="73"/>
      <c r="T591" s="73"/>
      <c r="U591" s="73"/>
      <c r="V591" s="73"/>
      <c r="W591" s="74"/>
    </row>
    <row r="592" spans="1:24" ht="18.75" customHeight="1" thickBot="1">
      <c r="A592" s="95"/>
      <c r="B592" s="96"/>
      <c r="C592" s="96"/>
      <c r="D592" s="96"/>
      <c r="E592" s="96"/>
      <c r="F592" s="96"/>
      <c r="G592" s="96"/>
      <c r="H592" s="96"/>
      <c r="I592" s="325" t="s">
        <v>93</v>
      </c>
      <c r="J592" s="325"/>
      <c r="K592" s="326"/>
      <c r="M592" s="95"/>
      <c r="N592" s="96"/>
      <c r="O592" s="96"/>
      <c r="P592" s="96"/>
      <c r="Q592" s="96"/>
      <c r="R592" s="96"/>
      <c r="S592" s="96"/>
      <c r="T592" s="96"/>
      <c r="U592" s="325" t="s">
        <v>93</v>
      </c>
      <c r="V592" s="325"/>
      <c r="W592" s="326"/>
    </row>
    <row r="594" spans="1:24" ht="18.75" customHeight="1" thickTop="1">
      <c r="A594" s="300" t="s">
        <v>41</v>
      </c>
      <c r="B594" s="301"/>
      <c r="C594" s="301"/>
      <c r="D594" s="301"/>
      <c r="E594" s="301"/>
      <c r="F594" s="301"/>
      <c r="G594" s="301"/>
      <c r="H594" s="301"/>
      <c r="I594" s="301"/>
      <c r="J594" s="301"/>
      <c r="K594" s="302"/>
      <c r="L594" s="69">
        <v>25</v>
      </c>
      <c r="M594" s="300" t="s">
        <v>41</v>
      </c>
      <c r="N594" s="301"/>
      <c r="O594" s="301"/>
      <c r="P594" s="301"/>
      <c r="Q594" s="301"/>
      <c r="R594" s="301"/>
      <c r="S594" s="301"/>
      <c r="T594" s="301"/>
      <c r="U594" s="301"/>
      <c r="V594" s="301"/>
      <c r="W594" s="302"/>
      <c r="X594" s="69">
        <v>25</v>
      </c>
    </row>
    <row r="595" spans="1:24" ht="18.75" customHeight="1">
      <c r="A595" s="70" t="s">
        <v>140</v>
      </c>
      <c r="B595" s="71"/>
      <c r="C595" s="71"/>
      <c r="D595" s="71"/>
      <c r="E595" s="71"/>
      <c r="F595" s="71"/>
      <c r="G595" s="71"/>
      <c r="H595" s="71"/>
      <c r="I595" s="71"/>
      <c r="J595" s="71"/>
      <c r="K595" s="72"/>
      <c r="M595" s="70" t="s">
        <v>141</v>
      </c>
      <c r="N595" s="71"/>
      <c r="O595" s="71"/>
      <c r="P595" s="71"/>
      <c r="Q595" s="71"/>
      <c r="R595" s="71"/>
      <c r="S595" s="71"/>
      <c r="T595" s="71"/>
      <c r="U595" s="71"/>
      <c r="V595" s="71"/>
      <c r="W595" s="72"/>
    </row>
    <row r="596" spans="1:24" ht="18.75" customHeight="1">
      <c r="A596" s="303" t="s">
        <v>45</v>
      </c>
      <c r="B596" s="304"/>
      <c r="C596" s="304"/>
      <c r="D596" s="304"/>
      <c r="E596" s="304"/>
      <c r="F596" s="304"/>
      <c r="G596" s="304"/>
      <c r="H596" s="304"/>
      <c r="I596" s="304"/>
      <c r="J596" s="304"/>
      <c r="K596" s="305"/>
      <c r="M596" s="303" t="s">
        <v>45</v>
      </c>
      <c r="N596" s="304"/>
      <c r="O596" s="304"/>
      <c r="P596" s="304"/>
      <c r="Q596" s="304"/>
      <c r="R596" s="304"/>
      <c r="S596" s="304"/>
      <c r="T596" s="304"/>
      <c r="U596" s="304"/>
      <c r="V596" s="304"/>
      <c r="W596" s="305"/>
    </row>
    <row r="597" spans="1:24" ht="18.75" customHeight="1">
      <c r="A597" s="295" t="s">
        <v>46</v>
      </c>
      <c r="B597" s="296"/>
      <c r="C597" s="296"/>
      <c r="D597" s="296"/>
      <c r="E597" s="73" t="s">
        <v>47</v>
      </c>
      <c r="F597" s="297">
        <f>'[2]Bang TH nop'!B65</f>
        <v>0</v>
      </c>
      <c r="G597" s="296"/>
      <c r="H597" s="296"/>
      <c r="I597" s="296"/>
      <c r="J597" s="296"/>
      <c r="K597" s="299"/>
      <c r="M597" s="295" t="s">
        <v>46</v>
      </c>
      <c r="N597" s="296"/>
      <c r="O597" s="296"/>
      <c r="P597" s="296"/>
      <c r="Q597" s="73" t="s">
        <v>47</v>
      </c>
      <c r="R597" s="297">
        <f>'[2]Bang TH nop'!B67</f>
        <v>0</v>
      </c>
      <c r="S597" s="296"/>
      <c r="T597" s="296"/>
      <c r="U597" s="296"/>
      <c r="V597" s="296"/>
      <c r="W597" s="299"/>
    </row>
    <row r="598" spans="1:24" ht="18.75" customHeight="1">
      <c r="A598" s="295" t="s">
        <v>49</v>
      </c>
      <c r="B598" s="296"/>
      <c r="C598" s="296"/>
      <c r="D598" s="296"/>
      <c r="E598" s="73" t="s">
        <v>47</v>
      </c>
      <c r="F598" s="297">
        <f>'[2]Bang TH nop'!C65</f>
        <v>0</v>
      </c>
      <c r="G598" s="297"/>
      <c r="H598" s="297"/>
      <c r="I598" s="297"/>
      <c r="J598" s="297"/>
      <c r="K598" s="298"/>
      <c r="M598" s="295" t="s">
        <v>49</v>
      </c>
      <c r="N598" s="296"/>
      <c r="O598" s="296"/>
      <c r="P598" s="296"/>
      <c r="Q598" s="73" t="s">
        <v>47</v>
      </c>
      <c r="R598" s="297">
        <f>'[2]Bang TH nop'!C67</f>
        <v>0</v>
      </c>
      <c r="S598" s="297"/>
      <c r="T598" s="297"/>
      <c r="U598" s="297"/>
      <c r="V598" s="297"/>
      <c r="W598" s="298"/>
    </row>
    <row r="599" spans="1:24" ht="18.75" customHeight="1">
      <c r="A599" s="295" t="s">
        <v>50</v>
      </c>
      <c r="B599" s="296"/>
      <c r="C599" s="296"/>
      <c r="D599" s="296"/>
      <c r="E599" s="73" t="s">
        <v>47</v>
      </c>
      <c r="F599" s="296" t="s">
        <v>121</v>
      </c>
      <c r="G599" s="296"/>
      <c r="H599" s="296"/>
      <c r="I599" s="296"/>
      <c r="J599" s="296"/>
      <c r="K599" s="299"/>
      <c r="M599" s="295" t="s">
        <v>50</v>
      </c>
      <c r="N599" s="296"/>
      <c r="O599" s="296"/>
      <c r="P599" s="296"/>
      <c r="Q599" s="73" t="s">
        <v>47</v>
      </c>
      <c r="R599" s="296" t="s">
        <v>121</v>
      </c>
      <c r="S599" s="296"/>
      <c r="T599" s="296"/>
      <c r="U599" s="296"/>
      <c r="V599" s="296"/>
      <c r="W599" s="299"/>
    </row>
    <row r="600" spans="1:24" ht="18.75" customHeight="1">
      <c r="A600" s="303" t="s">
        <v>51</v>
      </c>
      <c r="B600" s="304"/>
      <c r="C600" s="304"/>
      <c r="D600" s="304"/>
      <c r="E600" s="304"/>
      <c r="F600" s="304"/>
      <c r="G600" s="304"/>
      <c r="H600" s="304"/>
      <c r="I600" s="304"/>
      <c r="J600" s="304"/>
      <c r="K600" s="305"/>
      <c r="M600" s="303" t="s">
        <v>51</v>
      </c>
      <c r="N600" s="304"/>
      <c r="O600" s="304"/>
      <c r="P600" s="304"/>
      <c r="Q600" s="304"/>
      <c r="R600" s="304"/>
      <c r="S600" s="304"/>
      <c r="T600" s="304"/>
      <c r="U600" s="304"/>
      <c r="V600" s="304"/>
      <c r="W600" s="305"/>
    </row>
    <row r="601" spans="1:24" ht="18.75" customHeight="1">
      <c r="A601" s="295" t="s">
        <v>52</v>
      </c>
      <c r="B601" s="296"/>
      <c r="C601" s="296"/>
      <c r="D601" s="296"/>
      <c r="E601" s="73" t="s">
        <v>47</v>
      </c>
      <c r="F601" s="310">
        <v>2915400</v>
      </c>
      <c r="G601" s="310"/>
      <c r="H601" s="310"/>
      <c r="I601" s="310"/>
      <c r="J601" s="73" t="s">
        <v>53</v>
      </c>
      <c r="K601" s="74"/>
      <c r="M601" s="295" t="s">
        <v>52</v>
      </c>
      <c r="N601" s="296"/>
      <c r="O601" s="296"/>
      <c r="P601" s="296"/>
      <c r="Q601" s="73" t="s">
        <v>47</v>
      </c>
      <c r="R601" s="310">
        <v>2915400</v>
      </c>
      <c r="S601" s="310"/>
      <c r="T601" s="310"/>
      <c r="U601" s="310"/>
      <c r="V601" s="73" t="s">
        <v>53</v>
      </c>
      <c r="W601" s="74"/>
    </row>
    <row r="602" spans="1:24" ht="18.75" customHeight="1">
      <c r="A602" s="75" t="s">
        <v>54</v>
      </c>
      <c r="B602" s="73"/>
      <c r="C602" s="76"/>
      <c r="D602" s="77"/>
      <c r="E602" s="78"/>
      <c r="F602" s="78"/>
      <c r="G602" s="78"/>
      <c r="H602" s="73"/>
      <c r="I602" s="79">
        <f>'[2]LUONG T7'!F69</f>
        <v>0</v>
      </c>
      <c r="J602" s="80"/>
      <c r="K602" s="81"/>
      <c r="M602" s="75" t="s">
        <v>54</v>
      </c>
      <c r="N602" s="73"/>
      <c r="O602" s="76"/>
      <c r="P602" s="77"/>
      <c r="Q602" s="78"/>
      <c r="R602" s="78"/>
      <c r="S602" s="78"/>
      <c r="T602" s="73"/>
      <c r="U602" s="79">
        <f>'[2]LUONG T7'!F71</f>
        <v>0</v>
      </c>
      <c r="V602" s="80"/>
      <c r="W602" s="81"/>
    </row>
    <row r="603" spans="1:24" ht="18.75" customHeight="1">
      <c r="A603" s="75" t="s">
        <v>55</v>
      </c>
      <c r="B603" s="73"/>
      <c r="C603" s="76"/>
      <c r="D603" s="77"/>
      <c r="E603" s="78"/>
      <c r="F603" s="78"/>
      <c r="G603" s="78"/>
      <c r="H603" s="73"/>
      <c r="I603" s="79" t="e">
        <f>I604/C604/8</f>
        <v>#DIV/0!</v>
      </c>
      <c r="J603" s="80"/>
      <c r="K603" s="81"/>
      <c r="M603" s="75" t="s">
        <v>55</v>
      </c>
      <c r="N603" s="73"/>
      <c r="O603" s="76"/>
      <c r="P603" s="77"/>
      <c r="Q603" s="78"/>
      <c r="R603" s="78"/>
      <c r="S603" s="78"/>
      <c r="T603" s="73"/>
      <c r="U603" s="79" t="e">
        <f>U604/O604/8</f>
        <v>#DIV/0!</v>
      </c>
      <c r="V603" s="80"/>
      <c r="W603" s="81"/>
    </row>
    <row r="604" spans="1:24" ht="18.75" customHeight="1">
      <c r="A604" s="75" t="s">
        <v>56</v>
      </c>
      <c r="B604" s="73" t="s">
        <v>47</v>
      </c>
      <c r="C604" s="76">
        <f>'[2]LUONG T7'!I68</f>
        <v>0</v>
      </c>
      <c r="D604" s="77" t="s">
        <v>57</v>
      </c>
      <c r="E604" s="308" t="s">
        <v>58</v>
      </c>
      <c r="F604" s="308"/>
      <c r="G604" s="308"/>
      <c r="H604" s="73" t="s">
        <v>47</v>
      </c>
      <c r="I604" s="309">
        <f>'[2]LUONG T7'!I69</f>
        <v>0</v>
      </c>
      <c r="J604" s="309"/>
      <c r="K604" s="81" t="s">
        <v>53</v>
      </c>
      <c r="L604" s="82">
        <f>F601/L594*C604</f>
        <v>0</v>
      </c>
      <c r="M604" s="75" t="s">
        <v>56</v>
      </c>
      <c r="N604" s="73" t="s">
        <v>47</v>
      </c>
      <c r="O604" s="76">
        <f>'[2]LUONG T7'!I70</f>
        <v>0</v>
      </c>
      <c r="P604" s="77" t="s">
        <v>57</v>
      </c>
      <c r="Q604" s="308" t="s">
        <v>58</v>
      </c>
      <c r="R604" s="308"/>
      <c r="S604" s="308"/>
      <c r="T604" s="73" t="s">
        <v>47</v>
      </c>
      <c r="U604" s="309">
        <f>'[2]LUONG T7'!I71</f>
        <v>0</v>
      </c>
      <c r="V604" s="309"/>
      <c r="W604" s="81" t="s">
        <v>53</v>
      </c>
      <c r="X604" s="82">
        <f>R601/X594*O604</f>
        <v>0</v>
      </c>
    </row>
    <row r="605" spans="1:24" ht="18.75" customHeight="1">
      <c r="A605" s="75" t="s">
        <v>59</v>
      </c>
      <c r="B605" s="73" t="s">
        <v>47</v>
      </c>
      <c r="C605" s="76">
        <f>'[2]LUONG T7'!J68</f>
        <v>0</v>
      </c>
      <c r="D605" s="77" t="s">
        <v>57</v>
      </c>
      <c r="E605" s="296" t="s">
        <v>60</v>
      </c>
      <c r="F605" s="296"/>
      <c r="G605" s="296"/>
      <c r="H605" s="73" t="s">
        <v>47</v>
      </c>
      <c r="I605" s="307">
        <f>$F$8/$L$1*C605</f>
        <v>0</v>
      </c>
      <c r="J605" s="307"/>
      <c r="K605" s="81" t="s">
        <v>53</v>
      </c>
      <c r="L605" s="82"/>
      <c r="M605" s="75" t="s">
        <v>59</v>
      </c>
      <c r="N605" s="73" t="s">
        <v>47</v>
      </c>
      <c r="O605" s="76">
        <f>'[2]LUONG T7'!J70</f>
        <v>0</v>
      </c>
      <c r="P605" s="77" t="s">
        <v>57</v>
      </c>
      <c r="Q605" s="296" t="s">
        <v>60</v>
      </c>
      <c r="R605" s="296"/>
      <c r="S605" s="296"/>
      <c r="T605" s="73" t="s">
        <v>47</v>
      </c>
      <c r="U605" s="307">
        <f>$F$8/$L$1*O605</f>
        <v>0</v>
      </c>
      <c r="V605" s="307"/>
      <c r="W605" s="81" t="s">
        <v>53</v>
      </c>
      <c r="X605" s="82"/>
    </row>
    <row r="606" spans="1:24" ht="18.75" customHeight="1">
      <c r="A606" s="75" t="s">
        <v>61</v>
      </c>
      <c r="B606" s="73" t="s">
        <v>47</v>
      </c>
      <c r="C606" s="76">
        <f>'[2]LUONG T7'!K68</f>
        <v>0</v>
      </c>
      <c r="D606" s="77" t="s">
        <v>57</v>
      </c>
      <c r="E606" s="306" t="s">
        <v>62</v>
      </c>
      <c r="F606" s="306"/>
      <c r="G606" s="306"/>
      <c r="H606" s="73" t="s">
        <v>47</v>
      </c>
      <c r="I606" s="307">
        <f>$F$8/$L$1*C606</f>
        <v>0</v>
      </c>
      <c r="J606" s="307"/>
      <c r="K606" s="81" t="s">
        <v>53</v>
      </c>
      <c r="L606" s="82"/>
      <c r="M606" s="75" t="s">
        <v>61</v>
      </c>
      <c r="N606" s="73" t="s">
        <v>47</v>
      </c>
      <c r="O606" s="76">
        <f>'[2]LUONG T7'!K70</f>
        <v>0</v>
      </c>
      <c r="P606" s="77" t="s">
        <v>57</v>
      </c>
      <c r="Q606" s="306" t="s">
        <v>62</v>
      </c>
      <c r="R606" s="306"/>
      <c r="S606" s="306"/>
      <c r="T606" s="73" t="s">
        <v>47</v>
      </c>
      <c r="U606" s="307">
        <f>$F$8/$L$1*O606</f>
        <v>0</v>
      </c>
      <c r="V606" s="307"/>
      <c r="W606" s="81" t="s">
        <v>53</v>
      </c>
      <c r="X606" s="82"/>
    </row>
    <row r="607" spans="1:24" ht="18.75" customHeight="1">
      <c r="A607" s="75" t="s">
        <v>63</v>
      </c>
      <c r="B607" s="73" t="s">
        <v>47</v>
      </c>
      <c r="C607" s="76">
        <f>'[2]LUONG T7'!L68</f>
        <v>0</v>
      </c>
      <c r="D607" s="77" t="s">
        <v>57</v>
      </c>
      <c r="E607" s="306" t="s">
        <v>64</v>
      </c>
      <c r="F607" s="306"/>
      <c r="G607" s="306"/>
      <c r="H607" s="73" t="s">
        <v>47</v>
      </c>
      <c r="I607" s="307">
        <f>$F$8/$L$1*C607</f>
        <v>0</v>
      </c>
      <c r="J607" s="307"/>
      <c r="K607" s="81" t="s">
        <v>53</v>
      </c>
      <c r="L607" s="82"/>
      <c r="M607" s="75" t="s">
        <v>63</v>
      </c>
      <c r="N607" s="73" t="s">
        <v>47</v>
      </c>
      <c r="O607" s="76">
        <f>'[2]LUONG T7'!L70</f>
        <v>0</v>
      </c>
      <c r="P607" s="77" t="s">
        <v>57</v>
      </c>
      <c r="Q607" s="306" t="s">
        <v>64</v>
      </c>
      <c r="R607" s="306"/>
      <c r="S607" s="306"/>
      <c r="T607" s="73" t="s">
        <v>47</v>
      </c>
      <c r="U607" s="307">
        <f>$F$8/$L$1*O607</f>
        <v>0</v>
      </c>
      <c r="V607" s="307"/>
      <c r="W607" s="81" t="s">
        <v>53</v>
      </c>
      <c r="X607" s="82"/>
    </row>
    <row r="608" spans="1:24" ht="18.75" customHeight="1">
      <c r="A608" s="75" t="s">
        <v>65</v>
      </c>
      <c r="B608" s="73" t="s">
        <v>47</v>
      </c>
      <c r="C608" s="76">
        <f>'[2]LUONG T7'!Q68</f>
        <v>0</v>
      </c>
      <c r="D608" s="77" t="s">
        <v>66</v>
      </c>
      <c r="E608" s="296" t="s">
        <v>67</v>
      </c>
      <c r="F608" s="296"/>
      <c r="G608" s="296"/>
      <c r="H608" s="73" t="s">
        <v>47</v>
      </c>
      <c r="I608" s="307">
        <f>'[2]LUONG T7'!Q69</f>
        <v>0</v>
      </c>
      <c r="J608" s="307"/>
      <c r="K608" s="81" t="s">
        <v>53</v>
      </c>
      <c r="L608" s="82">
        <f>F601*C608/L594/8*1.5</f>
        <v>0</v>
      </c>
      <c r="M608" s="75" t="s">
        <v>65</v>
      </c>
      <c r="N608" s="73" t="s">
        <v>47</v>
      </c>
      <c r="O608" s="76">
        <f>'[2]LUONG T7'!Q70</f>
        <v>0</v>
      </c>
      <c r="P608" s="77" t="s">
        <v>66</v>
      </c>
      <c r="Q608" s="296" t="s">
        <v>67</v>
      </c>
      <c r="R608" s="296"/>
      <c r="S608" s="296"/>
      <c r="T608" s="73" t="s">
        <v>47</v>
      </c>
      <c r="U608" s="307">
        <f>'[2]LUONG T7'!Q71</f>
        <v>0</v>
      </c>
      <c r="V608" s="307"/>
      <c r="W608" s="81" t="s">
        <v>53</v>
      </c>
      <c r="X608" s="82">
        <f>R601*O608/X594/8*1.5</f>
        <v>0</v>
      </c>
    </row>
    <row r="609" spans="1:24" ht="18.75" customHeight="1">
      <c r="A609" s="295" t="s">
        <v>68</v>
      </c>
      <c r="B609" s="296"/>
      <c r="C609" s="76"/>
      <c r="D609" s="77" t="s">
        <v>57</v>
      </c>
      <c r="E609" s="296" t="s">
        <v>69</v>
      </c>
      <c r="F609" s="296"/>
      <c r="G609" s="296"/>
      <c r="H609" s="83" t="s">
        <v>47</v>
      </c>
      <c r="I609" s="307"/>
      <c r="J609" s="307"/>
      <c r="K609" s="81" t="s">
        <v>53</v>
      </c>
      <c r="L609" s="82"/>
      <c r="M609" s="295" t="s">
        <v>68</v>
      </c>
      <c r="N609" s="296"/>
      <c r="O609" s="76"/>
      <c r="P609" s="77" t="s">
        <v>57</v>
      </c>
      <c r="Q609" s="296" t="s">
        <v>69</v>
      </c>
      <c r="R609" s="296"/>
      <c r="S609" s="296"/>
      <c r="T609" s="83" t="s">
        <v>47</v>
      </c>
      <c r="U609" s="307"/>
      <c r="V609" s="307"/>
      <c r="W609" s="81" t="s">
        <v>53</v>
      </c>
      <c r="X609" s="82"/>
    </row>
    <row r="610" spans="1:24" ht="18.75" customHeight="1">
      <c r="A610" s="75" t="s">
        <v>70</v>
      </c>
      <c r="B610" s="73" t="s">
        <v>47</v>
      </c>
      <c r="C610" s="76"/>
      <c r="D610" s="77" t="s">
        <v>57</v>
      </c>
      <c r="E610" s="296" t="s">
        <v>71</v>
      </c>
      <c r="F610" s="296"/>
      <c r="G610" s="296"/>
      <c r="H610" s="73" t="s">
        <v>47</v>
      </c>
      <c r="I610" s="307"/>
      <c r="J610" s="307"/>
      <c r="K610" s="81" t="s">
        <v>53</v>
      </c>
      <c r="L610" s="82"/>
      <c r="M610" s="75" t="s">
        <v>70</v>
      </c>
      <c r="N610" s="73" t="s">
        <v>47</v>
      </c>
      <c r="O610" s="76"/>
      <c r="P610" s="77" t="s">
        <v>57</v>
      </c>
      <c r="Q610" s="296" t="s">
        <v>71</v>
      </c>
      <c r="R610" s="296"/>
      <c r="S610" s="296"/>
      <c r="T610" s="73" t="s">
        <v>47</v>
      </c>
      <c r="U610" s="307"/>
      <c r="V610" s="307"/>
      <c r="W610" s="81" t="s">
        <v>53</v>
      </c>
      <c r="X610" s="82"/>
    </row>
    <row r="611" spans="1:24" ht="18.75" customHeight="1">
      <c r="A611" s="84" t="s">
        <v>72</v>
      </c>
      <c r="B611" s="73"/>
      <c r="C611" s="76">
        <f>'[2]LUONG T7'!M68</f>
        <v>0</v>
      </c>
      <c r="D611" s="77" t="s">
        <v>66</v>
      </c>
      <c r="E611" s="296" t="s">
        <v>73</v>
      </c>
      <c r="F611" s="296"/>
      <c r="G611" s="296"/>
      <c r="H611" s="73" t="s">
        <v>47</v>
      </c>
      <c r="I611" s="307">
        <f>$F$8*C611/8/$L$1</f>
        <v>0</v>
      </c>
      <c r="J611" s="307"/>
      <c r="K611" s="81" t="s">
        <v>53</v>
      </c>
      <c r="L611" s="82"/>
      <c r="M611" s="84" t="s">
        <v>72</v>
      </c>
      <c r="N611" s="73"/>
      <c r="O611" s="76">
        <f>'[2]LUONG T7'!M70</f>
        <v>0</v>
      </c>
      <c r="P611" s="77" t="s">
        <v>66</v>
      </c>
      <c r="Q611" s="296" t="s">
        <v>73</v>
      </c>
      <c r="R611" s="296"/>
      <c r="S611" s="296"/>
      <c r="T611" s="73" t="s">
        <v>47</v>
      </c>
      <c r="U611" s="307">
        <f>$F$8*O611/8/$L$1</f>
        <v>0</v>
      </c>
      <c r="V611" s="307"/>
      <c r="W611" s="81" t="s">
        <v>53</v>
      </c>
      <c r="X611" s="82"/>
    </row>
    <row r="612" spans="1:24" ht="18.75" customHeight="1">
      <c r="A612" s="75" t="s">
        <v>74</v>
      </c>
      <c r="B612" s="73" t="s">
        <v>47</v>
      </c>
      <c r="C612" s="76"/>
      <c r="D612" s="77" t="s">
        <v>66</v>
      </c>
      <c r="E612" s="296" t="s">
        <v>98</v>
      </c>
      <c r="F612" s="296"/>
      <c r="G612" s="296"/>
      <c r="H612" s="73" t="s">
        <v>47</v>
      </c>
      <c r="I612" s="309"/>
      <c r="J612" s="309"/>
      <c r="K612" s="81" t="s">
        <v>53</v>
      </c>
      <c r="L612" s="82"/>
      <c r="M612" s="75" t="s">
        <v>74</v>
      </c>
      <c r="N612" s="73" t="s">
        <v>47</v>
      </c>
      <c r="O612" s="76"/>
      <c r="P612" s="77" t="s">
        <v>66</v>
      </c>
      <c r="Q612" s="296" t="s">
        <v>98</v>
      </c>
      <c r="R612" s="296"/>
      <c r="S612" s="296"/>
      <c r="T612" s="73" t="s">
        <v>47</v>
      </c>
      <c r="U612" s="309"/>
      <c r="V612" s="309"/>
      <c r="W612" s="81" t="s">
        <v>53</v>
      </c>
      <c r="X612" s="82"/>
    </row>
    <row r="613" spans="1:24" ht="18.75" customHeight="1">
      <c r="A613" s="75" t="s">
        <v>76</v>
      </c>
      <c r="B613" s="73" t="s">
        <v>47</v>
      </c>
      <c r="C613" s="76"/>
      <c r="D613" s="77" t="s">
        <v>77</v>
      </c>
      <c r="E613" s="85" t="s">
        <v>78</v>
      </c>
      <c r="F613" s="85"/>
      <c r="G613" s="85"/>
      <c r="H613" s="73" t="s">
        <v>47</v>
      </c>
      <c r="I613" s="307"/>
      <c r="J613" s="307"/>
      <c r="K613" s="81" t="s">
        <v>53</v>
      </c>
      <c r="L613" s="82">
        <f>+IF(L604-I604&lt;0,0,L604-I604)+IF(L608-I608&lt;0,0,L608-I608)</f>
        <v>0</v>
      </c>
      <c r="M613" s="75" t="s">
        <v>76</v>
      </c>
      <c r="N613" s="73" t="s">
        <v>47</v>
      </c>
      <c r="O613" s="76"/>
      <c r="P613" s="77" t="s">
        <v>77</v>
      </c>
      <c r="Q613" s="85" t="s">
        <v>78</v>
      </c>
      <c r="R613" s="85"/>
      <c r="S613" s="85"/>
      <c r="T613" s="73" t="s">
        <v>47</v>
      </c>
      <c r="U613" s="307"/>
      <c r="V613" s="307"/>
      <c r="W613" s="81" t="s">
        <v>53</v>
      </c>
      <c r="X613" s="82">
        <f>+IF(X604-U604&lt;0,0,X604-U604)+IF(X608-U608&lt;0,0,X608-U608)</f>
        <v>0</v>
      </c>
    </row>
    <row r="614" spans="1:24" ht="18.75" customHeight="1">
      <c r="A614" s="86" t="s">
        <v>122</v>
      </c>
      <c r="B614" s="87"/>
      <c r="C614" s="76"/>
      <c r="D614" s="77" t="s">
        <v>57</v>
      </c>
      <c r="E614" s="296" t="s">
        <v>123</v>
      </c>
      <c r="F614" s="296"/>
      <c r="G614" s="296"/>
      <c r="H614" s="73" t="s">
        <v>47</v>
      </c>
      <c r="I614" s="307"/>
      <c r="J614" s="307"/>
      <c r="K614" s="81" t="s">
        <v>53</v>
      </c>
      <c r="L614" s="82"/>
      <c r="M614" s="86" t="s">
        <v>122</v>
      </c>
      <c r="N614" s="87"/>
      <c r="O614" s="76"/>
      <c r="P614" s="77" t="s">
        <v>57</v>
      </c>
      <c r="Q614" s="296" t="s">
        <v>123</v>
      </c>
      <c r="R614" s="296"/>
      <c r="S614" s="296"/>
      <c r="T614" s="73" t="s">
        <v>47</v>
      </c>
      <c r="U614" s="307"/>
      <c r="V614" s="307"/>
      <c r="W614" s="81" t="s">
        <v>53</v>
      </c>
      <c r="X614" s="82"/>
    </row>
    <row r="615" spans="1:24" ht="18.75" customHeight="1">
      <c r="A615" s="314" t="s">
        <v>81</v>
      </c>
      <c r="B615" s="308"/>
      <c r="C615" s="76"/>
      <c r="D615" s="77"/>
      <c r="E615" s="78"/>
      <c r="F615" s="78"/>
      <c r="G615" s="78"/>
      <c r="H615" s="73" t="s">
        <v>47</v>
      </c>
      <c r="I615" s="307">
        <f>'[2]LUONG T7'!P69</f>
        <v>0</v>
      </c>
      <c r="J615" s="307"/>
      <c r="K615" s="81" t="s">
        <v>53</v>
      </c>
      <c r="L615" s="82"/>
      <c r="M615" s="314" t="s">
        <v>81</v>
      </c>
      <c r="N615" s="308"/>
      <c r="O615" s="76"/>
      <c r="P615" s="77"/>
      <c r="Q615" s="78"/>
      <c r="R615" s="78"/>
      <c r="S615" s="78"/>
      <c r="T615" s="73" t="s">
        <v>47</v>
      </c>
      <c r="U615" s="307">
        <f>'[2]LUONG T7'!P71</f>
        <v>0</v>
      </c>
      <c r="V615" s="307"/>
      <c r="W615" s="81" t="s">
        <v>53</v>
      </c>
      <c r="X615" s="82"/>
    </row>
    <row r="616" spans="1:24" ht="18.75" customHeight="1">
      <c r="A616" s="75" t="s">
        <v>82</v>
      </c>
      <c r="B616" s="73" t="s">
        <v>47</v>
      </c>
      <c r="C616" s="76"/>
      <c r="D616" s="77"/>
      <c r="E616" s="78" t="s">
        <v>83</v>
      </c>
      <c r="F616" s="78"/>
      <c r="G616" s="78"/>
      <c r="H616" s="73" t="s">
        <v>47</v>
      </c>
      <c r="I616" s="307">
        <f>L613</f>
        <v>0</v>
      </c>
      <c r="J616" s="307"/>
      <c r="K616" s="81" t="s">
        <v>53</v>
      </c>
      <c r="L616" s="82"/>
      <c r="M616" s="75" t="s">
        <v>82</v>
      </c>
      <c r="N616" s="73" t="s">
        <v>47</v>
      </c>
      <c r="O616" s="76"/>
      <c r="P616" s="77"/>
      <c r="Q616" s="78" t="s">
        <v>83</v>
      </c>
      <c r="R616" s="78"/>
      <c r="S616" s="78"/>
      <c r="T616" s="73" t="s">
        <v>47</v>
      </c>
      <c r="U616" s="307">
        <f>X613</f>
        <v>0</v>
      </c>
      <c r="V616" s="307"/>
      <c r="W616" s="81" t="s">
        <v>53</v>
      </c>
      <c r="X616" s="82"/>
    </row>
    <row r="617" spans="1:24" ht="18.75" customHeight="1">
      <c r="A617" s="311" t="s">
        <v>84</v>
      </c>
      <c r="B617" s="312"/>
      <c r="C617" s="312"/>
      <c r="D617" s="312"/>
      <c r="E617" s="312"/>
      <c r="F617" s="312"/>
      <c r="G617" s="73" t="s">
        <v>47</v>
      </c>
      <c r="H617" s="313">
        <f>I604+I605+I606+I607+I608+I611+I615+I616</f>
        <v>0</v>
      </c>
      <c r="I617" s="313"/>
      <c r="J617" s="313"/>
      <c r="K617" s="81" t="s">
        <v>53</v>
      </c>
      <c r="M617" s="311" t="s">
        <v>84</v>
      </c>
      <c r="N617" s="312"/>
      <c r="O617" s="312"/>
      <c r="P617" s="312"/>
      <c r="Q617" s="312"/>
      <c r="R617" s="312"/>
      <c r="S617" s="73" t="s">
        <v>47</v>
      </c>
      <c r="T617" s="313">
        <f>U604+U605+U606+U607+U608+U611+U615+U616</f>
        <v>0</v>
      </c>
      <c r="U617" s="313"/>
      <c r="V617" s="313"/>
      <c r="W617" s="81" t="s">
        <v>53</v>
      </c>
    </row>
    <row r="618" spans="1:24" ht="18.75" customHeight="1">
      <c r="A618" s="88"/>
      <c r="B618" s="89"/>
      <c r="C618" s="89"/>
      <c r="D618" s="89"/>
      <c r="E618" s="89"/>
      <c r="F618" s="89"/>
      <c r="G618" s="89"/>
      <c r="H618" s="89"/>
      <c r="I618" s="89"/>
      <c r="J618" s="89"/>
      <c r="K618" s="90"/>
      <c r="M618" s="88"/>
      <c r="N618" s="89"/>
      <c r="O618" s="89"/>
      <c r="P618" s="89"/>
      <c r="Q618" s="89"/>
      <c r="R618" s="89"/>
      <c r="S618" s="89"/>
      <c r="T618" s="89"/>
      <c r="U618" s="89"/>
      <c r="V618" s="89"/>
      <c r="W618" s="90"/>
    </row>
    <row r="619" spans="1:24" ht="18.75" customHeight="1">
      <c r="A619" s="321" t="s">
        <v>85</v>
      </c>
      <c r="B619" s="322"/>
      <c r="C619" s="322"/>
      <c r="D619" s="322"/>
      <c r="E619" s="322"/>
      <c r="F619" s="322"/>
      <c r="G619" s="73"/>
      <c r="H619" s="73"/>
      <c r="I619" s="73"/>
      <c r="J619" s="73"/>
      <c r="K619" s="81"/>
      <c r="M619" s="321" t="s">
        <v>85</v>
      </c>
      <c r="N619" s="322"/>
      <c r="O619" s="322"/>
      <c r="P619" s="322"/>
      <c r="Q619" s="322"/>
      <c r="R619" s="322"/>
      <c r="S619" s="73"/>
      <c r="T619" s="73"/>
      <c r="U619" s="73"/>
      <c r="V619" s="73"/>
      <c r="W619" s="81"/>
    </row>
    <row r="620" spans="1:24" ht="18.75" customHeight="1">
      <c r="A620" s="315" t="s">
        <v>86</v>
      </c>
      <c r="B620" s="316"/>
      <c r="C620" s="316"/>
      <c r="D620" s="316"/>
      <c r="E620" s="316"/>
      <c r="F620" s="316"/>
      <c r="G620" s="73" t="s">
        <v>47</v>
      </c>
      <c r="H620" s="323">
        <f>IF(($L$1-(C604+C605+C606+C607))&gt;12,0,F601*8%)</f>
        <v>0</v>
      </c>
      <c r="I620" s="323"/>
      <c r="J620" s="323"/>
      <c r="K620" s="81" t="s">
        <v>53</v>
      </c>
      <c r="M620" s="315" t="s">
        <v>86</v>
      </c>
      <c r="N620" s="316"/>
      <c r="O620" s="316"/>
      <c r="P620" s="316"/>
      <c r="Q620" s="316"/>
      <c r="R620" s="316"/>
      <c r="S620" s="73" t="s">
        <v>47</v>
      </c>
      <c r="T620" s="323">
        <f>IF(($L$1-(O604+O605+O606+O607))&gt;12,0,R601*8%)</f>
        <v>0</v>
      </c>
      <c r="U620" s="323"/>
      <c r="V620" s="323"/>
      <c r="W620" s="81" t="s">
        <v>53</v>
      </c>
    </row>
    <row r="621" spans="1:24" ht="18.75" customHeight="1">
      <c r="A621" s="315" t="s">
        <v>87</v>
      </c>
      <c r="B621" s="316"/>
      <c r="C621" s="316"/>
      <c r="D621" s="316"/>
      <c r="E621" s="316"/>
      <c r="F621" s="316"/>
      <c r="G621" s="73" t="s">
        <v>47</v>
      </c>
      <c r="H621" s="317">
        <f>IF(($L$1-(C604+C605+C606+C607))&gt;12,0,F601*1.5%)</f>
        <v>0</v>
      </c>
      <c r="I621" s="317"/>
      <c r="J621" s="317"/>
      <c r="K621" s="81" t="s">
        <v>53</v>
      </c>
      <c r="M621" s="315" t="s">
        <v>87</v>
      </c>
      <c r="N621" s="316"/>
      <c r="O621" s="316"/>
      <c r="P621" s="316"/>
      <c r="Q621" s="316"/>
      <c r="R621" s="316"/>
      <c r="S621" s="73" t="s">
        <v>47</v>
      </c>
      <c r="T621" s="317">
        <f>IF(($L$1-(O604+O605+O606+O607))&gt;12,0,R601*1.5%)</f>
        <v>0</v>
      </c>
      <c r="U621" s="317"/>
      <c r="V621" s="317"/>
      <c r="W621" s="81" t="s">
        <v>53</v>
      </c>
    </row>
    <row r="622" spans="1:24" ht="18.75" customHeight="1">
      <c r="A622" s="315" t="s">
        <v>88</v>
      </c>
      <c r="B622" s="316"/>
      <c r="C622" s="316"/>
      <c r="D622" s="316"/>
      <c r="E622" s="316"/>
      <c r="F622" s="316"/>
      <c r="G622" s="73" t="s">
        <v>47</v>
      </c>
      <c r="H622" s="317">
        <f>IF(($L$1-(C604+C605+C606+C607))&gt;12,0,F601*1%)</f>
        <v>0</v>
      </c>
      <c r="I622" s="317"/>
      <c r="J622" s="317"/>
      <c r="K622" s="81" t="s">
        <v>53</v>
      </c>
      <c r="M622" s="315" t="s">
        <v>88</v>
      </c>
      <c r="N622" s="316"/>
      <c r="O622" s="316"/>
      <c r="P622" s="316"/>
      <c r="Q622" s="316"/>
      <c r="R622" s="316"/>
      <c r="S622" s="73" t="s">
        <v>47</v>
      </c>
      <c r="T622" s="317">
        <f>IF(($L$1-(O604+O605+O606+O607))&gt;12,0,R601*1%)</f>
        <v>0</v>
      </c>
      <c r="U622" s="317"/>
      <c r="V622" s="317"/>
      <c r="W622" s="81" t="s">
        <v>53</v>
      </c>
    </row>
    <row r="623" spans="1:24" ht="18.75" customHeight="1">
      <c r="A623" s="315" t="s">
        <v>89</v>
      </c>
      <c r="B623" s="316"/>
      <c r="C623" s="316"/>
      <c r="D623" s="316"/>
      <c r="E623" s="316"/>
      <c r="F623" s="316"/>
      <c r="G623" s="73" t="s">
        <v>47</v>
      </c>
      <c r="H623" s="317">
        <v>0</v>
      </c>
      <c r="I623" s="317"/>
      <c r="J623" s="317"/>
      <c r="K623" s="81" t="s">
        <v>53</v>
      </c>
      <c r="M623" s="315" t="s">
        <v>89</v>
      </c>
      <c r="N623" s="316"/>
      <c r="O623" s="316"/>
      <c r="P623" s="316"/>
      <c r="Q623" s="316"/>
      <c r="R623" s="316"/>
      <c r="S623" s="73" t="s">
        <v>47</v>
      </c>
      <c r="T623" s="317">
        <v>0</v>
      </c>
      <c r="U623" s="317"/>
      <c r="V623" s="317"/>
      <c r="W623" s="81" t="s">
        <v>53</v>
      </c>
    </row>
    <row r="624" spans="1:24" ht="18.75" customHeight="1">
      <c r="A624" s="318" t="s">
        <v>90</v>
      </c>
      <c r="B624" s="319"/>
      <c r="C624" s="319"/>
      <c r="D624" s="319"/>
      <c r="E624" s="319"/>
      <c r="F624" s="319"/>
      <c r="G624" s="73" t="s">
        <v>47</v>
      </c>
      <c r="H624" s="320">
        <f>SUM(H620:J623)</f>
        <v>0</v>
      </c>
      <c r="I624" s="320"/>
      <c r="J624" s="320"/>
      <c r="K624" s="81" t="s">
        <v>53</v>
      </c>
      <c r="M624" s="318" t="s">
        <v>90</v>
      </c>
      <c r="N624" s="319"/>
      <c r="O624" s="319"/>
      <c r="P624" s="319"/>
      <c r="Q624" s="319"/>
      <c r="R624" s="319"/>
      <c r="S624" s="73" t="s">
        <v>47</v>
      </c>
      <c r="T624" s="320">
        <f>SUM(T620:V623)</f>
        <v>0</v>
      </c>
      <c r="U624" s="320"/>
      <c r="V624" s="320"/>
      <c r="W624" s="81" t="s">
        <v>53</v>
      </c>
    </row>
    <row r="625" spans="1:24" ht="18.75" customHeight="1">
      <c r="A625" s="315" t="s">
        <v>91</v>
      </c>
      <c r="B625" s="316"/>
      <c r="C625" s="316"/>
      <c r="D625" s="316"/>
      <c r="E625" s="316"/>
      <c r="F625" s="316"/>
      <c r="G625" s="73" t="s">
        <v>47</v>
      </c>
      <c r="H625" s="327">
        <f>ROUND(H617-H624,-2)</f>
        <v>0</v>
      </c>
      <c r="I625" s="327"/>
      <c r="J625" s="327"/>
      <c r="K625" s="81" t="s">
        <v>53</v>
      </c>
      <c r="M625" s="315" t="s">
        <v>91</v>
      </c>
      <c r="N625" s="316"/>
      <c r="O625" s="316"/>
      <c r="P625" s="316"/>
      <c r="Q625" s="316"/>
      <c r="R625" s="316"/>
      <c r="S625" s="73" t="s">
        <v>47</v>
      </c>
      <c r="T625" s="327">
        <f>ROUND(T617-T624,-2)</f>
        <v>0</v>
      </c>
      <c r="U625" s="327"/>
      <c r="V625" s="327"/>
      <c r="W625" s="81" t="s">
        <v>53</v>
      </c>
    </row>
    <row r="626" spans="1:24" ht="18.75" customHeight="1">
      <c r="A626" s="91"/>
      <c r="B626" s="92"/>
      <c r="C626" s="92"/>
      <c r="D626" s="92"/>
      <c r="E626" s="92"/>
      <c r="F626" s="92"/>
      <c r="G626" s="92"/>
      <c r="H626" s="92"/>
      <c r="I626" s="92"/>
      <c r="J626" s="92"/>
      <c r="K626" s="93"/>
      <c r="M626" s="91"/>
      <c r="N626" s="92"/>
      <c r="O626" s="92"/>
      <c r="P626" s="92"/>
      <c r="Q626" s="92"/>
      <c r="R626" s="92"/>
      <c r="S626" s="92"/>
      <c r="T626" s="92"/>
      <c r="U626" s="92"/>
      <c r="V626" s="92"/>
      <c r="W626" s="93"/>
    </row>
    <row r="627" spans="1:24" ht="18.75" customHeight="1">
      <c r="A627" s="94"/>
      <c r="B627" s="73"/>
      <c r="C627" s="73"/>
      <c r="D627" s="73"/>
      <c r="E627" s="73"/>
      <c r="F627" s="73"/>
      <c r="G627" s="73"/>
      <c r="H627" s="73"/>
      <c r="I627" s="324" t="s">
        <v>92</v>
      </c>
      <c r="J627" s="324"/>
      <c r="K627" s="328"/>
      <c r="M627" s="94"/>
      <c r="N627" s="73"/>
      <c r="O627" s="73"/>
      <c r="P627" s="73"/>
      <c r="Q627" s="73"/>
      <c r="R627" s="73"/>
      <c r="S627" s="73"/>
      <c r="T627" s="73"/>
      <c r="U627" s="324" t="s">
        <v>92</v>
      </c>
      <c r="V627" s="324"/>
      <c r="W627" s="328"/>
    </row>
    <row r="628" spans="1:24" ht="18.75" customHeight="1">
      <c r="A628" s="94"/>
      <c r="B628" s="324"/>
      <c r="C628" s="324"/>
      <c r="D628" s="324"/>
      <c r="E628" s="324"/>
      <c r="F628" s="73"/>
      <c r="G628" s="73"/>
      <c r="H628" s="73"/>
      <c r="I628" s="73"/>
      <c r="J628" s="73"/>
      <c r="K628" s="74"/>
      <c r="M628" s="94"/>
      <c r="N628" s="324"/>
      <c r="O628" s="324"/>
      <c r="P628" s="324"/>
      <c r="Q628" s="324"/>
      <c r="R628" s="73"/>
      <c r="S628" s="73"/>
      <c r="T628" s="73"/>
      <c r="U628" s="73"/>
      <c r="V628" s="73"/>
      <c r="W628" s="74"/>
    </row>
    <row r="629" spans="1:24" ht="18.75" customHeight="1" thickBot="1">
      <c r="A629" s="95"/>
      <c r="B629" s="96"/>
      <c r="C629" s="96"/>
      <c r="D629" s="96"/>
      <c r="E629" s="96"/>
      <c r="F629" s="96"/>
      <c r="G629" s="96"/>
      <c r="H629" s="96"/>
      <c r="I629" s="325" t="s">
        <v>93</v>
      </c>
      <c r="J629" s="325"/>
      <c r="K629" s="326"/>
      <c r="M629" s="95"/>
      <c r="N629" s="96"/>
      <c r="O629" s="96"/>
      <c r="P629" s="96"/>
      <c r="Q629" s="96"/>
      <c r="R629" s="96"/>
      <c r="S629" s="96"/>
      <c r="T629" s="96"/>
      <c r="U629" s="325" t="s">
        <v>93</v>
      </c>
      <c r="V629" s="325"/>
      <c r="W629" s="326"/>
    </row>
    <row r="631" spans="1:24" ht="18.75" customHeight="1" thickTop="1">
      <c r="A631" s="300" t="s">
        <v>41</v>
      </c>
      <c r="B631" s="301"/>
      <c r="C631" s="301"/>
      <c r="D631" s="301"/>
      <c r="E631" s="301"/>
      <c r="F631" s="301"/>
      <c r="G631" s="301"/>
      <c r="H631" s="301"/>
      <c r="I631" s="301"/>
      <c r="J631" s="301"/>
      <c r="K631" s="302"/>
      <c r="L631" s="69">
        <v>25</v>
      </c>
      <c r="M631" s="300" t="s">
        <v>41</v>
      </c>
      <c r="N631" s="301"/>
      <c r="O631" s="301"/>
      <c r="P631" s="301"/>
      <c r="Q631" s="301"/>
      <c r="R631" s="301"/>
      <c r="S631" s="301"/>
      <c r="T631" s="301"/>
      <c r="U631" s="301"/>
      <c r="V631" s="301"/>
      <c r="W631" s="302"/>
      <c r="X631" s="69">
        <v>25</v>
      </c>
    </row>
    <row r="632" spans="1:24" ht="18.75" customHeight="1">
      <c r="A632" s="70" t="s">
        <v>142</v>
      </c>
      <c r="B632" s="71"/>
      <c r="C632" s="71"/>
      <c r="D632" s="71"/>
      <c r="E632" s="71"/>
      <c r="F632" s="71"/>
      <c r="G632" s="71"/>
      <c r="H632" s="71"/>
      <c r="I632" s="71"/>
      <c r="J632" s="71"/>
      <c r="K632" s="72"/>
      <c r="M632" s="70" t="s">
        <v>143</v>
      </c>
      <c r="N632" s="71"/>
      <c r="O632" s="71"/>
      <c r="P632" s="71"/>
      <c r="Q632" s="71"/>
      <c r="R632" s="71"/>
      <c r="S632" s="71"/>
      <c r="T632" s="71"/>
      <c r="U632" s="71"/>
      <c r="V632" s="71"/>
      <c r="W632" s="72"/>
    </row>
    <row r="633" spans="1:24" ht="18.75" customHeight="1">
      <c r="A633" s="303" t="s">
        <v>45</v>
      </c>
      <c r="B633" s="304"/>
      <c r="C633" s="304"/>
      <c r="D633" s="304"/>
      <c r="E633" s="304"/>
      <c r="F633" s="304"/>
      <c r="G633" s="304"/>
      <c r="H633" s="304"/>
      <c r="I633" s="304"/>
      <c r="J633" s="304"/>
      <c r="K633" s="305"/>
      <c r="M633" s="303" t="s">
        <v>45</v>
      </c>
      <c r="N633" s="304"/>
      <c r="O633" s="304"/>
      <c r="P633" s="304"/>
      <c r="Q633" s="304"/>
      <c r="R633" s="304"/>
      <c r="S633" s="304"/>
      <c r="T633" s="304"/>
      <c r="U633" s="304"/>
      <c r="V633" s="304"/>
      <c r="W633" s="305"/>
    </row>
    <row r="634" spans="1:24" ht="18.75" customHeight="1">
      <c r="A634" s="295" t="s">
        <v>46</v>
      </c>
      <c r="B634" s="296"/>
      <c r="C634" s="296"/>
      <c r="D634" s="296"/>
      <c r="E634" s="73" t="s">
        <v>47</v>
      </c>
      <c r="F634" s="297">
        <f>'[2]Bang TH nop'!B69</f>
        <v>0</v>
      </c>
      <c r="G634" s="296"/>
      <c r="H634" s="296"/>
      <c r="I634" s="296"/>
      <c r="J634" s="296"/>
      <c r="K634" s="299"/>
      <c r="M634" s="295" t="s">
        <v>46</v>
      </c>
      <c r="N634" s="296"/>
      <c r="O634" s="296"/>
      <c r="P634" s="296"/>
      <c r="Q634" s="73" t="s">
        <v>47</v>
      </c>
      <c r="R634" s="297">
        <f>'[2]Bang TH nop'!B71</f>
        <v>0</v>
      </c>
      <c r="S634" s="296"/>
      <c r="T634" s="296"/>
      <c r="U634" s="296"/>
      <c r="V634" s="296"/>
      <c r="W634" s="299"/>
    </row>
    <row r="635" spans="1:24" ht="18.75" customHeight="1">
      <c r="A635" s="295" t="s">
        <v>49</v>
      </c>
      <c r="B635" s="296"/>
      <c r="C635" s="296"/>
      <c r="D635" s="296"/>
      <c r="E635" s="73" t="s">
        <v>47</v>
      </c>
      <c r="F635" s="297">
        <f>'[2]Bang TH nop'!C69</f>
        <v>0</v>
      </c>
      <c r="G635" s="297"/>
      <c r="H635" s="297"/>
      <c r="I635" s="297"/>
      <c r="J635" s="297"/>
      <c r="K635" s="298"/>
      <c r="M635" s="295" t="s">
        <v>49</v>
      </c>
      <c r="N635" s="296"/>
      <c r="O635" s="296"/>
      <c r="P635" s="296"/>
      <c r="Q635" s="73" t="s">
        <v>47</v>
      </c>
      <c r="R635" s="297">
        <f>'[2]Bang TH nop'!C71</f>
        <v>0</v>
      </c>
      <c r="S635" s="297"/>
      <c r="T635" s="297"/>
      <c r="U635" s="297"/>
      <c r="V635" s="297"/>
      <c r="W635" s="298"/>
    </row>
    <row r="636" spans="1:24" ht="18.75" customHeight="1">
      <c r="A636" s="295" t="s">
        <v>50</v>
      </c>
      <c r="B636" s="296"/>
      <c r="C636" s="296"/>
      <c r="D636" s="296"/>
      <c r="E636" s="73" t="s">
        <v>47</v>
      </c>
      <c r="F636" s="296" t="s">
        <v>121</v>
      </c>
      <c r="G636" s="296"/>
      <c r="H636" s="296"/>
      <c r="I636" s="296"/>
      <c r="J636" s="296"/>
      <c r="K636" s="299"/>
      <c r="M636" s="295" t="s">
        <v>50</v>
      </c>
      <c r="N636" s="296"/>
      <c r="O636" s="296"/>
      <c r="P636" s="296"/>
      <c r="Q636" s="73" t="s">
        <v>47</v>
      </c>
      <c r="R636" s="296" t="s">
        <v>121</v>
      </c>
      <c r="S636" s="296"/>
      <c r="T636" s="296"/>
      <c r="U636" s="296"/>
      <c r="V636" s="296"/>
      <c r="W636" s="299"/>
    </row>
    <row r="637" spans="1:24" ht="18.75" customHeight="1">
      <c r="A637" s="303" t="s">
        <v>51</v>
      </c>
      <c r="B637" s="304"/>
      <c r="C637" s="304"/>
      <c r="D637" s="304"/>
      <c r="E637" s="304"/>
      <c r="F637" s="304"/>
      <c r="G637" s="304"/>
      <c r="H637" s="304"/>
      <c r="I637" s="304"/>
      <c r="J637" s="304"/>
      <c r="K637" s="305"/>
      <c r="M637" s="303" t="s">
        <v>51</v>
      </c>
      <c r="N637" s="304"/>
      <c r="O637" s="304"/>
      <c r="P637" s="304"/>
      <c r="Q637" s="304"/>
      <c r="R637" s="304"/>
      <c r="S637" s="304"/>
      <c r="T637" s="304"/>
      <c r="U637" s="304"/>
      <c r="V637" s="304"/>
      <c r="W637" s="305"/>
    </row>
    <row r="638" spans="1:24" ht="18.75" customHeight="1">
      <c r="A638" s="295" t="s">
        <v>52</v>
      </c>
      <c r="B638" s="296"/>
      <c r="C638" s="296"/>
      <c r="D638" s="296"/>
      <c r="E638" s="73" t="s">
        <v>47</v>
      </c>
      <c r="F638" s="310">
        <v>2915400</v>
      </c>
      <c r="G638" s="310"/>
      <c r="H638" s="310"/>
      <c r="I638" s="310"/>
      <c r="J638" s="73" t="s">
        <v>53</v>
      </c>
      <c r="K638" s="74"/>
      <c r="M638" s="295" t="s">
        <v>52</v>
      </c>
      <c r="N638" s="296"/>
      <c r="O638" s="296"/>
      <c r="P638" s="296"/>
      <c r="Q638" s="73" t="s">
        <v>47</v>
      </c>
      <c r="R638" s="310">
        <v>2915400</v>
      </c>
      <c r="S638" s="310"/>
      <c r="T638" s="310"/>
      <c r="U638" s="310"/>
      <c r="V638" s="73" t="s">
        <v>53</v>
      </c>
      <c r="W638" s="74"/>
    </row>
    <row r="639" spans="1:24" ht="18.75" customHeight="1">
      <c r="A639" s="75" t="s">
        <v>54</v>
      </c>
      <c r="B639" s="73"/>
      <c r="C639" s="76"/>
      <c r="D639" s="77"/>
      <c r="E639" s="78"/>
      <c r="F639" s="78"/>
      <c r="G639" s="78"/>
      <c r="H639" s="73"/>
      <c r="I639" s="79">
        <f>'[2]LUONG T7'!F73</f>
        <v>0</v>
      </c>
      <c r="J639" s="80"/>
      <c r="K639" s="81"/>
      <c r="M639" s="75" t="s">
        <v>54</v>
      </c>
      <c r="N639" s="73"/>
      <c r="O639" s="76"/>
      <c r="P639" s="77"/>
      <c r="Q639" s="78"/>
      <c r="R639" s="78"/>
      <c r="S639" s="78"/>
      <c r="T639" s="73"/>
      <c r="U639" s="79">
        <f>'[2]LUONG T7'!F75</f>
        <v>0</v>
      </c>
      <c r="V639" s="80"/>
      <c r="W639" s="81"/>
    </row>
    <row r="640" spans="1:24" ht="18.75" customHeight="1">
      <c r="A640" s="75" t="s">
        <v>55</v>
      </c>
      <c r="B640" s="73"/>
      <c r="C640" s="76"/>
      <c r="D640" s="77"/>
      <c r="E640" s="78"/>
      <c r="F640" s="78"/>
      <c r="G640" s="78"/>
      <c r="H640" s="73"/>
      <c r="I640" s="79" t="e">
        <f>I641/C641/8</f>
        <v>#DIV/0!</v>
      </c>
      <c r="J640" s="80"/>
      <c r="K640" s="81"/>
      <c r="M640" s="75" t="s">
        <v>55</v>
      </c>
      <c r="N640" s="73"/>
      <c r="O640" s="76"/>
      <c r="P640" s="77"/>
      <c r="Q640" s="78"/>
      <c r="R640" s="78"/>
      <c r="S640" s="78"/>
      <c r="T640" s="73"/>
      <c r="U640" s="79" t="e">
        <f>U641/O641/8</f>
        <v>#DIV/0!</v>
      </c>
      <c r="V640" s="80"/>
      <c r="W640" s="81"/>
    </row>
    <row r="641" spans="1:24" ht="18.75" customHeight="1">
      <c r="A641" s="75" t="s">
        <v>56</v>
      </c>
      <c r="B641" s="73" t="s">
        <v>47</v>
      </c>
      <c r="C641" s="76">
        <f>'[2]LUONG T7'!I72</f>
        <v>0</v>
      </c>
      <c r="D641" s="77" t="s">
        <v>57</v>
      </c>
      <c r="E641" s="308" t="s">
        <v>58</v>
      </c>
      <c r="F641" s="308"/>
      <c r="G641" s="308"/>
      <c r="H641" s="73" t="s">
        <v>47</v>
      </c>
      <c r="I641" s="309">
        <f>'[2]LUONG T7'!I73</f>
        <v>0</v>
      </c>
      <c r="J641" s="309"/>
      <c r="K641" s="81" t="s">
        <v>53</v>
      </c>
      <c r="L641" s="82">
        <f>F638/L631*C641</f>
        <v>0</v>
      </c>
      <c r="M641" s="75" t="s">
        <v>56</v>
      </c>
      <c r="N641" s="73" t="s">
        <v>47</v>
      </c>
      <c r="O641" s="76">
        <f>'[2]LUONG T7'!I74</f>
        <v>0</v>
      </c>
      <c r="P641" s="77" t="s">
        <v>57</v>
      </c>
      <c r="Q641" s="308" t="s">
        <v>58</v>
      </c>
      <c r="R641" s="308"/>
      <c r="S641" s="308"/>
      <c r="T641" s="73" t="s">
        <v>47</v>
      </c>
      <c r="U641" s="309">
        <f>'[2]LUONG T7'!I75</f>
        <v>0</v>
      </c>
      <c r="V641" s="309"/>
      <c r="W641" s="81" t="s">
        <v>53</v>
      </c>
      <c r="X641" s="82">
        <f>R638/X631*O641</f>
        <v>0</v>
      </c>
    </row>
    <row r="642" spans="1:24" ht="18.75" customHeight="1">
      <c r="A642" s="75" t="s">
        <v>59</v>
      </c>
      <c r="B642" s="73" t="s">
        <v>47</v>
      </c>
      <c r="C642" s="76">
        <f>'[2]LUONG T7'!J72</f>
        <v>0</v>
      </c>
      <c r="D642" s="77" t="s">
        <v>57</v>
      </c>
      <c r="E642" s="296" t="s">
        <v>60</v>
      </c>
      <c r="F642" s="296"/>
      <c r="G642" s="296"/>
      <c r="H642" s="73" t="s">
        <v>47</v>
      </c>
      <c r="I642" s="307">
        <f>$F$8/$L$1*C642</f>
        <v>0</v>
      </c>
      <c r="J642" s="307"/>
      <c r="K642" s="81" t="s">
        <v>53</v>
      </c>
      <c r="L642" s="82"/>
      <c r="M642" s="75" t="s">
        <v>59</v>
      </c>
      <c r="N642" s="73" t="s">
        <v>47</v>
      </c>
      <c r="O642" s="76">
        <f>'[2]LUONG T7'!J74</f>
        <v>0</v>
      </c>
      <c r="P642" s="77" t="s">
        <v>57</v>
      </c>
      <c r="Q642" s="296" t="s">
        <v>60</v>
      </c>
      <c r="R642" s="296"/>
      <c r="S642" s="296"/>
      <c r="T642" s="73" t="s">
        <v>47</v>
      </c>
      <c r="U642" s="307">
        <f>$F$8/$L$1*O642</f>
        <v>0</v>
      </c>
      <c r="V642" s="307"/>
      <c r="W642" s="81" t="s">
        <v>53</v>
      </c>
      <c r="X642" s="82"/>
    </row>
    <row r="643" spans="1:24" ht="18.75" customHeight="1">
      <c r="A643" s="75" t="s">
        <v>61</v>
      </c>
      <c r="B643" s="73" t="s">
        <v>47</v>
      </c>
      <c r="C643" s="76">
        <f>'[2]LUONG T7'!K72</f>
        <v>0</v>
      </c>
      <c r="D643" s="77" t="s">
        <v>57</v>
      </c>
      <c r="E643" s="306" t="s">
        <v>62</v>
      </c>
      <c r="F643" s="306"/>
      <c r="G643" s="306"/>
      <c r="H643" s="73" t="s">
        <v>47</v>
      </c>
      <c r="I643" s="307">
        <f>$F$8/$L$1*C643</f>
        <v>0</v>
      </c>
      <c r="J643" s="307"/>
      <c r="K643" s="81" t="s">
        <v>53</v>
      </c>
      <c r="L643" s="82"/>
      <c r="M643" s="75" t="s">
        <v>61</v>
      </c>
      <c r="N643" s="73" t="s">
        <v>47</v>
      </c>
      <c r="O643" s="76">
        <f>'[2]LUONG T7'!K74</f>
        <v>0</v>
      </c>
      <c r="P643" s="77" t="s">
        <v>57</v>
      </c>
      <c r="Q643" s="306" t="s">
        <v>62</v>
      </c>
      <c r="R643" s="306"/>
      <c r="S643" s="306"/>
      <c r="T643" s="73" t="s">
        <v>47</v>
      </c>
      <c r="U643" s="307">
        <f>$F$8/$L$1*O643</f>
        <v>0</v>
      </c>
      <c r="V643" s="307"/>
      <c r="W643" s="81" t="s">
        <v>53</v>
      </c>
      <c r="X643" s="82"/>
    </row>
    <row r="644" spans="1:24" ht="18.75" customHeight="1">
      <c r="A644" s="75" t="s">
        <v>63</v>
      </c>
      <c r="B644" s="73" t="s">
        <v>47</v>
      </c>
      <c r="C644" s="76">
        <f>'[2]LUONG T7'!L72</f>
        <v>0</v>
      </c>
      <c r="D644" s="77" t="s">
        <v>57</v>
      </c>
      <c r="E644" s="306" t="s">
        <v>64</v>
      </c>
      <c r="F644" s="306"/>
      <c r="G644" s="306"/>
      <c r="H644" s="73" t="s">
        <v>47</v>
      </c>
      <c r="I644" s="307">
        <f>$F$8/$L$1*C644</f>
        <v>0</v>
      </c>
      <c r="J644" s="307"/>
      <c r="K644" s="81" t="s">
        <v>53</v>
      </c>
      <c r="L644" s="82"/>
      <c r="M644" s="75" t="s">
        <v>63</v>
      </c>
      <c r="N644" s="73" t="s">
        <v>47</v>
      </c>
      <c r="O644" s="76">
        <f>'[2]LUONG T7'!L74</f>
        <v>0</v>
      </c>
      <c r="P644" s="77" t="s">
        <v>57</v>
      </c>
      <c r="Q644" s="306" t="s">
        <v>64</v>
      </c>
      <c r="R644" s="306"/>
      <c r="S644" s="306"/>
      <c r="T644" s="73" t="s">
        <v>47</v>
      </c>
      <c r="U644" s="307">
        <f>$F$8/$L$1*O644</f>
        <v>0</v>
      </c>
      <c r="V644" s="307"/>
      <c r="W644" s="81" t="s">
        <v>53</v>
      </c>
      <c r="X644" s="82"/>
    </row>
    <row r="645" spans="1:24" ht="18.75" customHeight="1">
      <c r="A645" s="75" t="s">
        <v>65</v>
      </c>
      <c r="B645" s="73" t="s">
        <v>47</v>
      </c>
      <c r="C645" s="76">
        <f>'[2]LUONG T7'!Q72</f>
        <v>0</v>
      </c>
      <c r="D645" s="77" t="s">
        <v>66</v>
      </c>
      <c r="E645" s="296" t="s">
        <v>67</v>
      </c>
      <c r="F645" s="296"/>
      <c r="G645" s="296"/>
      <c r="H645" s="73" t="s">
        <v>47</v>
      </c>
      <c r="I645" s="307">
        <f>'[2]LUONG T7'!Q73</f>
        <v>0</v>
      </c>
      <c r="J645" s="307"/>
      <c r="K645" s="81" t="s">
        <v>53</v>
      </c>
      <c r="L645" s="82">
        <f>F638*C645/L631/8*1.5</f>
        <v>0</v>
      </c>
      <c r="M645" s="75" t="s">
        <v>65</v>
      </c>
      <c r="N645" s="73" t="s">
        <v>47</v>
      </c>
      <c r="O645" s="76">
        <f>'[2]LUONG T7'!Q74</f>
        <v>0</v>
      </c>
      <c r="P645" s="77" t="s">
        <v>66</v>
      </c>
      <c r="Q645" s="296" t="s">
        <v>67</v>
      </c>
      <c r="R645" s="296"/>
      <c r="S645" s="296"/>
      <c r="T645" s="73" t="s">
        <v>47</v>
      </c>
      <c r="U645" s="307">
        <f>'[2]LUONG T7'!Q75</f>
        <v>0</v>
      </c>
      <c r="V645" s="307"/>
      <c r="W645" s="81" t="s">
        <v>53</v>
      </c>
      <c r="X645" s="82">
        <f>R638*O645/X631/8*1.5</f>
        <v>0</v>
      </c>
    </row>
    <row r="646" spans="1:24" ht="18.75" customHeight="1">
      <c r="A646" s="295" t="s">
        <v>68</v>
      </c>
      <c r="B646" s="296"/>
      <c r="C646" s="76"/>
      <c r="D646" s="77" t="s">
        <v>57</v>
      </c>
      <c r="E646" s="296" t="s">
        <v>69</v>
      </c>
      <c r="F646" s="296"/>
      <c r="G646" s="296"/>
      <c r="H646" s="83" t="s">
        <v>47</v>
      </c>
      <c r="I646" s="307"/>
      <c r="J646" s="307"/>
      <c r="K646" s="81" t="s">
        <v>53</v>
      </c>
      <c r="L646" s="82"/>
      <c r="M646" s="295" t="s">
        <v>68</v>
      </c>
      <c r="N646" s="296"/>
      <c r="O646" s="76"/>
      <c r="P646" s="77" t="s">
        <v>57</v>
      </c>
      <c r="Q646" s="296" t="s">
        <v>69</v>
      </c>
      <c r="R646" s="296"/>
      <c r="S646" s="296"/>
      <c r="T646" s="83" t="s">
        <v>47</v>
      </c>
      <c r="U646" s="307"/>
      <c r="V646" s="307"/>
      <c r="W646" s="81" t="s">
        <v>53</v>
      </c>
      <c r="X646" s="82"/>
    </row>
    <row r="647" spans="1:24" ht="18.75" customHeight="1">
      <c r="A647" s="75" t="s">
        <v>70</v>
      </c>
      <c r="B647" s="73" t="s">
        <v>47</v>
      </c>
      <c r="C647" s="76"/>
      <c r="D647" s="77" t="s">
        <v>57</v>
      </c>
      <c r="E647" s="296" t="s">
        <v>71</v>
      </c>
      <c r="F647" s="296"/>
      <c r="G647" s="296"/>
      <c r="H647" s="73" t="s">
        <v>47</v>
      </c>
      <c r="I647" s="307"/>
      <c r="J647" s="307"/>
      <c r="K647" s="81" t="s">
        <v>53</v>
      </c>
      <c r="L647" s="82"/>
      <c r="M647" s="75" t="s">
        <v>70</v>
      </c>
      <c r="N647" s="73" t="s">
        <v>47</v>
      </c>
      <c r="O647" s="76"/>
      <c r="P647" s="77" t="s">
        <v>57</v>
      </c>
      <c r="Q647" s="296" t="s">
        <v>71</v>
      </c>
      <c r="R647" s="296"/>
      <c r="S647" s="296"/>
      <c r="T647" s="73" t="s">
        <v>47</v>
      </c>
      <c r="U647" s="307"/>
      <c r="V647" s="307"/>
      <c r="W647" s="81" t="s">
        <v>53</v>
      </c>
      <c r="X647" s="82"/>
    </row>
    <row r="648" spans="1:24" ht="18.75" customHeight="1">
      <c r="A648" s="84" t="s">
        <v>72</v>
      </c>
      <c r="B648" s="73"/>
      <c r="C648" s="76">
        <f>'[2]LUONG T7'!M72</f>
        <v>0</v>
      </c>
      <c r="D648" s="77" t="s">
        <v>66</v>
      </c>
      <c r="E648" s="296" t="s">
        <v>73</v>
      </c>
      <c r="F648" s="296"/>
      <c r="G648" s="296"/>
      <c r="H648" s="73" t="s">
        <v>47</v>
      </c>
      <c r="I648" s="307">
        <f>$F$8*C648/8/$L$1</f>
        <v>0</v>
      </c>
      <c r="J648" s="307"/>
      <c r="K648" s="81" t="s">
        <v>53</v>
      </c>
      <c r="L648" s="82"/>
      <c r="M648" s="84" t="s">
        <v>72</v>
      </c>
      <c r="N648" s="73"/>
      <c r="O648" s="76">
        <f>'[2]LUONG T7'!M74</f>
        <v>0</v>
      </c>
      <c r="P648" s="77" t="s">
        <v>66</v>
      </c>
      <c r="Q648" s="296" t="s">
        <v>73</v>
      </c>
      <c r="R648" s="296"/>
      <c r="S648" s="296"/>
      <c r="T648" s="73" t="s">
        <v>47</v>
      </c>
      <c r="U648" s="307">
        <f>$F$8*O648/8/$L$1</f>
        <v>0</v>
      </c>
      <c r="V648" s="307"/>
      <c r="W648" s="81" t="s">
        <v>53</v>
      </c>
      <c r="X648" s="82"/>
    </row>
    <row r="649" spans="1:24" ht="18.75" customHeight="1">
      <c r="A649" s="75" t="s">
        <v>74</v>
      </c>
      <c r="B649" s="73" t="s">
        <v>47</v>
      </c>
      <c r="C649" s="76"/>
      <c r="D649" s="77" t="s">
        <v>66</v>
      </c>
      <c r="E649" s="296" t="s">
        <v>98</v>
      </c>
      <c r="F649" s="296"/>
      <c r="G649" s="296"/>
      <c r="H649" s="73" t="s">
        <v>47</v>
      </c>
      <c r="I649" s="309"/>
      <c r="J649" s="309"/>
      <c r="K649" s="81" t="s">
        <v>53</v>
      </c>
      <c r="L649" s="82"/>
      <c r="M649" s="75" t="s">
        <v>74</v>
      </c>
      <c r="N649" s="73" t="s">
        <v>47</v>
      </c>
      <c r="O649" s="76"/>
      <c r="P649" s="77" t="s">
        <v>66</v>
      </c>
      <c r="Q649" s="296" t="s">
        <v>98</v>
      </c>
      <c r="R649" s="296"/>
      <c r="S649" s="296"/>
      <c r="T649" s="73" t="s">
        <v>47</v>
      </c>
      <c r="U649" s="309"/>
      <c r="V649" s="309"/>
      <c r="W649" s="81" t="s">
        <v>53</v>
      </c>
      <c r="X649" s="82"/>
    </row>
    <row r="650" spans="1:24" ht="18.75" customHeight="1">
      <c r="A650" s="75" t="s">
        <v>76</v>
      </c>
      <c r="B650" s="73" t="s">
        <v>47</v>
      </c>
      <c r="C650" s="76"/>
      <c r="D650" s="77" t="s">
        <v>77</v>
      </c>
      <c r="E650" s="85" t="s">
        <v>78</v>
      </c>
      <c r="F650" s="85"/>
      <c r="G650" s="85"/>
      <c r="H650" s="73" t="s">
        <v>47</v>
      </c>
      <c r="I650" s="307"/>
      <c r="J650" s="307"/>
      <c r="K650" s="81" t="s">
        <v>53</v>
      </c>
      <c r="L650" s="82">
        <f>+IF(L641-I641&lt;0,0,L641-I641)+IF(L645-I645&lt;0,0,L645-I645)</f>
        <v>0</v>
      </c>
      <c r="M650" s="75" t="s">
        <v>76</v>
      </c>
      <c r="N650" s="73" t="s">
        <v>47</v>
      </c>
      <c r="O650" s="76"/>
      <c r="P650" s="77" t="s">
        <v>77</v>
      </c>
      <c r="Q650" s="85" t="s">
        <v>78</v>
      </c>
      <c r="R650" s="85"/>
      <c r="S650" s="85"/>
      <c r="T650" s="73" t="s">
        <v>47</v>
      </c>
      <c r="U650" s="307"/>
      <c r="V650" s="307"/>
      <c r="W650" s="81" t="s">
        <v>53</v>
      </c>
      <c r="X650" s="82">
        <f>+IF(X641-U641&lt;0,0,X641-U641)+IF(X645-U645&lt;0,0,X645-U645)</f>
        <v>0</v>
      </c>
    </row>
    <row r="651" spans="1:24" ht="18.75" customHeight="1">
      <c r="A651" s="86" t="s">
        <v>122</v>
      </c>
      <c r="B651" s="87"/>
      <c r="C651" s="76"/>
      <c r="D651" s="77" t="s">
        <v>57</v>
      </c>
      <c r="E651" s="296" t="s">
        <v>123</v>
      </c>
      <c r="F651" s="296"/>
      <c r="G651" s="296"/>
      <c r="H651" s="73" t="s">
        <v>47</v>
      </c>
      <c r="I651" s="307"/>
      <c r="J651" s="307"/>
      <c r="K651" s="81" t="s">
        <v>53</v>
      </c>
      <c r="L651" s="82"/>
      <c r="M651" s="86" t="s">
        <v>122</v>
      </c>
      <c r="N651" s="87"/>
      <c r="O651" s="76"/>
      <c r="P651" s="77" t="s">
        <v>57</v>
      </c>
      <c r="Q651" s="296" t="s">
        <v>123</v>
      </c>
      <c r="R651" s="296"/>
      <c r="S651" s="296"/>
      <c r="T651" s="73" t="s">
        <v>47</v>
      </c>
      <c r="U651" s="307"/>
      <c r="V651" s="307"/>
      <c r="W651" s="81" t="s">
        <v>53</v>
      </c>
      <c r="X651" s="82"/>
    </row>
    <row r="652" spans="1:24" ht="18.75" customHeight="1">
      <c r="A652" s="314" t="s">
        <v>81</v>
      </c>
      <c r="B652" s="308"/>
      <c r="C652" s="76"/>
      <c r="D652" s="77"/>
      <c r="E652" s="78"/>
      <c r="F652" s="78"/>
      <c r="G652" s="78"/>
      <c r="H652" s="73" t="s">
        <v>47</v>
      </c>
      <c r="I652" s="307">
        <f>'[2]LUONG T7'!P73</f>
        <v>0</v>
      </c>
      <c r="J652" s="307"/>
      <c r="K652" s="81" t="s">
        <v>53</v>
      </c>
      <c r="L652" s="82"/>
      <c r="M652" s="314" t="s">
        <v>81</v>
      </c>
      <c r="N652" s="308"/>
      <c r="O652" s="76"/>
      <c r="P652" s="77"/>
      <c r="Q652" s="78"/>
      <c r="R652" s="78"/>
      <c r="S652" s="78"/>
      <c r="T652" s="73" t="s">
        <v>47</v>
      </c>
      <c r="U652" s="307">
        <f>'[2]LUONG T7'!P75</f>
        <v>0</v>
      </c>
      <c r="V652" s="307"/>
      <c r="W652" s="81" t="s">
        <v>53</v>
      </c>
      <c r="X652" s="82"/>
    </row>
    <row r="653" spans="1:24" ht="18.75" customHeight="1">
      <c r="A653" s="75" t="s">
        <v>82</v>
      </c>
      <c r="B653" s="73" t="s">
        <v>47</v>
      </c>
      <c r="C653" s="76"/>
      <c r="D653" s="77"/>
      <c r="E653" s="78" t="s">
        <v>83</v>
      </c>
      <c r="F653" s="78"/>
      <c r="G653" s="78"/>
      <c r="H653" s="73" t="s">
        <v>47</v>
      </c>
      <c r="I653" s="307">
        <f>L650</f>
        <v>0</v>
      </c>
      <c r="J653" s="307"/>
      <c r="K653" s="81" t="s">
        <v>53</v>
      </c>
      <c r="L653" s="82"/>
      <c r="M653" s="75" t="s">
        <v>82</v>
      </c>
      <c r="N653" s="73" t="s">
        <v>47</v>
      </c>
      <c r="O653" s="76"/>
      <c r="P653" s="77"/>
      <c r="Q653" s="78" t="s">
        <v>83</v>
      </c>
      <c r="R653" s="78"/>
      <c r="S653" s="78"/>
      <c r="T653" s="73" t="s">
        <v>47</v>
      </c>
      <c r="U653" s="307">
        <f>X650</f>
        <v>0</v>
      </c>
      <c r="V653" s="307"/>
      <c r="W653" s="81" t="s">
        <v>53</v>
      </c>
      <c r="X653" s="82"/>
    </row>
    <row r="654" spans="1:24" ht="18.75" customHeight="1">
      <c r="A654" s="311" t="s">
        <v>84</v>
      </c>
      <c r="B654" s="312"/>
      <c r="C654" s="312"/>
      <c r="D654" s="312"/>
      <c r="E654" s="312"/>
      <c r="F654" s="312"/>
      <c r="G654" s="73" t="s">
        <v>47</v>
      </c>
      <c r="H654" s="313">
        <f>I641+I642+I643+I644+I645+I648+I652+I653</f>
        <v>0</v>
      </c>
      <c r="I654" s="313"/>
      <c r="J654" s="313"/>
      <c r="K654" s="81" t="s">
        <v>53</v>
      </c>
      <c r="M654" s="311" t="s">
        <v>84</v>
      </c>
      <c r="N654" s="312"/>
      <c r="O654" s="312"/>
      <c r="P654" s="312"/>
      <c r="Q654" s="312"/>
      <c r="R654" s="312"/>
      <c r="S654" s="73" t="s">
        <v>47</v>
      </c>
      <c r="T654" s="313">
        <f>U641+U642+U643+U644+U645+U648+U652+U653</f>
        <v>0</v>
      </c>
      <c r="U654" s="313"/>
      <c r="V654" s="313"/>
      <c r="W654" s="81" t="s">
        <v>53</v>
      </c>
    </row>
    <row r="655" spans="1:24" ht="18.75" customHeight="1">
      <c r="A655" s="88"/>
      <c r="B655" s="89"/>
      <c r="C655" s="89"/>
      <c r="D655" s="89"/>
      <c r="E655" s="89"/>
      <c r="F655" s="89"/>
      <c r="G655" s="89"/>
      <c r="H655" s="89"/>
      <c r="I655" s="89"/>
      <c r="J655" s="89"/>
      <c r="K655" s="90"/>
      <c r="M655" s="88"/>
      <c r="N655" s="89"/>
      <c r="O655" s="89"/>
      <c r="P655" s="89"/>
      <c r="Q655" s="89"/>
      <c r="R655" s="89"/>
      <c r="S655" s="89"/>
      <c r="T655" s="89"/>
      <c r="U655" s="89"/>
      <c r="V655" s="89"/>
      <c r="W655" s="90"/>
    </row>
    <row r="656" spans="1:24" ht="18.75" customHeight="1">
      <c r="A656" s="321" t="s">
        <v>85</v>
      </c>
      <c r="B656" s="322"/>
      <c r="C656" s="322"/>
      <c r="D656" s="322"/>
      <c r="E656" s="322"/>
      <c r="F656" s="322"/>
      <c r="G656" s="73"/>
      <c r="H656" s="73"/>
      <c r="I656" s="73"/>
      <c r="J656" s="73"/>
      <c r="K656" s="81"/>
      <c r="M656" s="321" t="s">
        <v>85</v>
      </c>
      <c r="N656" s="322"/>
      <c r="O656" s="322"/>
      <c r="P656" s="322"/>
      <c r="Q656" s="322"/>
      <c r="R656" s="322"/>
      <c r="S656" s="73"/>
      <c r="T656" s="73"/>
      <c r="U656" s="73"/>
      <c r="V656" s="73"/>
      <c r="W656" s="81"/>
    </row>
    <row r="657" spans="1:24" ht="18.75" customHeight="1">
      <c r="A657" s="315" t="s">
        <v>86</v>
      </c>
      <c r="B657" s="316"/>
      <c r="C657" s="316"/>
      <c r="D657" s="316"/>
      <c r="E657" s="316"/>
      <c r="F657" s="316"/>
      <c r="G657" s="73" t="s">
        <v>47</v>
      </c>
      <c r="H657" s="323">
        <f>IF(($L$1-(C641+C642+C643+C644))&gt;12,0,F638*8%)</f>
        <v>0</v>
      </c>
      <c r="I657" s="323"/>
      <c r="J657" s="323"/>
      <c r="K657" s="81" t="s">
        <v>53</v>
      </c>
      <c r="M657" s="315" t="s">
        <v>86</v>
      </c>
      <c r="N657" s="316"/>
      <c r="O657" s="316"/>
      <c r="P657" s="316"/>
      <c r="Q657" s="316"/>
      <c r="R657" s="316"/>
      <c r="S657" s="73" t="s">
        <v>47</v>
      </c>
      <c r="T657" s="323">
        <f>IF(($L$1-(O641+O642+O643+O644))&gt;12,0,R638*8%)</f>
        <v>0</v>
      </c>
      <c r="U657" s="323"/>
      <c r="V657" s="323"/>
      <c r="W657" s="81" t="s">
        <v>53</v>
      </c>
    </row>
    <row r="658" spans="1:24" ht="18.75" customHeight="1">
      <c r="A658" s="315" t="s">
        <v>87</v>
      </c>
      <c r="B658" s="316"/>
      <c r="C658" s="316"/>
      <c r="D658" s="316"/>
      <c r="E658" s="316"/>
      <c r="F658" s="316"/>
      <c r="G658" s="73" t="s">
        <v>47</v>
      </c>
      <c r="H658" s="317">
        <f>IF(($L$1-(C641+C642+C643+C644))&gt;12,0,F638*1.5%)</f>
        <v>0</v>
      </c>
      <c r="I658" s="317"/>
      <c r="J658" s="317"/>
      <c r="K658" s="81" t="s">
        <v>53</v>
      </c>
      <c r="M658" s="315" t="s">
        <v>87</v>
      </c>
      <c r="N658" s="316"/>
      <c r="O658" s="316"/>
      <c r="P658" s="316"/>
      <c r="Q658" s="316"/>
      <c r="R658" s="316"/>
      <c r="S658" s="73" t="s">
        <v>47</v>
      </c>
      <c r="T658" s="317">
        <f>IF(($L$1-(O641+O642+O643+O644))&gt;12,0,R638*1.5%)</f>
        <v>0</v>
      </c>
      <c r="U658" s="317"/>
      <c r="V658" s="317"/>
      <c r="W658" s="81" t="s">
        <v>53</v>
      </c>
    </row>
    <row r="659" spans="1:24" ht="18.75" customHeight="1">
      <c r="A659" s="315" t="s">
        <v>88</v>
      </c>
      <c r="B659" s="316"/>
      <c r="C659" s="316"/>
      <c r="D659" s="316"/>
      <c r="E659" s="316"/>
      <c r="F659" s="316"/>
      <c r="G659" s="73" t="s">
        <v>47</v>
      </c>
      <c r="H659" s="317">
        <f>IF(($L$1-(C641+C642+C643+C644))&gt;12,0,F638*1%)</f>
        <v>0</v>
      </c>
      <c r="I659" s="317"/>
      <c r="J659" s="317"/>
      <c r="K659" s="81" t="s">
        <v>53</v>
      </c>
      <c r="M659" s="315" t="s">
        <v>88</v>
      </c>
      <c r="N659" s="316"/>
      <c r="O659" s="316"/>
      <c r="P659" s="316"/>
      <c r="Q659" s="316"/>
      <c r="R659" s="316"/>
      <c r="S659" s="73" t="s">
        <v>47</v>
      </c>
      <c r="T659" s="317">
        <f>IF(($L$1-(O641+O642+O643+O644))&gt;12,0,R638*1%)</f>
        <v>0</v>
      </c>
      <c r="U659" s="317"/>
      <c r="V659" s="317"/>
      <c r="W659" s="81" t="s">
        <v>53</v>
      </c>
    </row>
    <row r="660" spans="1:24" ht="18.75" customHeight="1">
      <c r="A660" s="315" t="s">
        <v>89</v>
      </c>
      <c r="B660" s="316"/>
      <c r="C660" s="316"/>
      <c r="D660" s="316"/>
      <c r="E660" s="316"/>
      <c r="F660" s="316"/>
      <c r="G660" s="73" t="s">
        <v>47</v>
      </c>
      <c r="H660" s="317">
        <v>0</v>
      </c>
      <c r="I660" s="317"/>
      <c r="J660" s="317"/>
      <c r="K660" s="81" t="s">
        <v>53</v>
      </c>
      <c r="M660" s="315" t="s">
        <v>89</v>
      </c>
      <c r="N660" s="316"/>
      <c r="O660" s="316"/>
      <c r="P660" s="316"/>
      <c r="Q660" s="316"/>
      <c r="R660" s="316"/>
      <c r="S660" s="73" t="s">
        <v>47</v>
      </c>
      <c r="T660" s="317">
        <v>0</v>
      </c>
      <c r="U660" s="317"/>
      <c r="V660" s="317"/>
      <c r="W660" s="81" t="s">
        <v>53</v>
      </c>
    </row>
    <row r="661" spans="1:24" ht="18.75" customHeight="1">
      <c r="A661" s="318" t="s">
        <v>90</v>
      </c>
      <c r="B661" s="319"/>
      <c r="C661" s="319"/>
      <c r="D661" s="319"/>
      <c r="E661" s="319"/>
      <c r="F661" s="319"/>
      <c r="G661" s="73" t="s">
        <v>47</v>
      </c>
      <c r="H661" s="320">
        <f>SUM(H657:J660)</f>
        <v>0</v>
      </c>
      <c r="I661" s="320"/>
      <c r="J661" s="320"/>
      <c r="K661" s="81" t="s">
        <v>53</v>
      </c>
      <c r="M661" s="318" t="s">
        <v>90</v>
      </c>
      <c r="N661" s="319"/>
      <c r="O661" s="319"/>
      <c r="P661" s="319"/>
      <c r="Q661" s="319"/>
      <c r="R661" s="319"/>
      <c r="S661" s="73" t="s">
        <v>47</v>
      </c>
      <c r="T661" s="320">
        <f>SUM(T657:V660)</f>
        <v>0</v>
      </c>
      <c r="U661" s="320"/>
      <c r="V661" s="320"/>
      <c r="W661" s="81" t="s">
        <v>53</v>
      </c>
    </row>
    <row r="662" spans="1:24" ht="18.75" customHeight="1">
      <c r="A662" s="315" t="s">
        <v>91</v>
      </c>
      <c r="B662" s="316"/>
      <c r="C662" s="316"/>
      <c r="D662" s="316"/>
      <c r="E662" s="316"/>
      <c r="F662" s="316"/>
      <c r="G662" s="73" t="s">
        <v>47</v>
      </c>
      <c r="H662" s="327">
        <f>ROUND(H654-H661,-2)</f>
        <v>0</v>
      </c>
      <c r="I662" s="327"/>
      <c r="J662" s="327"/>
      <c r="K662" s="81" t="s">
        <v>53</v>
      </c>
      <c r="M662" s="315" t="s">
        <v>91</v>
      </c>
      <c r="N662" s="316"/>
      <c r="O662" s="316"/>
      <c r="P662" s="316"/>
      <c r="Q662" s="316"/>
      <c r="R662" s="316"/>
      <c r="S662" s="73" t="s">
        <v>47</v>
      </c>
      <c r="T662" s="327">
        <f>ROUND(T654-T661,-2)</f>
        <v>0</v>
      </c>
      <c r="U662" s="327"/>
      <c r="V662" s="327"/>
      <c r="W662" s="81" t="s">
        <v>53</v>
      </c>
    </row>
    <row r="663" spans="1:24" ht="18.75" customHeight="1">
      <c r="A663" s="91"/>
      <c r="B663" s="92"/>
      <c r="C663" s="92"/>
      <c r="D663" s="92"/>
      <c r="E663" s="92"/>
      <c r="F663" s="92"/>
      <c r="G663" s="92"/>
      <c r="H663" s="92"/>
      <c r="I663" s="92"/>
      <c r="J663" s="92"/>
      <c r="K663" s="93"/>
      <c r="M663" s="91"/>
      <c r="N663" s="92"/>
      <c r="O663" s="92"/>
      <c r="P663" s="92"/>
      <c r="Q663" s="92"/>
      <c r="R663" s="92"/>
      <c r="S663" s="92"/>
      <c r="T663" s="92"/>
      <c r="U663" s="92"/>
      <c r="V663" s="92"/>
      <c r="W663" s="93"/>
    </row>
    <row r="664" spans="1:24" ht="18.75" customHeight="1">
      <c r="A664" s="94"/>
      <c r="B664" s="73"/>
      <c r="C664" s="73"/>
      <c r="D664" s="73"/>
      <c r="E664" s="73"/>
      <c r="F664" s="73"/>
      <c r="G664" s="73"/>
      <c r="H664" s="73"/>
      <c r="I664" s="324" t="s">
        <v>92</v>
      </c>
      <c r="J664" s="324"/>
      <c r="K664" s="328"/>
      <c r="M664" s="94"/>
      <c r="N664" s="73"/>
      <c r="O664" s="73"/>
      <c r="P664" s="73"/>
      <c r="Q664" s="73"/>
      <c r="R664" s="73"/>
      <c r="S664" s="73"/>
      <c r="T664" s="73"/>
      <c r="U664" s="324" t="s">
        <v>92</v>
      </c>
      <c r="V664" s="324"/>
      <c r="W664" s="328"/>
    </row>
    <row r="665" spans="1:24" ht="18.75" customHeight="1">
      <c r="A665" s="94"/>
      <c r="B665" s="324"/>
      <c r="C665" s="324"/>
      <c r="D665" s="324"/>
      <c r="E665" s="324"/>
      <c r="F665" s="73"/>
      <c r="G665" s="73"/>
      <c r="H665" s="73"/>
      <c r="I665" s="73"/>
      <c r="J665" s="73"/>
      <c r="K665" s="74"/>
      <c r="M665" s="94"/>
      <c r="N665" s="324"/>
      <c r="O665" s="324"/>
      <c r="P665" s="324"/>
      <c r="Q665" s="324"/>
      <c r="R665" s="73"/>
      <c r="S665" s="73"/>
      <c r="T665" s="73"/>
      <c r="U665" s="73"/>
      <c r="V665" s="73"/>
      <c r="W665" s="74"/>
    </row>
    <row r="666" spans="1:24" ht="18.75" customHeight="1" thickBot="1">
      <c r="A666" s="95"/>
      <c r="B666" s="96"/>
      <c r="C666" s="96"/>
      <c r="D666" s="96"/>
      <c r="E666" s="96"/>
      <c r="F666" s="96"/>
      <c r="G666" s="96"/>
      <c r="H666" s="96"/>
      <c r="I666" s="325" t="s">
        <v>93</v>
      </c>
      <c r="J666" s="325"/>
      <c r="K666" s="326"/>
      <c r="M666" s="95"/>
      <c r="N666" s="96"/>
      <c r="O666" s="96"/>
      <c r="P666" s="96"/>
      <c r="Q666" s="96"/>
      <c r="R666" s="96"/>
      <c r="S666" s="96"/>
      <c r="T666" s="96"/>
      <c r="U666" s="325" t="s">
        <v>93</v>
      </c>
      <c r="V666" s="325"/>
      <c r="W666" s="326"/>
    </row>
    <row r="668" spans="1:24" ht="18.75" customHeight="1" thickTop="1">
      <c r="A668" s="300" t="s">
        <v>41</v>
      </c>
      <c r="B668" s="301"/>
      <c r="C668" s="301"/>
      <c r="D668" s="301"/>
      <c r="E668" s="301"/>
      <c r="F668" s="301"/>
      <c r="G668" s="301"/>
      <c r="H668" s="301"/>
      <c r="I668" s="301"/>
      <c r="J668" s="301"/>
      <c r="K668" s="302"/>
      <c r="L668" s="69">
        <v>25</v>
      </c>
      <c r="M668" s="300" t="s">
        <v>41</v>
      </c>
      <c r="N668" s="301"/>
      <c r="O668" s="301"/>
      <c r="P668" s="301"/>
      <c r="Q668" s="301"/>
      <c r="R668" s="301"/>
      <c r="S668" s="301"/>
      <c r="T668" s="301"/>
      <c r="U668" s="301"/>
      <c r="V668" s="301"/>
      <c r="W668" s="302"/>
      <c r="X668" s="69">
        <v>25</v>
      </c>
    </row>
    <row r="669" spans="1:24" ht="18.75" customHeight="1">
      <c r="A669" s="70" t="s">
        <v>144</v>
      </c>
      <c r="B669" s="71"/>
      <c r="C669" s="71"/>
      <c r="D669" s="71"/>
      <c r="E669" s="71"/>
      <c r="F669" s="71"/>
      <c r="G669" s="71"/>
      <c r="H669" s="71"/>
      <c r="I669" s="71"/>
      <c r="J669" s="71"/>
      <c r="K669" s="72"/>
      <c r="M669" s="70" t="s">
        <v>145</v>
      </c>
      <c r="N669" s="71"/>
      <c r="O669" s="71"/>
      <c r="P669" s="71"/>
      <c r="Q669" s="71"/>
      <c r="R669" s="71"/>
      <c r="S669" s="71"/>
      <c r="T669" s="71"/>
      <c r="U669" s="71"/>
      <c r="V669" s="71"/>
      <c r="W669" s="72"/>
    </row>
    <row r="670" spans="1:24" ht="18.75" customHeight="1">
      <c r="A670" s="303" t="s">
        <v>45</v>
      </c>
      <c r="B670" s="304"/>
      <c r="C670" s="304"/>
      <c r="D670" s="304"/>
      <c r="E670" s="304"/>
      <c r="F670" s="304"/>
      <c r="G670" s="304"/>
      <c r="H670" s="304"/>
      <c r="I670" s="304"/>
      <c r="J670" s="304"/>
      <c r="K670" s="305"/>
      <c r="M670" s="303" t="s">
        <v>45</v>
      </c>
      <c r="N670" s="304"/>
      <c r="O670" s="304"/>
      <c r="P670" s="304"/>
      <c r="Q670" s="304"/>
      <c r="R670" s="304"/>
      <c r="S670" s="304"/>
      <c r="T670" s="304"/>
      <c r="U670" s="304"/>
      <c r="V670" s="304"/>
      <c r="W670" s="305"/>
    </row>
    <row r="671" spans="1:24" ht="18.75" customHeight="1">
      <c r="A671" s="295" t="s">
        <v>46</v>
      </c>
      <c r="B671" s="296"/>
      <c r="C671" s="296"/>
      <c r="D671" s="296"/>
      <c r="E671" s="73" t="s">
        <v>47</v>
      </c>
      <c r="F671" s="297">
        <f>'[2]Bang TH nop'!B73</f>
        <v>0</v>
      </c>
      <c r="G671" s="296"/>
      <c r="H671" s="296"/>
      <c r="I671" s="296"/>
      <c r="J671" s="296"/>
      <c r="K671" s="299"/>
      <c r="M671" s="295" t="s">
        <v>46</v>
      </c>
      <c r="N671" s="296"/>
      <c r="O671" s="296"/>
      <c r="P671" s="296"/>
      <c r="Q671" s="73" t="s">
        <v>47</v>
      </c>
      <c r="R671" s="297">
        <f>'[2]Bang TH nop'!B75</f>
        <v>0</v>
      </c>
      <c r="S671" s="296"/>
      <c r="T671" s="296"/>
      <c r="U671" s="296"/>
      <c r="V671" s="296"/>
      <c r="W671" s="299"/>
    </row>
    <row r="672" spans="1:24" ht="18.75" customHeight="1">
      <c r="A672" s="295" t="s">
        <v>49</v>
      </c>
      <c r="B672" s="296"/>
      <c r="C672" s="296"/>
      <c r="D672" s="296"/>
      <c r="E672" s="73" t="s">
        <v>47</v>
      </c>
      <c r="F672" s="297">
        <f>'[2]Bang TH nop'!C73</f>
        <v>0</v>
      </c>
      <c r="G672" s="297"/>
      <c r="H672" s="297"/>
      <c r="I672" s="297"/>
      <c r="J672" s="297"/>
      <c r="K672" s="298"/>
      <c r="M672" s="295" t="s">
        <v>49</v>
      </c>
      <c r="N672" s="296"/>
      <c r="O672" s="296"/>
      <c r="P672" s="296"/>
      <c r="Q672" s="73" t="s">
        <v>47</v>
      </c>
      <c r="R672" s="297">
        <f>'[2]Bang TH nop'!C75</f>
        <v>0</v>
      </c>
      <c r="S672" s="297"/>
      <c r="T672" s="297"/>
      <c r="U672" s="297"/>
      <c r="V672" s="297"/>
      <c r="W672" s="298"/>
    </row>
    <row r="673" spans="1:24" ht="18.75" customHeight="1">
      <c r="A673" s="295" t="s">
        <v>50</v>
      </c>
      <c r="B673" s="296"/>
      <c r="C673" s="296"/>
      <c r="D673" s="296"/>
      <c r="E673" s="73" t="s">
        <v>47</v>
      </c>
      <c r="F673" s="296" t="s">
        <v>121</v>
      </c>
      <c r="G673" s="296"/>
      <c r="H673" s="296"/>
      <c r="I673" s="296"/>
      <c r="J673" s="296"/>
      <c r="K673" s="299"/>
      <c r="M673" s="295" t="s">
        <v>50</v>
      </c>
      <c r="N673" s="296"/>
      <c r="O673" s="296"/>
      <c r="P673" s="296"/>
      <c r="Q673" s="73" t="s">
        <v>47</v>
      </c>
      <c r="R673" s="296" t="s">
        <v>121</v>
      </c>
      <c r="S673" s="296"/>
      <c r="T673" s="296"/>
      <c r="U673" s="296"/>
      <c r="V673" s="296"/>
      <c r="W673" s="299"/>
    </row>
    <row r="674" spans="1:24" ht="18.75" customHeight="1">
      <c r="A674" s="303" t="s">
        <v>51</v>
      </c>
      <c r="B674" s="304"/>
      <c r="C674" s="304"/>
      <c r="D674" s="304"/>
      <c r="E674" s="304"/>
      <c r="F674" s="304"/>
      <c r="G674" s="304"/>
      <c r="H674" s="304"/>
      <c r="I674" s="304"/>
      <c r="J674" s="304"/>
      <c r="K674" s="305"/>
      <c r="M674" s="303" t="s">
        <v>51</v>
      </c>
      <c r="N674" s="304"/>
      <c r="O674" s="304"/>
      <c r="P674" s="304"/>
      <c r="Q674" s="304"/>
      <c r="R674" s="304"/>
      <c r="S674" s="304"/>
      <c r="T674" s="304"/>
      <c r="U674" s="304"/>
      <c r="V674" s="304"/>
      <c r="W674" s="305"/>
    </row>
    <row r="675" spans="1:24" ht="18.75" customHeight="1">
      <c r="A675" s="295" t="s">
        <v>52</v>
      </c>
      <c r="B675" s="296"/>
      <c r="C675" s="296"/>
      <c r="D675" s="296"/>
      <c r="E675" s="73" t="s">
        <v>47</v>
      </c>
      <c r="F675" s="310">
        <v>2915400</v>
      </c>
      <c r="G675" s="310"/>
      <c r="H675" s="310"/>
      <c r="I675" s="310"/>
      <c r="J675" s="73" t="s">
        <v>53</v>
      </c>
      <c r="K675" s="74"/>
      <c r="M675" s="295" t="s">
        <v>52</v>
      </c>
      <c r="N675" s="296"/>
      <c r="O675" s="296"/>
      <c r="P675" s="296"/>
      <c r="Q675" s="73" t="s">
        <v>47</v>
      </c>
      <c r="R675" s="310">
        <v>2915400</v>
      </c>
      <c r="S675" s="310"/>
      <c r="T675" s="310"/>
      <c r="U675" s="310"/>
      <c r="V675" s="73" t="s">
        <v>53</v>
      </c>
      <c r="W675" s="74"/>
    </row>
    <row r="676" spans="1:24" ht="18.75" customHeight="1">
      <c r="A676" s="75" t="s">
        <v>54</v>
      </c>
      <c r="B676" s="73"/>
      <c r="C676" s="76"/>
      <c r="D676" s="77"/>
      <c r="E676" s="78"/>
      <c r="F676" s="78"/>
      <c r="G676" s="78"/>
      <c r="H676" s="73"/>
      <c r="I676" s="79">
        <f>'[2]LUONG T7'!F77</f>
        <v>0</v>
      </c>
      <c r="J676" s="80"/>
      <c r="K676" s="81"/>
      <c r="M676" s="75" t="s">
        <v>54</v>
      </c>
      <c r="N676" s="73"/>
      <c r="O676" s="76"/>
      <c r="P676" s="77"/>
      <c r="Q676" s="78"/>
      <c r="R676" s="78"/>
      <c r="S676" s="78"/>
      <c r="T676" s="73"/>
      <c r="U676" s="79">
        <f>'[2]LUONG T7'!F79</f>
        <v>0</v>
      </c>
      <c r="V676" s="80"/>
      <c r="W676" s="81"/>
    </row>
    <row r="677" spans="1:24" ht="18.75" customHeight="1">
      <c r="A677" s="75" t="s">
        <v>55</v>
      </c>
      <c r="B677" s="73"/>
      <c r="C677" s="76"/>
      <c r="D677" s="77"/>
      <c r="E677" s="78"/>
      <c r="F677" s="78"/>
      <c r="G677" s="78"/>
      <c r="H677" s="73"/>
      <c r="I677" s="79" t="e">
        <f>I678/C678/8</f>
        <v>#DIV/0!</v>
      </c>
      <c r="J677" s="80"/>
      <c r="K677" s="81"/>
      <c r="M677" s="75" t="s">
        <v>55</v>
      </c>
      <c r="N677" s="73"/>
      <c r="O677" s="76"/>
      <c r="P677" s="77"/>
      <c r="Q677" s="78"/>
      <c r="R677" s="78"/>
      <c r="S677" s="78"/>
      <c r="T677" s="73"/>
      <c r="U677" s="79" t="e">
        <f>U678/O678/8</f>
        <v>#DIV/0!</v>
      </c>
      <c r="V677" s="80"/>
      <c r="W677" s="81"/>
    </row>
    <row r="678" spans="1:24" ht="18.75" customHeight="1">
      <c r="A678" s="75" t="s">
        <v>56</v>
      </c>
      <c r="B678" s="73" t="s">
        <v>47</v>
      </c>
      <c r="C678" s="76">
        <f>'[2]LUONG T7'!I76</f>
        <v>0</v>
      </c>
      <c r="D678" s="77" t="s">
        <v>57</v>
      </c>
      <c r="E678" s="308" t="s">
        <v>58</v>
      </c>
      <c r="F678" s="308"/>
      <c r="G678" s="308"/>
      <c r="H678" s="73" t="s">
        <v>47</v>
      </c>
      <c r="I678" s="309">
        <f>'[2]LUONG T7'!I77</f>
        <v>0</v>
      </c>
      <c r="J678" s="309"/>
      <c r="K678" s="81" t="s">
        <v>53</v>
      </c>
      <c r="L678" s="82">
        <f>F675/L668*C678</f>
        <v>0</v>
      </c>
      <c r="M678" s="75" t="s">
        <v>56</v>
      </c>
      <c r="N678" s="73" t="s">
        <v>47</v>
      </c>
      <c r="O678" s="76">
        <f>'[2]LUONG T7'!I78</f>
        <v>0</v>
      </c>
      <c r="P678" s="77" t="s">
        <v>57</v>
      </c>
      <c r="Q678" s="308" t="s">
        <v>58</v>
      </c>
      <c r="R678" s="308"/>
      <c r="S678" s="308"/>
      <c r="T678" s="73" t="s">
        <v>47</v>
      </c>
      <c r="U678" s="309">
        <f>'[2]LUONG T7'!I79</f>
        <v>0</v>
      </c>
      <c r="V678" s="309"/>
      <c r="W678" s="81" t="s">
        <v>53</v>
      </c>
      <c r="X678" s="82">
        <f>R675/X668*O678</f>
        <v>0</v>
      </c>
    </row>
    <row r="679" spans="1:24" ht="18.75" customHeight="1">
      <c r="A679" s="75" t="s">
        <v>59</v>
      </c>
      <c r="B679" s="73" t="s">
        <v>47</v>
      </c>
      <c r="C679" s="76">
        <f>'[2]LUONG T7'!J76</f>
        <v>0</v>
      </c>
      <c r="D679" s="77" t="s">
        <v>57</v>
      </c>
      <c r="E679" s="296" t="s">
        <v>60</v>
      </c>
      <c r="F679" s="296"/>
      <c r="G679" s="296"/>
      <c r="H679" s="73" t="s">
        <v>47</v>
      </c>
      <c r="I679" s="307">
        <f>$F$8/$L$1*C679</f>
        <v>0</v>
      </c>
      <c r="J679" s="307"/>
      <c r="K679" s="81" t="s">
        <v>53</v>
      </c>
      <c r="L679" s="82"/>
      <c r="M679" s="75" t="s">
        <v>59</v>
      </c>
      <c r="N679" s="73" t="s">
        <v>47</v>
      </c>
      <c r="O679" s="76">
        <f>'[2]LUONG T7'!J78</f>
        <v>0</v>
      </c>
      <c r="P679" s="77" t="s">
        <v>57</v>
      </c>
      <c r="Q679" s="296" t="s">
        <v>60</v>
      </c>
      <c r="R679" s="296"/>
      <c r="S679" s="296"/>
      <c r="T679" s="73" t="s">
        <v>47</v>
      </c>
      <c r="U679" s="307">
        <f>$F$8/$L$1*O679</f>
        <v>0</v>
      </c>
      <c r="V679" s="307"/>
      <c r="W679" s="81" t="s">
        <v>53</v>
      </c>
      <c r="X679" s="82"/>
    </row>
    <row r="680" spans="1:24" ht="18.75" customHeight="1">
      <c r="A680" s="75" t="s">
        <v>61</v>
      </c>
      <c r="B680" s="73" t="s">
        <v>47</v>
      </c>
      <c r="C680" s="76">
        <f>'[2]LUONG T7'!K76</f>
        <v>0</v>
      </c>
      <c r="D680" s="77" t="s">
        <v>57</v>
      </c>
      <c r="E680" s="306" t="s">
        <v>62</v>
      </c>
      <c r="F680" s="306"/>
      <c r="G680" s="306"/>
      <c r="H680" s="73" t="s">
        <v>47</v>
      </c>
      <c r="I680" s="307">
        <f>$F$8/$L$1*C680</f>
        <v>0</v>
      </c>
      <c r="J680" s="307"/>
      <c r="K680" s="81" t="s">
        <v>53</v>
      </c>
      <c r="L680" s="82"/>
      <c r="M680" s="75" t="s">
        <v>61</v>
      </c>
      <c r="N680" s="73" t="s">
        <v>47</v>
      </c>
      <c r="O680" s="76">
        <f>'[2]LUONG T7'!K78</f>
        <v>0</v>
      </c>
      <c r="P680" s="77" t="s">
        <v>57</v>
      </c>
      <c r="Q680" s="306" t="s">
        <v>62</v>
      </c>
      <c r="R680" s="306"/>
      <c r="S680" s="306"/>
      <c r="T680" s="73" t="s">
        <v>47</v>
      </c>
      <c r="U680" s="307">
        <f>$F$8/$L$1*O680</f>
        <v>0</v>
      </c>
      <c r="V680" s="307"/>
      <c r="W680" s="81" t="s">
        <v>53</v>
      </c>
      <c r="X680" s="82"/>
    </row>
    <row r="681" spans="1:24" ht="18.75" customHeight="1">
      <c r="A681" s="75" t="s">
        <v>63</v>
      </c>
      <c r="B681" s="73" t="s">
        <v>47</v>
      </c>
      <c r="C681" s="76">
        <f>'[2]LUONG T7'!L76</f>
        <v>0</v>
      </c>
      <c r="D681" s="77" t="s">
        <v>57</v>
      </c>
      <c r="E681" s="306" t="s">
        <v>64</v>
      </c>
      <c r="F681" s="306"/>
      <c r="G681" s="306"/>
      <c r="H681" s="73" t="s">
        <v>47</v>
      </c>
      <c r="I681" s="307">
        <f>$F$8/$L$1*C681</f>
        <v>0</v>
      </c>
      <c r="J681" s="307"/>
      <c r="K681" s="81" t="s">
        <v>53</v>
      </c>
      <c r="L681" s="82"/>
      <c r="M681" s="75" t="s">
        <v>63</v>
      </c>
      <c r="N681" s="73" t="s">
        <v>47</v>
      </c>
      <c r="O681" s="76">
        <f>'[2]LUONG T7'!L78</f>
        <v>0</v>
      </c>
      <c r="P681" s="77" t="s">
        <v>57</v>
      </c>
      <c r="Q681" s="306" t="s">
        <v>64</v>
      </c>
      <c r="R681" s="306"/>
      <c r="S681" s="306"/>
      <c r="T681" s="73" t="s">
        <v>47</v>
      </c>
      <c r="U681" s="307">
        <f>$F$8/$L$1*O681</f>
        <v>0</v>
      </c>
      <c r="V681" s="307"/>
      <c r="W681" s="81" t="s">
        <v>53</v>
      </c>
      <c r="X681" s="82"/>
    </row>
    <row r="682" spans="1:24" ht="18.75" customHeight="1">
      <c r="A682" s="75" t="s">
        <v>65</v>
      </c>
      <c r="B682" s="73" t="s">
        <v>47</v>
      </c>
      <c r="C682" s="76">
        <f>'[2]LUONG T7'!Q76</f>
        <v>0</v>
      </c>
      <c r="D682" s="77" t="s">
        <v>66</v>
      </c>
      <c r="E682" s="296" t="s">
        <v>67</v>
      </c>
      <c r="F682" s="296"/>
      <c r="G682" s="296"/>
      <c r="H682" s="73" t="s">
        <v>47</v>
      </c>
      <c r="I682" s="307">
        <f>'[2]LUONG T7'!Q77</f>
        <v>0</v>
      </c>
      <c r="J682" s="307"/>
      <c r="K682" s="81" t="s">
        <v>53</v>
      </c>
      <c r="L682" s="82">
        <f>F675*C682/L668/8*1.5</f>
        <v>0</v>
      </c>
      <c r="M682" s="75" t="s">
        <v>65</v>
      </c>
      <c r="N682" s="73" t="s">
        <v>47</v>
      </c>
      <c r="O682" s="76">
        <f>'[2]LUONG T7'!Q78</f>
        <v>0</v>
      </c>
      <c r="P682" s="77" t="s">
        <v>66</v>
      </c>
      <c r="Q682" s="296" t="s">
        <v>67</v>
      </c>
      <c r="R682" s="296"/>
      <c r="S682" s="296"/>
      <c r="T682" s="73" t="s">
        <v>47</v>
      </c>
      <c r="U682" s="307">
        <f>'[2]LUONG T7'!Q79</f>
        <v>0</v>
      </c>
      <c r="V682" s="307"/>
      <c r="W682" s="81" t="s">
        <v>53</v>
      </c>
      <c r="X682" s="82">
        <f>R675*O682/X668/8*1.5</f>
        <v>0</v>
      </c>
    </row>
    <row r="683" spans="1:24" ht="18.75" customHeight="1">
      <c r="A683" s="295" t="s">
        <v>68</v>
      </c>
      <c r="B683" s="296"/>
      <c r="C683" s="76"/>
      <c r="D683" s="77" t="s">
        <v>57</v>
      </c>
      <c r="E683" s="296" t="s">
        <v>69</v>
      </c>
      <c r="F683" s="296"/>
      <c r="G683" s="296"/>
      <c r="H683" s="83" t="s">
        <v>47</v>
      </c>
      <c r="I683" s="307"/>
      <c r="J683" s="307"/>
      <c r="K683" s="81" t="s">
        <v>53</v>
      </c>
      <c r="L683" s="82"/>
      <c r="M683" s="295" t="s">
        <v>68</v>
      </c>
      <c r="N683" s="296"/>
      <c r="O683" s="76"/>
      <c r="P683" s="77" t="s">
        <v>57</v>
      </c>
      <c r="Q683" s="296" t="s">
        <v>69</v>
      </c>
      <c r="R683" s="296"/>
      <c r="S683" s="296"/>
      <c r="T683" s="83" t="s">
        <v>47</v>
      </c>
      <c r="U683" s="307"/>
      <c r="V683" s="307"/>
      <c r="W683" s="81" t="s">
        <v>53</v>
      </c>
      <c r="X683" s="82"/>
    </row>
    <row r="684" spans="1:24" ht="18.75" customHeight="1">
      <c r="A684" s="75" t="s">
        <v>70</v>
      </c>
      <c r="B684" s="73" t="s">
        <v>47</v>
      </c>
      <c r="C684" s="76"/>
      <c r="D684" s="77" t="s">
        <v>57</v>
      </c>
      <c r="E684" s="296" t="s">
        <v>71</v>
      </c>
      <c r="F684" s="296"/>
      <c r="G684" s="296"/>
      <c r="H684" s="73" t="s">
        <v>47</v>
      </c>
      <c r="I684" s="307"/>
      <c r="J684" s="307"/>
      <c r="K684" s="81" t="s">
        <v>53</v>
      </c>
      <c r="L684" s="82"/>
      <c r="M684" s="75" t="s">
        <v>70</v>
      </c>
      <c r="N684" s="73" t="s">
        <v>47</v>
      </c>
      <c r="O684" s="76"/>
      <c r="P684" s="77" t="s">
        <v>57</v>
      </c>
      <c r="Q684" s="296" t="s">
        <v>71</v>
      </c>
      <c r="R684" s="296"/>
      <c r="S684" s="296"/>
      <c r="T684" s="73" t="s">
        <v>47</v>
      </c>
      <c r="U684" s="307"/>
      <c r="V684" s="307"/>
      <c r="W684" s="81" t="s">
        <v>53</v>
      </c>
      <c r="X684" s="82"/>
    </row>
    <row r="685" spans="1:24" ht="18.75" customHeight="1">
      <c r="A685" s="84" t="s">
        <v>72</v>
      </c>
      <c r="B685" s="73"/>
      <c r="C685" s="76">
        <f>'[2]LUONG T7'!M76</f>
        <v>0</v>
      </c>
      <c r="D685" s="77" t="s">
        <v>66</v>
      </c>
      <c r="E685" s="296" t="s">
        <v>73</v>
      </c>
      <c r="F685" s="296"/>
      <c r="G685" s="296"/>
      <c r="H685" s="73" t="s">
        <v>47</v>
      </c>
      <c r="I685" s="307">
        <f>$F$8*C685/8/$L$1</f>
        <v>0</v>
      </c>
      <c r="J685" s="307"/>
      <c r="K685" s="81" t="s">
        <v>53</v>
      </c>
      <c r="L685" s="82"/>
      <c r="M685" s="84" t="s">
        <v>72</v>
      </c>
      <c r="N685" s="73"/>
      <c r="O685" s="76">
        <f>'[2]LUONG T7'!M78</f>
        <v>0</v>
      </c>
      <c r="P685" s="77" t="s">
        <v>66</v>
      </c>
      <c r="Q685" s="296" t="s">
        <v>73</v>
      </c>
      <c r="R685" s="296"/>
      <c r="S685" s="296"/>
      <c r="T685" s="73" t="s">
        <v>47</v>
      </c>
      <c r="U685" s="307">
        <f>$F$8*O685/8/$L$1</f>
        <v>0</v>
      </c>
      <c r="V685" s="307"/>
      <c r="W685" s="81" t="s">
        <v>53</v>
      </c>
      <c r="X685" s="82"/>
    </row>
    <row r="686" spans="1:24" ht="18.75" customHeight="1">
      <c r="A686" s="75" t="s">
        <v>74</v>
      </c>
      <c r="B686" s="73" t="s">
        <v>47</v>
      </c>
      <c r="C686" s="76"/>
      <c r="D686" s="77" t="s">
        <v>66</v>
      </c>
      <c r="E686" s="296" t="s">
        <v>98</v>
      </c>
      <c r="F686" s="296"/>
      <c r="G686" s="296"/>
      <c r="H686" s="73" t="s">
        <v>47</v>
      </c>
      <c r="I686" s="309"/>
      <c r="J686" s="309"/>
      <c r="K686" s="81" t="s">
        <v>53</v>
      </c>
      <c r="L686" s="82"/>
      <c r="M686" s="75" t="s">
        <v>74</v>
      </c>
      <c r="N686" s="73" t="s">
        <v>47</v>
      </c>
      <c r="O686" s="76"/>
      <c r="P686" s="77" t="s">
        <v>66</v>
      </c>
      <c r="Q686" s="296" t="s">
        <v>98</v>
      </c>
      <c r="R686" s="296"/>
      <c r="S686" s="296"/>
      <c r="T686" s="73" t="s">
        <v>47</v>
      </c>
      <c r="U686" s="309"/>
      <c r="V686" s="309"/>
      <c r="W686" s="81" t="s">
        <v>53</v>
      </c>
      <c r="X686" s="82"/>
    </row>
    <row r="687" spans="1:24" ht="18.75" customHeight="1">
      <c r="A687" s="75" t="s">
        <v>76</v>
      </c>
      <c r="B687" s="73" t="s">
        <v>47</v>
      </c>
      <c r="C687" s="76"/>
      <c r="D687" s="77" t="s">
        <v>77</v>
      </c>
      <c r="E687" s="85" t="s">
        <v>78</v>
      </c>
      <c r="F687" s="85"/>
      <c r="G687" s="85"/>
      <c r="H687" s="73" t="s">
        <v>47</v>
      </c>
      <c r="I687" s="307"/>
      <c r="J687" s="307"/>
      <c r="K687" s="81" t="s">
        <v>53</v>
      </c>
      <c r="L687" s="82">
        <f>+IF(L678-I678&lt;0,0,L678-I678)+IF(L682-I682&lt;0,0,L682-I682)</f>
        <v>0</v>
      </c>
      <c r="M687" s="75" t="s">
        <v>76</v>
      </c>
      <c r="N687" s="73" t="s">
        <v>47</v>
      </c>
      <c r="O687" s="76"/>
      <c r="P687" s="77" t="s">
        <v>77</v>
      </c>
      <c r="Q687" s="85" t="s">
        <v>78</v>
      </c>
      <c r="R687" s="85"/>
      <c r="S687" s="85"/>
      <c r="T687" s="73" t="s">
        <v>47</v>
      </c>
      <c r="U687" s="307"/>
      <c r="V687" s="307"/>
      <c r="W687" s="81" t="s">
        <v>53</v>
      </c>
      <c r="X687" s="82">
        <f>+IF(X678-U678&lt;0,0,X678-U678)+IF(X682-U682&lt;0,0,X682-U682)</f>
        <v>0</v>
      </c>
    </row>
    <row r="688" spans="1:24" ht="18.75" customHeight="1">
      <c r="A688" s="86" t="s">
        <v>122</v>
      </c>
      <c r="B688" s="87"/>
      <c r="C688" s="76"/>
      <c r="D688" s="77" t="s">
        <v>57</v>
      </c>
      <c r="E688" s="296" t="s">
        <v>123</v>
      </c>
      <c r="F688" s="296"/>
      <c r="G688" s="296"/>
      <c r="H688" s="73" t="s">
        <v>47</v>
      </c>
      <c r="I688" s="307"/>
      <c r="J688" s="307"/>
      <c r="K688" s="81" t="s">
        <v>53</v>
      </c>
      <c r="L688" s="82"/>
      <c r="M688" s="86" t="s">
        <v>122</v>
      </c>
      <c r="N688" s="87"/>
      <c r="O688" s="76"/>
      <c r="P688" s="77" t="s">
        <v>57</v>
      </c>
      <c r="Q688" s="296" t="s">
        <v>123</v>
      </c>
      <c r="R688" s="296"/>
      <c r="S688" s="296"/>
      <c r="T688" s="73" t="s">
        <v>47</v>
      </c>
      <c r="U688" s="307"/>
      <c r="V688" s="307"/>
      <c r="W688" s="81" t="s">
        <v>53</v>
      </c>
      <c r="X688" s="82"/>
    </row>
    <row r="689" spans="1:24" ht="18.75" customHeight="1">
      <c r="A689" s="314" t="s">
        <v>81</v>
      </c>
      <c r="B689" s="308"/>
      <c r="C689" s="76"/>
      <c r="D689" s="77"/>
      <c r="E689" s="78"/>
      <c r="F689" s="78"/>
      <c r="G689" s="78"/>
      <c r="H689" s="73" t="s">
        <v>47</v>
      </c>
      <c r="I689" s="307">
        <f>'[2]LUONG T7'!P77</f>
        <v>0</v>
      </c>
      <c r="J689" s="307"/>
      <c r="K689" s="81" t="s">
        <v>53</v>
      </c>
      <c r="L689" s="82"/>
      <c r="M689" s="314" t="s">
        <v>81</v>
      </c>
      <c r="N689" s="308"/>
      <c r="O689" s="76"/>
      <c r="P689" s="77"/>
      <c r="Q689" s="78"/>
      <c r="R689" s="78"/>
      <c r="S689" s="78"/>
      <c r="T689" s="73" t="s">
        <v>47</v>
      </c>
      <c r="U689" s="307">
        <f>'[2]LUONG T7'!P79</f>
        <v>0</v>
      </c>
      <c r="V689" s="307"/>
      <c r="W689" s="81" t="s">
        <v>53</v>
      </c>
      <c r="X689" s="82"/>
    </row>
    <row r="690" spans="1:24" ht="18.75" customHeight="1">
      <c r="A690" s="75" t="s">
        <v>82</v>
      </c>
      <c r="B690" s="73" t="s">
        <v>47</v>
      </c>
      <c r="C690" s="76"/>
      <c r="D690" s="77"/>
      <c r="E690" s="78" t="s">
        <v>83</v>
      </c>
      <c r="F690" s="78"/>
      <c r="G690" s="78"/>
      <c r="H690" s="73" t="s">
        <v>47</v>
      </c>
      <c r="I690" s="307">
        <f>L687</f>
        <v>0</v>
      </c>
      <c r="J690" s="307"/>
      <c r="K690" s="81" t="s">
        <v>53</v>
      </c>
      <c r="L690" s="82"/>
      <c r="M690" s="75" t="s">
        <v>82</v>
      </c>
      <c r="N690" s="73" t="s">
        <v>47</v>
      </c>
      <c r="O690" s="76"/>
      <c r="P690" s="77"/>
      <c r="Q690" s="78" t="s">
        <v>83</v>
      </c>
      <c r="R690" s="78"/>
      <c r="S690" s="78"/>
      <c r="T690" s="73" t="s">
        <v>47</v>
      </c>
      <c r="U690" s="307">
        <f>X687</f>
        <v>0</v>
      </c>
      <c r="V690" s="307"/>
      <c r="W690" s="81" t="s">
        <v>53</v>
      </c>
      <c r="X690" s="82"/>
    </row>
    <row r="691" spans="1:24" ht="18.75" customHeight="1">
      <c r="A691" s="311" t="s">
        <v>84</v>
      </c>
      <c r="B691" s="312"/>
      <c r="C691" s="312"/>
      <c r="D691" s="312"/>
      <c r="E691" s="312"/>
      <c r="F691" s="312"/>
      <c r="G691" s="73" t="s">
        <v>47</v>
      </c>
      <c r="H691" s="313">
        <f>I678+I679+I680+I681+I682+I685+I689+I690</f>
        <v>0</v>
      </c>
      <c r="I691" s="313"/>
      <c r="J691" s="313"/>
      <c r="K691" s="81" t="s">
        <v>53</v>
      </c>
      <c r="M691" s="311" t="s">
        <v>84</v>
      </c>
      <c r="N691" s="312"/>
      <c r="O691" s="312"/>
      <c r="P691" s="312"/>
      <c r="Q691" s="312"/>
      <c r="R691" s="312"/>
      <c r="S691" s="73" t="s">
        <v>47</v>
      </c>
      <c r="T691" s="313">
        <f>U678+U679+U680+U681+U682+U685+U689+U690</f>
        <v>0</v>
      </c>
      <c r="U691" s="313"/>
      <c r="V691" s="313"/>
      <c r="W691" s="81" t="s">
        <v>53</v>
      </c>
    </row>
    <row r="692" spans="1:24" ht="18.75" customHeight="1">
      <c r="A692" s="88"/>
      <c r="B692" s="89"/>
      <c r="C692" s="89"/>
      <c r="D692" s="89"/>
      <c r="E692" s="89"/>
      <c r="F692" s="89"/>
      <c r="G692" s="89"/>
      <c r="H692" s="89"/>
      <c r="I692" s="89"/>
      <c r="J692" s="89"/>
      <c r="K692" s="90"/>
      <c r="M692" s="88"/>
      <c r="N692" s="89"/>
      <c r="O692" s="89"/>
      <c r="P692" s="89"/>
      <c r="Q692" s="89"/>
      <c r="R692" s="89"/>
      <c r="S692" s="89"/>
      <c r="T692" s="89"/>
      <c r="U692" s="89"/>
      <c r="V692" s="89"/>
      <c r="W692" s="90"/>
    </row>
    <row r="693" spans="1:24" ht="18.75" customHeight="1">
      <c r="A693" s="321" t="s">
        <v>85</v>
      </c>
      <c r="B693" s="322"/>
      <c r="C693" s="322"/>
      <c r="D693" s="322"/>
      <c r="E693" s="322"/>
      <c r="F693" s="322"/>
      <c r="G693" s="73"/>
      <c r="H693" s="73"/>
      <c r="I693" s="73"/>
      <c r="J693" s="73"/>
      <c r="K693" s="81"/>
      <c r="M693" s="321" t="s">
        <v>85</v>
      </c>
      <c r="N693" s="322"/>
      <c r="O693" s="322"/>
      <c r="P693" s="322"/>
      <c r="Q693" s="322"/>
      <c r="R693" s="322"/>
      <c r="S693" s="73"/>
      <c r="T693" s="73"/>
      <c r="U693" s="73"/>
      <c r="V693" s="73"/>
      <c r="W693" s="81"/>
    </row>
    <row r="694" spans="1:24" ht="18.75" customHeight="1">
      <c r="A694" s="315" t="s">
        <v>86</v>
      </c>
      <c r="B694" s="316"/>
      <c r="C694" s="316"/>
      <c r="D694" s="316"/>
      <c r="E694" s="316"/>
      <c r="F694" s="316"/>
      <c r="G694" s="73" t="s">
        <v>47</v>
      </c>
      <c r="H694" s="323">
        <f>IF(($L$1-(C678+C679+C680+C681))&gt;12,0,F675*8%)</f>
        <v>0</v>
      </c>
      <c r="I694" s="323"/>
      <c r="J694" s="323"/>
      <c r="K694" s="81" t="s">
        <v>53</v>
      </c>
      <c r="M694" s="315" t="s">
        <v>86</v>
      </c>
      <c r="N694" s="316"/>
      <c r="O694" s="316"/>
      <c r="P694" s="316"/>
      <c r="Q694" s="316"/>
      <c r="R694" s="316"/>
      <c r="S694" s="73" t="s">
        <v>47</v>
      </c>
      <c r="T694" s="323">
        <f>IF(($L$1-(O678+O679+O680+O681))&gt;12,0,R675*8%)</f>
        <v>0</v>
      </c>
      <c r="U694" s="323"/>
      <c r="V694" s="323"/>
      <c r="W694" s="81" t="s">
        <v>53</v>
      </c>
    </row>
    <row r="695" spans="1:24" ht="18.75" customHeight="1">
      <c r="A695" s="315" t="s">
        <v>87</v>
      </c>
      <c r="B695" s="316"/>
      <c r="C695" s="316"/>
      <c r="D695" s="316"/>
      <c r="E695" s="316"/>
      <c r="F695" s="316"/>
      <c r="G695" s="73" t="s">
        <v>47</v>
      </c>
      <c r="H695" s="317">
        <f>IF(($L$1-(C678+C679+C680+C681))&gt;12,0,F675*1.5%)</f>
        <v>0</v>
      </c>
      <c r="I695" s="317"/>
      <c r="J695" s="317"/>
      <c r="K695" s="81" t="s">
        <v>53</v>
      </c>
      <c r="M695" s="315" t="s">
        <v>87</v>
      </c>
      <c r="N695" s="316"/>
      <c r="O695" s="316"/>
      <c r="P695" s="316"/>
      <c r="Q695" s="316"/>
      <c r="R695" s="316"/>
      <c r="S695" s="73" t="s">
        <v>47</v>
      </c>
      <c r="T695" s="317">
        <f>IF(($L$1-(O678+O679+O680+O681))&gt;12,0,R675*1.5%)</f>
        <v>0</v>
      </c>
      <c r="U695" s="317"/>
      <c r="V695" s="317"/>
      <c r="W695" s="81" t="s">
        <v>53</v>
      </c>
    </row>
    <row r="696" spans="1:24" ht="18.75" customHeight="1">
      <c r="A696" s="315" t="s">
        <v>88</v>
      </c>
      <c r="B696" s="316"/>
      <c r="C696" s="316"/>
      <c r="D696" s="316"/>
      <c r="E696" s="316"/>
      <c r="F696" s="316"/>
      <c r="G696" s="73" t="s">
        <v>47</v>
      </c>
      <c r="H696" s="317">
        <f>IF(($L$1-(C678+C679+C680+C681))&gt;12,0,F675*1%)</f>
        <v>0</v>
      </c>
      <c r="I696" s="317"/>
      <c r="J696" s="317"/>
      <c r="K696" s="81" t="s">
        <v>53</v>
      </c>
      <c r="M696" s="315" t="s">
        <v>88</v>
      </c>
      <c r="N696" s="316"/>
      <c r="O696" s="316"/>
      <c r="P696" s="316"/>
      <c r="Q696" s="316"/>
      <c r="R696" s="316"/>
      <c r="S696" s="73" t="s">
        <v>47</v>
      </c>
      <c r="T696" s="317">
        <f>IF(($L$1-(O678+O679+O680+O681))&gt;12,0,R675*1%)</f>
        <v>0</v>
      </c>
      <c r="U696" s="317"/>
      <c r="V696" s="317"/>
      <c r="W696" s="81" t="s">
        <v>53</v>
      </c>
    </row>
    <row r="697" spans="1:24" ht="18.75" customHeight="1">
      <c r="A697" s="315" t="s">
        <v>89</v>
      </c>
      <c r="B697" s="316"/>
      <c r="C697" s="316"/>
      <c r="D697" s="316"/>
      <c r="E697" s="316"/>
      <c r="F697" s="316"/>
      <c r="G697" s="73" t="s">
        <v>47</v>
      </c>
      <c r="H697" s="317">
        <v>0</v>
      </c>
      <c r="I697" s="317"/>
      <c r="J697" s="317"/>
      <c r="K697" s="81" t="s">
        <v>53</v>
      </c>
      <c r="M697" s="315" t="s">
        <v>89</v>
      </c>
      <c r="N697" s="316"/>
      <c r="O697" s="316"/>
      <c r="P697" s="316"/>
      <c r="Q697" s="316"/>
      <c r="R697" s="316"/>
      <c r="S697" s="73" t="s">
        <v>47</v>
      </c>
      <c r="T697" s="317">
        <v>0</v>
      </c>
      <c r="U697" s="317"/>
      <c r="V697" s="317"/>
      <c r="W697" s="81" t="s">
        <v>53</v>
      </c>
    </row>
    <row r="698" spans="1:24" ht="18.75" customHeight="1">
      <c r="A698" s="318" t="s">
        <v>90</v>
      </c>
      <c r="B698" s="319"/>
      <c r="C698" s="319"/>
      <c r="D698" s="319"/>
      <c r="E698" s="319"/>
      <c r="F698" s="319"/>
      <c r="G698" s="73" t="s">
        <v>47</v>
      </c>
      <c r="H698" s="320">
        <f>SUM(H694:J697)</f>
        <v>0</v>
      </c>
      <c r="I698" s="320"/>
      <c r="J698" s="320"/>
      <c r="K698" s="81" t="s">
        <v>53</v>
      </c>
      <c r="M698" s="318" t="s">
        <v>90</v>
      </c>
      <c r="N698" s="319"/>
      <c r="O698" s="319"/>
      <c r="P698" s="319"/>
      <c r="Q698" s="319"/>
      <c r="R698" s="319"/>
      <c r="S698" s="73" t="s">
        <v>47</v>
      </c>
      <c r="T698" s="320">
        <f>SUM(T694:V697)</f>
        <v>0</v>
      </c>
      <c r="U698" s="320"/>
      <c r="V698" s="320"/>
      <c r="W698" s="81" t="s">
        <v>53</v>
      </c>
    </row>
    <row r="699" spans="1:24" ht="18.75" customHeight="1">
      <c r="A699" s="315" t="s">
        <v>91</v>
      </c>
      <c r="B699" s="316"/>
      <c r="C699" s="316"/>
      <c r="D699" s="316"/>
      <c r="E699" s="316"/>
      <c r="F699" s="316"/>
      <c r="G699" s="73" t="s">
        <v>47</v>
      </c>
      <c r="H699" s="327">
        <f>ROUND(H691-H698,-2)</f>
        <v>0</v>
      </c>
      <c r="I699" s="327"/>
      <c r="J699" s="327"/>
      <c r="K699" s="81" t="s">
        <v>53</v>
      </c>
      <c r="M699" s="315" t="s">
        <v>91</v>
      </c>
      <c r="N699" s="316"/>
      <c r="O699" s="316"/>
      <c r="P699" s="316"/>
      <c r="Q699" s="316"/>
      <c r="R699" s="316"/>
      <c r="S699" s="73" t="s">
        <v>47</v>
      </c>
      <c r="T699" s="327">
        <f>ROUND(T691-T698,-2)</f>
        <v>0</v>
      </c>
      <c r="U699" s="327"/>
      <c r="V699" s="327"/>
      <c r="W699" s="81" t="s">
        <v>53</v>
      </c>
    </row>
    <row r="700" spans="1:24" ht="18.75" customHeight="1">
      <c r="A700" s="91"/>
      <c r="B700" s="92"/>
      <c r="C700" s="92"/>
      <c r="D700" s="92"/>
      <c r="E700" s="92"/>
      <c r="F700" s="92"/>
      <c r="G700" s="92"/>
      <c r="H700" s="92"/>
      <c r="I700" s="92"/>
      <c r="J700" s="92"/>
      <c r="K700" s="93"/>
      <c r="M700" s="91"/>
      <c r="N700" s="92"/>
      <c r="O700" s="92"/>
      <c r="P700" s="92"/>
      <c r="Q700" s="92"/>
      <c r="R700" s="92"/>
      <c r="S700" s="92"/>
      <c r="T700" s="92"/>
      <c r="U700" s="92"/>
      <c r="V700" s="92"/>
      <c r="W700" s="93"/>
    </row>
    <row r="701" spans="1:24" ht="18.75" customHeight="1">
      <c r="A701" s="94"/>
      <c r="B701" s="73"/>
      <c r="C701" s="73"/>
      <c r="D701" s="73"/>
      <c r="E701" s="73"/>
      <c r="F701" s="73"/>
      <c r="G701" s="73"/>
      <c r="H701" s="73"/>
      <c r="I701" s="324" t="s">
        <v>92</v>
      </c>
      <c r="J701" s="324"/>
      <c r="K701" s="328"/>
      <c r="M701" s="94"/>
      <c r="N701" s="73"/>
      <c r="O701" s="73"/>
      <c r="P701" s="73"/>
      <c r="Q701" s="73"/>
      <c r="R701" s="73"/>
      <c r="S701" s="73"/>
      <c r="T701" s="73"/>
      <c r="U701" s="324" t="s">
        <v>92</v>
      </c>
      <c r="V701" s="324"/>
      <c r="W701" s="328"/>
    </row>
    <row r="702" spans="1:24" ht="18.75" customHeight="1">
      <c r="A702" s="94"/>
      <c r="B702" s="324"/>
      <c r="C702" s="324"/>
      <c r="D702" s="324"/>
      <c r="E702" s="324"/>
      <c r="F702" s="73"/>
      <c r="G702" s="73"/>
      <c r="H702" s="73"/>
      <c r="I702" s="73"/>
      <c r="J702" s="73"/>
      <c r="K702" s="74"/>
      <c r="M702" s="94"/>
      <c r="N702" s="324"/>
      <c r="O702" s="324"/>
      <c r="P702" s="324"/>
      <c r="Q702" s="324"/>
      <c r="R702" s="73"/>
      <c r="S702" s="73"/>
      <c r="T702" s="73"/>
      <c r="U702" s="73"/>
      <c r="V702" s="73"/>
      <c r="W702" s="74"/>
    </row>
    <row r="703" spans="1:24" ht="18.75" customHeight="1" thickBot="1">
      <c r="A703" s="95"/>
      <c r="B703" s="96"/>
      <c r="C703" s="96"/>
      <c r="D703" s="96"/>
      <c r="E703" s="96"/>
      <c r="F703" s="96"/>
      <c r="G703" s="96"/>
      <c r="H703" s="96"/>
      <c r="I703" s="325" t="s">
        <v>93</v>
      </c>
      <c r="J703" s="325"/>
      <c r="K703" s="326"/>
      <c r="M703" s="95"/>
      <c r="N703" s="96"/>
      <c r="O703" s="96"/>
      <c r="P703" s="96"/>
      <c r="Q703" s="96"/>
      <c r="R703" s="96"/>
      <c r="S703" s="96"/>
      <c r="T703" s="96"/>
      <c r="U703" s="325" t="s">
        <v>93</v>
      </c>
      <c r="V703" s="325"/>
      <c r="W703" s="326"/>
    </row>
    <row r="705" spans="1:24" ht="18.75" customHeight="1" thickTop="1">
      <c r="A705" s="300" t="s">
        <v>41</v>
      </c>
      <c r="B705" s="301"/>
      <c r="C705" s="301"/>
      <c r="D705" s="301"/>
      <c r="E705" s="301"/>
      <c r="F705" s="301"/>
      <c r="G705" s="301"/>
      <c r="H705" s="301"/>
      <c r="I705" s="301"/>
      <c r="J705" s="301"/>
      <c r="K705" s="302"/>
      <c r="L705" s="69">
        <v>25</v>
      </c>
      <c r="M705" s="300" t="s">
        <v>41</v>
      </c>
      <c r="N705" s="301"/>
      <c r="O705" s="301"/>
      <c r="P705" s="301"/>
      <c r="Q705" s="301"/>
      <c r="R705" s="301"/>
      <c r="S705" s="301"/>
      <c r="T705" s="301"/>
      <c r="U705" s="301"/>
      <c r="V705" s="301"/>
      <c r="W705" s="302"/>
      <c r="X705" s="69">
        <v>25</v>
      </c>
    </row>
    <row r="706" spans="1:24" ht="18.75" customHeight="1">
      <c r="A706" s="70" t="s">
        <v>146</v>
      </c>
      <c r="B706" s="71"/>
      <c r="C706" s="71"/>
      <c r="D706" s="71"/>
      <c r="E706" s="71"/>
      <c r="F706" s="71"/>
      <c r="G706" s="71"/>
      <c r="H706" s="71"/>
      <c r="I706" s="71"/>
      <c r="J706" s="71"/>
      <c r="K706" s="72"/>
      <c r="M706" s="70" t="s">
        <v>147</v>
      </c>
      <c r="N706" s="71"/>
      <c r="O706" s="71"/>
      <c r="P706" s="71"/>
      <c r="Q706" s="71"/>
      <c r="R706" s="71"/>
      <c r="S706" s="71"/>
      <c r="T706" s="71"/>
      <c r="U706" s="71"/>
      <c r="V706" s="71"/>
      <c r="W706" s="72"/>
    </row>
    <row r="707" spans="1:24" ht="18.75" customHeight="1">
      <c r="A707" s="303" t="s">
        <v>45</v>
      </c>
      <c r="B707" s="304"/>
      <c r="C707" s="304"/>
      <c r="D707" s="304"/>
      <c r="E707" s="304"/>
      <c r="F707" s="304"/>
      <c r="G707" s="304"/>
      <c r="H707" s="304"/>
      <c r="I707" s="304"/>
      <c r="J707" s="304"/>
      <c r="K707" s="305"/>
      <c r="M707" s="303" t="s">
        <v>45</v>
      </c>
      <c r="N707" s="304"/>
      <c r="O707" s="304"/>
      <c r="P707" s="304"/>
      <c r="Q707" s="304"/>
      <c r="R707" s="304"/>
      <c r="S707" s="304"/>
      <c r="T707" s="304"/>
      <c r="U707" s="304"/>
      <c r="V707" s="304"/>
      <c r="W707" s="305"/>
    </row>
    <row r="708" spans="1:24" ht="18.75" customHeight="1">
      <c r="A708" s="295" t="s">
        <v>46</v>
      </c>
      <c r="B708" s="296"/>
      <c r="C708" s="296"/>
      <c r="D708" s="296"/>
      <c r="E708" s="73" t="s">
        <v>47</v>
      </c>
      <c r="F708" s="297">
        <f>'[2]Bang TH nop'!B77</f>
        <v>0</v>
      </c>
      <c r="G708" s="296"/>
      <c r="H708" s="296"/>
      <c r="I708" s="296"/>
      <c r="J708" s="296"/>
      <c r="K708" s="299"/>
      <c r="M708" s="295" t="s">
        <v>46</v>
      </c>
      <c r="N708" s="296"/>
      <c r="O708" s="296"/>
      <c r="P708" s="296"/>
      <c r="Q708" s="73" t="s">
        <v>47</v>
      </c>
      <c r="R708" s="297">
        <f>'[2]Bang TH nop'!B79</f>
        <v>0</v>
      </c>
      <c r="S708" s="296"/>
      <c r="T708" s="296"/>
      <c r="U708" s="296"/>
      <c r="V708" s="296"/>
      <c r="W708" s="299"/>
    </row>
    <row r="709" spans="1:24" ht="18.75" customHeight="1">
      <c r="A709" s="295" t="s">
        <v>49</v>
      </c>
      <c r="B709" s="296"/>
      <c r="C709" s="296"/>
      <c r="D709" s="296"/>
      <c r="E709" s="73" t="s">
        <v>47</v>
      </c>
      <c r="F709" s="297">
        <f>'[2]Bang TH nop'!C77</f>
        <v>0</v>
      </c>
      <c r="G709" s="297"/>
      <c r="H709" s="297"/>
      <c r="I709" s="297"/>
      <c r="J709" s="297"/>
      <c r="K709" s="298"/>
      <c r="M709" s="295" t="s">
        <v>49</v>
      </c>
      <c r="N709" s="296"/>
      <c r="O709" s="296"/>
      <c r="P709" s="296"/>
      <c r="Q709" s="73" t="s">
        <v>47</v>
      </c>
      <c r="R709" s="297">
        <f>'[2]Bang TH nop'!C79</f>
        <v>0</v>
      </c>
      <c r="S709" s="297"/>
      <c r="T709" s="297"/>
      <c r="U709" s="297"/>
      <c r="V709" s="297"/>
      <c r="W709" s="298"/>
    </row>
    <row r="710" spans="1:24" ht="18.75" customHeight="1">
      <c r="A710" s="295" t="s">
        <v>50</v>
      </c>
      <c r="B710" s="296"/>
      <c r="C710" s="296"/>
      <c r="D710" s="296"/>
      <c r="E710" s="73" t="s">
        <v>47</v>
      </c>
      <c r="F710" s="296" t="s">
        <v>121</v>
      </c>
      <c r="G710" s="296"/>
      <c r="H710" s="296"/>
      <c r="I710" s="296"/>
      <c r="J710" s="296"/>
      <c r="K710" s="299"/>
      <c r="M710" s="295" t="s">
        <v>50</v>
      </c>
      <c r="N710" s="296"/>
      <c r="O710" s="296"/>
      <c r="P710" s="296"/>
      <c r="Q710" s="73" t="s">
        <v>47</v>
      </c>
      <c r="R710" s="296" t="s">
        <v>121</v>
      </c>
      <c r="S710" s="296"/>
      <c r="T710" s="296"/>
      <c r="U710" s="296"/>
      <c r="V710" s="296"/>
      <c r="W710" s="299"/>
    </row>
    <row r="711" spans="1:24" ht="18.75" customHeight="1">
      <c r="A711" s="303" t="s">
        <v>51</v>
      </c>
      <c r="B711" s="304"/>
      <c r="C711" s="304"/>
      <c r="D711" s="304"/>
      <c r="E711" s="304"/>
      <c r="F711" s="304"/>
      <c r="G711" s="304"/>
      <c r="H711" s="304"/>
      <c r="I711" s="304"/>
      <c r="J711" s="304"/>
      <c r="K711" s="305"/>
      <c r="M711" s="303" t="s">
        <v>51</v>
      </c>
      <c r="N711" s="304"/>
      <c r="O711" s="304"/>
      <c r="P711" s="304"/>
      <c r="Q711" s="304"/>
      <c r="R711" s="304"/>
      <c r="S711" s="304"/>
      <c r="T711" s="304"/>
      <c r="U711" s="304"/>
      <c r="V711" s="304"/>
      <c r="W711" s="305"/>
    </row>
    <row r="712" spans="1:24" ht="18.75" customHeight="1">
      <c r="A712" s="295" t="s">
        <v>52</v>
      </c>
      <c r="B712" s="296"/>
      <c r="C712" s="296"/>
      <c r="D712" s="296"/>
      <c r="E712" s="73" t="s">
        <v>47</v>
      </c>
      <c r="F712" s="310">
        <v>2915400</v>
      </c>
      <c r="G712" s="310"/>
      <c r="H712" s="310"/>
      <c r="I712" s="310"/>
      <c r="J712" s="73" t="s">
        <v>53</v>
      </c>
      <c r="K712" s="74"/>
      <c r="M712" s="295" t="s">
        <v>52</v>
      </c>
      <c r="N712" s="296"/>
      <c r="O712" s="296"/>
      <c r="P712" s="296"/>
      <c r="Q712" s="73" t="s">
        <v>47</v>
      </c>
      <c r="R712" s="310">
        <v>2915400</v>
      </c>
      <c r="S712" s="310"/>
      <c r="T712" s="310"/>
      <c r="U712" s="310"/>
      <c r="V712" s="73" t="s">
        <v>53</v>
      </c>
      <c r="W712" s="74"/>
    </row>
    <row r="713" spans="1:24" ht="18.75" customHeight="1">
      <c r="A713" s="75" t="s">
        <v>54</v>
      </c>
      <c r="B713" s="73"/>
      <c r="C713" s="76"/>
      <c r="D713" s="77"/>
      <c r="E713" s="78"/>
      <c r="F713" s="78"/>
      <c r="G713" s="78"/>
      <c r="H713" s="73"/>
      <c r="I713" s="79">
        <f>'[2]LUONG T7'!F81</f>
        <v>0</v>
      </c>
      <c r="J713" s="80"/>
      <c r="K713" s="81"/>
      <c r="M713" s="75" t="s">
        <v>54</v>
      </c>
      <c r="N713" s="73"/>
      <c r="O713" s="76"/>
      <c r="P713" s="77"/>
      <c r="Q713" s="78"/>
      <c r="R713" s="78"/>
      <c r="S713" s="78"/>
      <c r="T713" s="73"/>
      <c r="U713" s="79">
        <f>'[2]LUONG T7'!F83</f>
        <v>0</v>
      </c>
      <c r="V713" s="80"/>
      <c r="W713" s="81"/>
    </row>
    <row r="714" spans="1:24" ht="18.75" customHeight="1">
      <c r="A714" s="75" t="s">
        <v>55</v>
      </c>
      <c r="B714" s="73"/>
      <c r="C714" s="76"/>
      <c r="D714" s="77"/>
      <c r="E714" s="78"/>
      <c r="F714" s="78"/>
      <c r="G714" s="78"/>
      <c r="H714" s="73"/>
      <c r="I714" s="79" t="e">
        <f>I715/C715/8</f>
        <v>#DIV/0!</v>
      </c>
      <c r="J714" s="80"/>
      <c r="K714" s="81"/>
      <c r="M714" s="75" t="s">
        <v>55</v>
      </c>
      <c r="N714" s="73"/>
      <c r="O714" s="76"/>
      <c r="P714" s="77"/>
      <c r="Q714" s="78"/>
      <c r="R714" s="78"/>
      <c r="S714" s="78"/>
      <c r="T714" s="73"/>
      <c r="U714" s="79" t="e">
        <f>U715/O715/8</f>
        <v>#DIV/0!</v>
      </c>
      <c r="V714" s="80"/>
      <c r="W714" s="81"/>
    </row>
    <row r="715" spans="1:24" ht="18.75" customHeight="1">
      <c r="A715" s="75" t="s">
        <v>56</v>
      </c>
      <c r="B715" s="73" t="s">
        <v>47</v>
      </c>
      <c r="C715" s="76">
        <f>'[2]LUONG T7'!I80</f>
        <v>0</v>
      </c>
      <c r="D715" s="77" t="s">
        <v>57</v>
      </c>
      <c r="E715" s="308" t="s">
        <v>58</v>
      </c>
      <c r="F715" s="308"/>
      <c r="G715" s="308"/>
      <c r="H715" s="73" t="s">
        <v>47</v>
      </c>
      <c r="I715" s="309">
        <f>'[2]LUONG T7'!I81</f>
        <v>0</v>
      </c>
      <c r="J715" s="309"/>
      <c r="K715" s="81" t="s">
        <v>53</v>
      </c>
      <c r="L715" s="82">
        <f>F712/L705*C715</f>
        <v>0</v>
      </c>
      <c r="M715" s="75" t="s">
        <v>56</v>
      </c>
      <c r="N715" s="73" t="s">
        <v>47</v>
      </c>
      <c r="O715" s="76">
        <f>'[2]LUONG T7'!I82</f>
        <v>0</v>
      </c>
      <c r="P715" s="77" t="s">
        <v>57</v>
      </c>
      <c r="Q715" s="308" t="s">
        <v>58</v>
      </c>
      <c r="R715" s="308"/>
      <c r="S715" s="308"/>
      <c r="T715" s="73" t="s">
        <v>47</v>
      </c>
      <c r="U715" s="309">
        <f>'[2]LUONG T7'!I83</f>
        <v>0</v>
      </c>
      <c r="V715" s="309"/>
      <c r="W715" s="81" t="s">
        <v>53</v>
      </c>
      <c r="X715" s="82">
        <f>R712/X705*O715</f>
        <v>0</v>
      </c>
    </row>
    <row r="716" spans="1:24" ht="18.75" customHeight="1">
      <c r="A716" s="75" t="s">
        <v>59</v>
      </c>
      <c r="B716" s="73" t="s">
        <v>47</v>
      </c>
      <c r="C716" s="76">
        <f>'[2]LUONG T7'!J80</f>
        <v>0</v>
      </c>
      <c r="D716" s="77" t="s">
        <v>57</v>
      </c>
      <c r="E716" s="296" t="s">
        <v>60</v>
      </c>
      <c r="F716" s="296"/>
      <c r="G716" s="296"/>
      <c r="H716" s="73" t="s">
        <v>47</v>
      </c>
      <c r="I716" s="307">
        <f>$F$8/$L$1*C716</f>
        <v>0</v>
      </c>
      <c r="J716" s="307"/>
      <c r="K716" s="81" t="s">
        <v>53</v>
      </c>
      <c r="L716" s="82"/>
      <c r="M716" s="75" t="s">
        <v>59</v>
      </c>
      <c r="N716" s="73" t="s">
        <v>47</v>
      </c>
      <c r="O716" s="76">
        <f>'[2]LUONG T7'!J82</f>
        <v>0</v>
      </c>
      <c r="P716" s="77" t="s">
        <v>57</v>
      </c>
      <c r="Q716" s="296" t="s">
        <v>60</v>
      </c>
      <c r="R716" s="296"/>
      <c r="S716" s="296"/>
      <c r="T716" s="73" t="s">
        <v>47</v>
      </c>
      <c r="U716" s="307">
        <f>$F$8/$L$1*O716</f>
        <v>0</v>
      </c>
      <c r="V716" s="307"/>
      <c r="W716" s="81" t="s">
        <v>53</v>
      </c>
      <c r="X716" s="82"/>
    </row>
    <row r="717" spans="1:24" ht="18.75" customHeight="1">
      <c r="A717" s="75" t="s">
        <v>61</v>
      </c>
      <c r="B717" s="73" t="s">
        <v>47</v>
      </c>
      <c r="C717" s="76">
        <f>'[2]LUONG T7'!K80</f>
        <v>0</v>
      </c>
      <c r="D717" s="77" t="s">
        <v>57</v>
      </c>
      <c r="E717" s="306" t="s">
        <v>62</v>
      </c>
      <c r="F717" s="306"/>
      <c r="G717" s="306"/>
      <c r="H717" s="73" t="s">
        <v>47</v>
      </c>
      <c r="I717" s="307">
        <f>$F$8/$L$1*C717</f>
        <v>0</v>
      </c>
      <c r="J717" s="307"/>
      <c r="K717" s="81" t="s">
        <v>53</v>
      </c>
      <c r="L717" s="82"/>
      <c r="M717" s="75" t="s">
        <v>61</v>
      </c>
      <c r="N717" s="73" t="s">
        <v>47</v>
      </c>
      <c r="O717" s="76">
        <f>'[2]LUONG T7'!K82</f>
        <v>0</v>
      </c>
      <c r="P717" s="77" t="s">
        <v>57</v>
      </c>
      <c r="Q717" s="306" t="s">
        <v>62</v>
      </c>
      <c r="R717" s="306"/>
      <c r="S717" s="306"/>
      <c r="T717" s="73" t="s">
        <v>47</v>
      </c>
      <c r="U717" s="307">
        <f>$F$8/$L$1*O717</f>
        <v>0</v>
      </c>
      <c r="V717" s="307"/>
      <c r="W717" s="81" t="s">
        <v>53</v>
      </c>
      <c r="X717" s="82"/>
    </row>
    <row r="718" spans="1:24" ht="18.75" customHeight="1">
      <c r="A718" s="75" t="s">
        <v>63</v>
      </c>
      <c r="B718" s="73" t="s">
        <v>47</v>
      </c>
      <c r="C718" s="76">
        <f>'[2]LUONG T7'!K80</f>
        <v>0</v>
      </c>
      <c r="D718" s="77" t="s">
        <v>57</v>
      </c>
      <c r="E718" s="306" t="s">
        <v>64</v>
      </c>
      <c r="F718" s="306"/>
      <c r="G718" s="306"/>
      <c r="H718" s="73" t="s">
        <v>47</v>
      </c>
      <c r="I718" s="307">
        <f>$F$8/$L$1*C718</f>
        <v>0</v>
      </c>
      <c r="J718" s="307"/>
      <c r="K718" s="81" t="s">
        <v>53</v>
      </c>
      <c r="L718" s="82"/>
      <c r="M718" s="75" t="s">
        <v>63</v>
      </c>
      <c r="N718" s="73" t="s">
        <v>47</v>
      </c>
      <c r="O718" s="76">
        <f>'[2]LUONG T7'!L82</f>
        <v>0</v>
      </c>
      <c r="P718" s="77" t="s">
        <v>57</v>
      </c>
      <c r="Q718" s="306" t="s">
        <v>64</v>
      </c>
      <c r="R718" s="306"/>
      <c r="S718" s="306"/>
      <c r="T718" s="73" t="s">
        <v>47</v>
      </c>
      <c r="U718" s="307">
        <f>$F$8/$L$1*O718</f>
        <v>0</v>
      </c>
      <c r="V718" s="307"/>
      <c r="W718" s="81" t="s">
        <v>53</v>
      </c>
      <c r="X718" s="82"/>
    </row>
    <row r="719" spans="1:24" ht="18.75" customHeight="1">
      <c r="A719" s="75" t="s">
        <v>65</v>
      </c>
      <c r="B719" s="73" t="s">
        <v>47</v>
      </c>
      <c r="C719" s="76">
        <f>'[2]LUONG T7'!Q80</f>
        <v>0</v>
      </c>
      <c r="D719" s="77" t="s">
        <v>66</v>
      </c>
      <c r="E719" s="296" t="s">
        <v>67</v>
      </c>
      <c r="F719" s="296"/>
      <c r="G719" s="296"/>
      <c r="H719" s="73" t="s">
        <v>47</v>
      </c>
      <c r="I719" s="307">
        <f>'[2]LUONG T7'!Q81</f>
        <v>0</v>
      </c>
      <c r="J719" s="307"/>
      <c r="K719" s="81" t="s">
        <v>53</v>
      </c>
      <c r="L719" s="82">
        <f>F712*C719/L705/8*1.5</f>
        <v>0</v>
      </c>
      <c r="M719" s="75" t="s">
        <v>65</v>
      </c>
      <c r="N719" s="73" t="s">
        <v>47</v>
      </c>
      <c r="O719" s="76">
        <f>'[2]LUONG T7'!Q82</f>
        <v>0</v>
      </c>
      <c r="P719" s="77" t="s">
        <v>66</v>
      </c>
      <c r="Q719" s="296" t="s">
        <v>67</v>
      </c>
      <c r="R719" s="296"/>
      <c r="S719" s="296"/>
      <c r="T719" s="73" t="s">
        <v>47</v>
      </c>
      <c r="U719" s="307">
        <f>'[2]LUONG T7'!Q83</f>
        <v>0</v>
      </c>
      <c r="V719" s="307"/>
      <c r="W719" s="81" t="s">
        <v>53</v>
      </c>
      <c r="X719" s="82">
        <f>R712*O719/X705/8*1.5</f>
        <v>0</v>
      </c>
    </row>
    <row r="720" spans="1:24" ht="18.75" customHeight="1">
      <c r="A720" s="295" t="s">
        <v>68</v>
      </c>
      <c r="B720" s="296"/>
      <c r="C720" s="76"/>
      <c r="D720" s="77" t="s">
        <v>57</v>
      </c>
      <c r="E720" s="296" t="s">
        <v>69</v>
      </c>
      <c r="F720" s="296"/>
      <c r="G720" s="296"/>
      <c r="H720" s="83" t="s">
        <v>47</v>
      </c>
      <c r="I720" s="307"/>
      <c r="J720" s="307"/>
      <c r="K720" s="81" t="s">
        <v>53</v>
      </c>
      <c r="L720" s="82"/>
      <c r="M720" s="295" t="s">
        <v>68</v>
      </c>
      <c r="N720" s="296"/>
      <c r="O720" s="76"/>
      <c r="P720" s="77" t="s">
        <v>57</v>
      </c>
      <c r="Q720" s="296" t="s">
        <v>69</v>
      </c>
      <c r="R720" s="296"/>
      <c r="S720" s="296"/>
      <c r="T720" s="83" t="s">
        <v>47</v>
      </c>
      <c r="U720" s="307"/>
      <c r="V720" s="307"/>
      <c r="W720" s="81" t="s">
        <v>53</v>
      </c>
      <c r="X720" s="82"/>
    </row>
    <row r="721" spans="1:24" ht="18.75" customHeight="1">
      <c r="A721" s="75" t="s">
        <v>70</v>
      </c>
      <c r="B721" s="73" t="s">
        <v>47</v>
      </c>
      <c r="C721" s="76"/>
      <c r="D721" s="77" t="s">
        <v>57</v>
      </c>
      <c r="E721" s="296" t="s">
        <v>71</v>
      </c>
      <c r="F721" s="296"/>
      <c r="G721" s="296"/>
      <c r="H721" s="73" t="s">
        <v>47</v>
      </c>
      <c r="I721" s="307"/>
      <c r="J721" s="307"/>
      <c r="K721" s="81" t="s">
        <v>53</v>
      </c>
      <c r="L721" s="82"/>
      <c r="M721" s="75" t="s">
        <v>70</v>
      </c>
      <c r="N721" s="73" t="s">
        <v>47</v>
      </c>
      <c r="O721" s="76"/>
      <c r="P721" s="77" t="s">
        <v>57</v>
      </c>
      <c r="Q721" s="296" t="s">
        <v>71</v>
      </c>
      <c r="R721" s="296"/>
      <c r="S721" s="296"/>
      <c r="T721" s="73" t="s">
        <v>47</v>
      </c>
      <c r="U721" s="307"/>
      <c r="V721" s="307"/>
      <c r="W721" s="81" t="s">
        <v>53</v>
      </c>
      <c r="X721" s="82"/>
    </row>
    <row r="722" spans="1:24" ht="18.75" customHeight="1">
      <c r="A722" s="84" t="s">
        <v>72</v>
      </c>
      <c r="B722" s="73"/>
      <c r="C722" s="76">
        <f>'[2]LUONG T7'!M80</f>
        <v>0</v>
      </c>
      <c r="D722" s="77" t="s">
        <v>66</v>
      </c>
      <c r="E722" s="296" t="s">
        <v>73</v>
      </c>
      <c r="F722" s="296"/>
      <c r="G722" s="296"/>
      <c r="H722" s="73" t="s">
        <v>47</v>
      </c>
      <c r="I722" s="307">
        <f>$F$8*C722/8/$L$1</f>
        <v>0</v>
      </c>
      <c r="J722" s="307"/>
      <c r="K722" s="81" t="s">
        <v>53</v>
      </c>
      <c r="L722" s="82"/>
      <c r="M722" s="84" t="s">
        <v>72</v>
      </c>
      <c r="N722" s="73"/>
      <c r="O722" s="76">
        <f>'[2]LUONG T7'!M82</f>
        <v>0</v>
      </c>
      <c r="P722" s="77" t="s">
        <v>66</v>
      </c>
      <c r="Q722" s="296" t="s">
        <v>73</v>
      </c>
      <c r="R722" s="296"/>
      <c r="S722" s="296"/>
      <c r="T722" s="73" t="s">
        <v>47</v>
      </c>
      <c r="U722" s="307">
        <f>$F$8*O722/8/$L$1</f>
        <v>0</v>
      </c>
      <c r="V722" s="307"/>
      <c r="W722" s="81" t="s">
        <v>53</v>
      </c>
      <c r="X722" s="82"/>
    </row>
    <row r="723" spans="1:24" ht="18.75" customHeight="1">
      <c r="A723" s="75" t="s">
        <v>74</v>
      </c>
      <c r="B723" s="73" t="s">
        <v>47</v>
      </c>
      <c r="C723" s="76"/>
      <c r="D723" s="77" t="s">
        <v>66</v>
      </c>
      <c r="E723" s="296" t="s">
        <v>98</v>
      </c>
      <c r="F723" s="296"/>
      <c r="G723" s="296"/>
      <c r="H723" s="73" t="s">
        <v>47</v>
      </c>
      <c r="I723" s="309"/>
      <c r="J723" s="309"/>
      <c r="K723" s="81" t="s">
        <v>53</v>
      </c>
      <c r="L723" s="82"/>
      <c r="M723" s="75" t="s">
        <v>74</v>
      </c>
      <c r="N723" s="73" t="s">
        <v>47</v>
      </c>
      <c r="O723" s="76"/>
      <c r="P723" s="77" t="s">
        <v>66</v>
      </c>
      <c r="Q723" s="296" t="s">
        <v>98</v>
      </c>
      <c r="R723" s="296"/>
      <c r="S723" s="296"/>
      <c r="T723" s="73" t="s">
        <v>47</v>
      </c>
      <c r="U723" s="309"/>
      <c r="V723" s="309"/>
      <c r="W723" s="81" t="s">
        <v>53</v>
      </c>
      <c r="X723" s="82"/>
    </row>
    <row r="724" spans="1:24" ht="18.75" customHeight="1">
      <c r="A724" s="75" t="s">
        <v>76</v>
      </c>
      <c r="B724" s="73" t="s">
        <v>47</v>
      </c>
      <c r="C724" s="76"/>
      <c r="D724" s="77" t="s">
        <v>77</v>
      </c>
      <c r="E724" s="85" t="s">
        <v>78</v>
      </c>
      <c r="F724" s="85"/>
      <c r="G724" s="85"/>
      <c r="H724" s="73" t="s">
        <v>47</v>
      </c>
      <c r="I724" s="307"/>
      <c r="J724" s="307"/>
      <c r="K724" s="81" t="s">
        <v>53</v>
      </c>
      <c r="L724" s="82">
        <f>+IF(L715-I715&lt;0,0,L715-I715)+IF(L719-I719&lt;0,0,L719-I719)</f>
        <v>0</v>
      </c>
      <c r="M724" s="75" t="s">
        <v>76</v>
      </c>
      <c r="N724" s="73" t="s">
        <v>47</v>
      </c>
      <c r="O724" s="76"/>
      <c r="P724" s="77" t="s">
        <v>77</v>
      </c>
      <c r="Q724" s="85" t="s">
        <v>78</v>
      </c>
      <c r="R724" s="85"/>
      <c r="S724" s="85"/>
      <c r="T724" s="73" t="s">
        <v>47</v>
      </c>
      <c r="U724" s="307"/>
      <c r="V724" s="307"/>
      <c r="W724" s="81" t="s">
        <v>53</v>
      </c>
      <c r="X724" s="82">
        <f>+IF(X715-U715&lt;0,0,X715-U715)+IF(X719-U719&lt;0,0,X719-U719)</f>
        <v>0</v>
      </c>
    </row>
    <row r="725" spans="1:24" ht="18.75" customHeight="1">
      <c r="A725" s="86" t="s">
        <v>122</v>
      </c>
      <c r="B725" s="87"/>
      <c r="C725" s="76"/>
      <c r="D725" s="77" t="s">
        <v>57</v>
      </c>
      <c r="E725" s="296" t="s">
        <v>123</v>
      </c>
      <c r="F725" s="296"/>
      <c r="G725" s="296"/>
      <c r="H725" s="73" t="s">
        <v>47</v>
      </c>
      <c r="I725" s="307"/>
      <c r="J725" s="307"/>
      <c r="K725" s="81" t="s">
        <v>53</v>
      </c>
      <c r="L725" s="82"/>
      <c r="M725" s="86" t="s">
        <v>122</v>
      </c>
      <c r="N725" s="87"/>
      <c r="O725" s="76"/>
      <c r="P725" s="77" t="s">
        <v>57</v>
      </c>
      <c r="Q725" s="296" t="s">
        <v>123</v>
      </c>
      <c r="R725" s="296"/>
      <c r="S725" s="296"/>
      <c r="T725" s="73" t="s">
        <v>47</v>
      </c>
      <c r="U725" s="307"/>
      <c r="V725" s="307"/>
      <c r="W725" s="81" t="s">
        <v>53</v>
      </c>
      <c r="X725" s="82"/>
    </row>
    <row r="726" spans="1:24" ht="18.75" customHeight="1">
      <c r="A726" s="314" t="s">
        <v>81</v>
      </c>
      <c r="B726" s="308"/>
      <c r="C726" s="76"/>
      <c r="D726" s="77"/>
      <c r="E726" s="78"/>
      <c r="F726" s="78"/>
      <c r="G726" s="78"/>
      <c r="H726" s="73" t="s">
        <v>47</v>
      </c>
      <c r="I726" s="307">
        <f>'[2]LUONG T7'!P81</f>
        <v>0</v>
      </c>
      <c r="J726" s="307"/>
      <c r="K726" s="81" t="s">
        <v>53</v>
      </c>
      <c r="L726" s="82"/>
      <c r="M726" s="314" t="s">
        <v>81</v>
      </c>
      <c r="N726" s="308"/>
      <c r="O726" s="76"/>
      <c r="P726" s="77"/>
      <c r="Q726" s="78"/>
      <c r="R726" s="78"/>
      <c r="S726" s="78"/>
      <c r="T726" s="73" t="s">
        <v>47</v>
      </c>
      <c r="U726" s="307">
        <f>'[2]LUONG T7'!P83</f>
        <v>0</v>
      </c>
      <c r="V726" s="307"/>
      <c r="W726" s="81" t="s">
        <v>53</v>
      </c>
      <c r="X726" s="82"/>
    </row>
    <row r="727" spans="1:24" ht="18.75" customHeight="1">
      <c r="A727" s="75" t="s">
        <v>82</v>
      </c>
      <c r="B727" s="73" t="s">
        <v>47</v>
      </c>
      <c r="C727" s="76"/>
      <c r="D727" s="77"/>
      <c r="E727" s="78" t="s">
        <v>83</v>
      </c>
      <c r="F727" s="78"/>
      <c r="G727" s="78"/>
      <c r="H727" s="73" t="s">
        <v>47</v>
      </c>
      <c r="I727" s="307">
        <f>L724</f>
        <v>0</v>
      </c>
      <c r="J727" s="307"/>
      <c r="K727" s="81" t="s">
        <v>53</v>
      </c>
      <c r="L727" s="82"/>
      <c r="M727" s="75" t="s">
        <v>82</v>
      </c>
      <c r="N727" s="73" t="s">
        <v>47</v>
      </c>
      <c r="O727" s="76"/>
      <c r="P727" s="77"/>
      <c r="Q727" s="78" t="s">
        <v>83</v>
      </c>
      <c r="R727" s="78"/>
      <c r="S727" s="78"/>
      <c r="T727" s="73" t="s">
        <v>47</v>
      </c>
      <c r="U727" s="307">
        <f>X724</f>
        <v>0</v>
      </c>
      <c r="V727" s="307"/>
      <c r="W727" s="81" t="s">
        <v>53</v>
      </c>
      <c r="X727" s="82"/>
    </row>
    <row r="728" spans="1:24" ht="18.75" customHeight="1">
      <c r="A728" s="311" t="s">
        <v>84</v>
      </c>
      <c r="B728" s="312"/>
      <c r="C728" s="312"/>
      <c r="D728" s="312"/>
      <c r="E728" s="312"/>
      <c r="F728" s="312"/>
      <c r="G728" s="73" t="s">
        <v>47</v>
      </c>
      <c r="H728" s="313">
        <f>I715+I716+I717+I718+I719+I722+I726+I727</f>
        <v>0</v>
      </c>
      <c r="I728" s="313"/>
      <c r="J728" s="313"/>
      <c r="K728" s="81" t="s">
        <v>53</v>
      </c>
      <c r="M728" s="311" t="s">
        <v>84</v>
      </c>
      <c r="N728" s="312"/>
      <c r="O728" s="312"/>
      <c r="P728" s="312"/>
      <c r="Q728" s="312"/>
      <c r="R728" s="312"/>
      <c r="S728" s="73" t="s">
        <v>47</v>
      </c>
      <c r="T728" s="313">
        <f>U715+U716+U717+U718+U719+U722+U726+U727</f>
        <v>0</v>
      </c>
      <c r="U728" s="313"/>
      <c r="V728" s="313"/>
      <c r="W728" s="81" t="s">
        <v>53</v>
      </c>
    </row>
    <row r="729" spans="1:24" ht="18.75" customHeight="1">
      <c r="A729" s="88"/>
      <c r="B729" s="89"/>
      <c r="C729" s="89"/>
      <c r="D729" s="89"/>
      <c r="E729" s="89"/>
      <c r="F729" s="89"/>
      <c r="G729" s="89"/>
      <c r="H729" s="89"/>
      <c r="I729" s="89"/>
      <c r="J729" s="89"/>
      <c r="K729" s="90"/>
      <c r="M729" s="88"/>
      <c r="N729" s="89"/>
      <c r="O729" s="89"/>
      <c r="P729" s="89"/>
      <c r="Q729" s="89"/>
      <c r="R729" s="89"/>
      <c r="S729" s="89"/>
      <c r="T729" s="89"/>
      <c r="U729" s="89"/>
      <c r="V729" s="89"/>
      <c r="W729" s="90"/>
    </row>
    <row r="730" spans="1:24" ht="18.75" customHeight="1">
      <c r="A730" s="321" t="s">
        <v>85</v>
      </c>
      <c r="B730" s="322"/>
      <c r="C730" s="322"/>
      <c r="D730" s="322"/>
      <c r="E730" s="322"/>
      <c r="F730" s="322"/>
      <c r="G730" s="73"/>
      <c r="H730" s="73"/>
      <c r="I730" s="73"/>
      <c r="J730" s="73"/>
      <c r="K730" s="81"/>
      <c r="M730" s="321" t="s">
        <v>85</v>
      </c>
      <c r="N730" s="322"/>
      <c r="O730" s="322"/>
      <c r="P730" s="322"/>
      <c r="Q730" s="322"/>
      <c r="R730" s="322"/>
      <c r="S730" s="73"/>
      <c r="T730" s="73"/>
      <c r="U730" s="73"/>
      <c r="V730" s="73"/>
      <c r="W730" s="81"/>
    </row>
    <row r="731" spans="1:24" ht="18.75" customHeight="1">
      <c r="A731" s="315" t="s">
        <v>86</v>
      </c>
      <c r="B731" s="316"/>
      <c r="C731" s="316"/>
      <c r="D731" s="316"/>
      <c r="E731" s="316"/>
      <c r="F731" s="316"/>
      <c r="G731" s="73" t="s">
        <v>47</v>
      </c>
      <c r="H731" s="323">
        <f>IF(($L$1-(C715+C716+C717+C718))&gt;12,0,F712*8%)</f>
        <v>0</v>
      </c>
      <c r="I731" s="323"/>
      <c r="J731" s="323"/>
      <c r="K731" s="81" t="s">
        <v>53</v>
      </c>
      <c r="M731" s="315" t="s">
        <v>86</v>
      </c>
      <c r="N731" s="316"/>
      <c r="O731" s="316"/>
      <c r="P731" s="316"/>
      <c r="Q731" s="316"/>
      <c r="R731" s="316"/>
      <c r="S731" s="73" t="s">
        <v>47</v>
      </c>
      <c r="T731" s="323">
        <f>IF(($L$1-(O715+O716+O717+O718))&gt;12,0,R712*8%)</f>
        <v>0</v>
      </c>
      <c r="U731" s="323"/>
      <c r="V731" s="323"/>
      <c r="W731" s="81" t="s">
        <v>53</v>
      </c>
    </row>
    <row r="732" spans="1:24" ht="18.75" customHeight="1">
      <c r="A732" s="315" t="s">
        <v>87</v>
      </c>
      <c r="B732" s="316"/>
      <c r="C732" s="316"/>
      <c r="D732" s="316"/>
      <c r="E732" s="316"/>
      <c r="F732" s="316"/>
      <c r="G732" s="73" t="s">
        <v>47</v>
      </c>
      <c r="H732" s="317">
        <f>IF(($L$1-(C715+C716+C717+C718))&gt;12,0,F712*1.5%)</f>
        <v>0</v>
      </c>
      <c r="I732" s="317"/>
      <c r="J732" s="317"/>
      <c r="K732" s="81" t="s">
        <v>53</v>
      </c>
      <c r="M732" s="315" t="s">
        <v>87</v>
      </c>
      <c r="N732" s="316"/>
      <c r="O732" s="316"/>
      <c r="P732" s="316"/>
      <c r="Q732" s="316"/>
      <c r="R732" s="316"/>
      <c r="S732" s="73" t="s">
        <v>47</v>
      </c>
      <c r="T732" s="317">
        <f>IF(($L$1-(O715+O716+O717+O718))&gt;12,0,R712*1.5%)</f>
        <v>0</v>
      </c>
      <c r="U732" s="317"/>
      <c r="V732" s="317"/>
      <c r="W732" s="81" t="s">
        <v>53</v>
      </c>
    </row>
    <row r="733" spans="1:24" ht="18.75" customHeight="1">
      <c r="A733" s="315" t="s">
        <v>88</v>
      </c>
      <c r="B733" s="316"/>
      <c r="C733" s="316"/>
      <c r="D733" s="316"/>
      <c r="E733" s="316"/>
      <c r="F733" s="316"/>
      <c r="G733" s="73" t="s">
        <v>47</v>
      </c>
      <c r="H733" s="317">
        <f>IF(($L$1-(C715+C716+C717+C718))&gt;12,0,F712*1%)</f>
        <v>0</v>
      </c>
      <c r="I733" s="317"/>
      <c r="J733" s="317"/>
      <c r="K733" s="81" t="s">
        <v>53</v>
      </c>
      <c r="M733" s="315" t="s">
        <v>88</v>
      </c>
      <c r="N733" s="316"/>
      <c r="O733" s="316"/>
      <c r="P733" s="316"/>
      <c r="Q733" s="316"/>
      <c r="R733" s="316"/>
      <c r="S733" s="73" t="s">
        <v>47</v>
      </c>
      <c r="T733" s="317">
        <f>IF(($L$1-(O715+O716+O717+O718))&gt;12,0,R712*1%)</f>
        <v>0</v>
      </c>
      <c r="U733" s="317"/>
      <c r="V733" s="317"/>
      <c r="W733" s="81" t="s">
        <v>53</v>
      </c>
    </row>
    <row r="734" spans="1:24" ht="18.75" customHeight="1">
      <c r="A734" s="315" t="s">
        <v>89</v>
      </c>
      <c r="B734" s="316"/>
      <c r="C734" s="316"/>
      <c r="D734" s="316"/>
      <c r="E734" s="316"/>
      <c r="F734" s="316"/>
      <c r="G734" s="73" t="s">
        <v>47</v>
      </c>
      <c r="H734" s="317">
        <v>0</v>
      </c>
      <c r="I734" s="317"/>
      <c r="J734" s="317"/>
      <c r="K734" s="81" t="s">
        <v>53</v>
      </c>
      <c r="M734" s="315" t="s">
        <v>89</v>
      </c>
      <c r="N734" s="316"/>
      <c r="O734" s="316"/>
      <c r="P734" s="316"/>
      <c r="Q734" s="316"/>
      <c r="R734" s="316"/>
      <c r="S734" s="73" t="s">
        <v>47</v>
      </c>
      <c r="T734" s="317">
        <v>0</v>
      </c>
      <c r="U734" s="317"/>
      <c r="V734" s="317"/>
      <c r="W734" s="81" t="s">
        <v>53</v>
      </c>
    </row>
    <row r="735" spans="1:24" ht="18.75" customHeight="1">
      <c r="A735" s="318" t="s">
        <v>90</v>
      </c>
      <c r="B735" s="319"/>
      <c r="C735" s="319"/>
      <c r="D735" s="319"/>
      <c r="E735" s="319"/>
      <c r="F735" s="319"/>
      <c r="G735" s="73" t="s">
        <v>47</v>
      </c>
      <c r="H735" s="320">
        <f>SUM(H731:J734)</f>
        <v>0</v>
      </c>
      <c r="I735" s="320"/>
      <c r="J735" s="320"/>
      <c r="K735" s="81" t="s">
        <v>53</v>
      </c>
      <c r="M735" s="318" t="s">
        <v>90</v>
      </c>
      <c r="N735" s="319"/>
      <c r="O735" s="319"/>
      <c r="P735" s="319"/>
      <c r="Q735" s="319"/>
      <c r="R735" s="319"/>
      <c r="S735" s="73" t="s">
        <v>47</v>
      </c>
      <c r="T735" s="320">
        <f>SUM(T731:V734)</f>
        <v>0</v>
      </c>
      <c r="U735" s="320"/>
      <c r="V735" s="320"/>
      <c r="W735" s="81" t="s">
        <v>53</v>
      </c>
    </row>
    <row r="736" spans="1:24" ht="18.75" customHeight="1">
      <c r="A736" s="315" t="s">
        <v>91</v>
      </c>
      <c r="B736" s="316"/>
      <c r="C736" s="316"/>
      <c r="D736" s="316"/>
      <c r="E736" s="316"/>
      <c r="F736" s="316"/>
      <c r="G736" s="73" t="s">
        <v>47</v>
      </c>
      <c r="H736" s="327">
        <f>ROUND(H728-H735,-2)</f>
        <v>0</v>
      </c>
      <c r="I736" s="327"/>
      <c r="J736" s="327"/>
      <c r="K736" s="81" t="s">
        <v>53</v>
      </c>
      <c r="M736" s="315" t="s">
        <v>91</v>
      </c>
      <c r="N736" s="316"/>
      <c r="O736" s="316"/>
      <c r="P736" s="316"/>
      <c r="Q736" s="316"/>
      <c r="R736" s="316"/>
      <c r="S736" s="73" t="s">
        <v>47</v>
      </c>
      <c r="T736" s="327">
        <f>ROUND(T728-T735,-2)</f>
        <v>0</v>
      </c>
      <c r="U736" s="327"/>
      <c r="V736" s="327"/>
      <c r="W736" s="81" t="s">
        <v>53</v>
      </c>
    </row>
    <row r="737" spans="1:24" ht="18.75" customHeight="1">
      <c r="A737" s="91"/>
      <c r="B737" s="92"/>
      <c r="C737" s="92"/>
      <c r="D737" s="92"/>
      <c r="E737" s="92"/>
      <c r="F737" s="92"/>
      <c r="G737" s="92"/>
      <c r="H737" s="92"/>
      <c r="I737" s="92"/>
      <c r="J737" s="92"/>
      <c r="K737" s="93"/>
      <c r="M737" s="91"/>
      <c r="N737" s="92"/>
      <c r="O737" s="92"/>
      <c r="P737" s="92"/>
      <c r="Q737" s="92"/>
      <c r="R737" s="92"/>
      <c r="S737" s="92"/>
      <c r="T737" s="92"/>
      <c r="U737" s="92"/>
      <c r="V737" s="92"/>
      <c r="W737" s="93"/>
    </row>
    <row r="738" spans="1:24" ht="18.75" customHeight="1">
      <c r="A738" s="94"/>
      <c r="B738" s="73"/>
      <c r="C738" s="73"/>
      <c r="D738" s="73"/>
      <c r="E738" s="73"/>
      <c r="F738" s="73"/>
      <c r="G738" s="73"/>
      <c r="H738" s="73"/>
      <c r="I738" s="324" t="s">
        <v>92</v>
      </c>
      <c r="J738" s="324"/>
      <c r="K738" s="328"/>
      <c r="M738" s="94"/>
      <c r="N738" s="73"/>
      <c r="O738" s="73"/>
      <c r="P738" s="73"/>
      <c r="Q738" s="73"/>
      <c r="R738" s="73"/>
      <c r="S738" s="73"/>
      <c r="T738" s="73"/>
      <c r="U738" s="324" t="s">
        <v>92</v>
      </c>
      <c r="V738" s="324"/>
      <c r="W738" s="328"/>
    </row>
    <row r="739" spans="1:24" ht="18.75" customHeight="1">
      <c r="A739" s="94"/>
      <c r="B739" s="324"/>
      <c r="C739" s="324"/>
      <c r="D739" s="324"/>
      <c r="E739" s="324"/>
      <c r="F739" s="73"/>
      <c r="G739" s="73"/>
      <c r="H739" s="73"/>
      <c r="I739" s="73"/>
      <c r="J739" s="73"/>
      <c r="K739" s="74"/>
      <c r="M739" s="94"/>
      <c r="N739" s="324"/>
      <c r="O739" s="324"/>
      <c r="P739" s="324"/>
      <c r="Q739" s="324"/>
      <c r="R739" s="73"/>
      <c r="S739" s="73"/>
      <c r="T739" s="73"/>
      <c r="U739" s="73"/>
      <c r="V739" s="73"/>
      <c r="W739" s="74"/>
    </row>
    <row r="740" spans="1:24" ht="18.75" customHeight="1" thickBot="1">
      <c r="A740" s="95"/>
      <c r="B740" s="96"/>
      <c r="C740" s="96"/>
      <c r="D740" s="96"/>
      <c r="E740" s="96"/>
      <c r="F740" s="96"/>
      <c r="G740" s="96"/>
      <c r="H740" s="96"/>
      <c r="I740" s="325" t="s">
        <v>93</v>
      </c>
      <c r="J740" s="325"/>
      <c r="K740" s="326"/>
      <c r="M740" s="95"/>
      <c r="N740" s="96"/>
      <c r="O740" s="96"/>
      <c r="P740" s="96"/>
      <c r="Q740" s="96"/>
      <c r="R740" s="96"/>
      <c r="S740" s="96"/>
      <c r="T740" s="96"/>
      <c r="U740" s="325" t="s">
        <v>93</v>
      </c>
      <c r="V740" s="325"/>
      <c r="W740" s="326"/>
    </row>
    <row r="742" spans="1:24" ht="18.75" customHeight="1" thickTop="1">
      <c r="A742" s="300" t="s">
        <v>41</v>
      </c>
      <c r="B742" s="301"/>
      <c r="C742" s="301"/>
      <c r="D742" s="301"/>
      <c r="E742" s="301"/>
      <c r="F742" s="301"/>
      <c r="G742" s="301"/>
      <c r="H742" s="301"/>
      <c r="I742" s="301"/>
      <c r="J742" s="301"/>
      <c r="K742" s="302"/>
      <c r="L742" s="69">
        <v>25</v>
      </c>
      <c r="M742" s="300" t="s">
        <v>41</v>
      </c>
      <c r="N742" s="301"/>
      <c r="O742" s="301"/>
      <c r="P742" s="301"/>
      <c r="Q742" s="301"/>
      <c r="R742" s="301"/>
      <c r="S742" s="301"/>
      <c r="T742" s="301"/>
      <c r="U742" s="301"/>
      <c r="V742" s="301"/>
      <c r="W742" s="302"/>
      <c r="X742" s="69">
        <v>25</v>
      </c>
    </row>
    <row r="743" spans="1:24" ht="18.75" customHeight="1">
      <c r="A743" s="70" t="s">
        <v>148</v>
      </c>
      <c r="B743" s="71"/>
      <c r="C743" s="71"/>
      <c r="D743" s="71"/>
      <c r="E743" s="71"/>
      <c r="F743" s="71"/>
      <c r="G743" s="71"/>
      <c r="H743" s="71"/>
      <c r="I743" s="71"/>
      <c r="J743" s="71"/>
      <c r="K743" s="72"/>
      <c r="M743" s="70" t="s">
        <v>149</v>
      </c>
      <c r="N743" s="71"/>
      <c r="O743" s="71"/>
      <c r="P743" s="71"/>
      <c r="Q743" s="71"/>
      <c r="R743" s="71"/>
      <c r="S743" s="71"/>
      <c r="T743" s="71"/>
      <c r="U743" s="71"/>
      <c r="V743" s="71"/>
      <c r="W743" s="72"/>
    </row>
    <row r="744" spans="1:24" ht="18.75" customHeight="1">
      <c r="A744" s="303" t="s">
        <v>45</v>
      </c>
      <c r="B744" s="304"/>
      <c r="C744" s="304"/>
      <c r="D744" s="304"/>
      <c r="E744" s="304"/>
      <c r="F744" s="304"/>
      <c r="G744" s="304"/>
      <c r="H744" s="304"/>
      <c r="I744" s="304"/>
      <c r="J744" s="304"/>
      <c r="K744" s="305"/>
      <c r="M744" s="303" t="s">
        <v>45</v>
      </c>
      <c r="N744" s="304"/>
      <c r="O744" s="304"/>
      <c r="P744" s="304"/>
      <c r="Q744" s="304"/>
      <c r="R744" s="304"/>
      <c r="S744" s="304"/>
      <c r="T744" s="304"/>
      <c r="U744" s="304"/>
      <c r="V744" s="304"/>
      <c r="W744" s="305"/>
    </row>
    <row r="745" spans="1:24" ht="18.75" customHeight="1">
      <c r="A745" s="295" t="s">
        <v>46</v>
      </c>
      <c r="B745" s="296"/>
      <c r="C745" s="296"/>
      <c r="D745" s="296"/>
      <c r="E745" s="73" t="s">
        <v>47</v>
      </c>
      <c r="F745" s="297">
        <f>'[2]Bang TH nop'!B81</f>
        <v>0</v>
      </c>
      <c r="G745" s="296"/>
      <c r="H745" s="296"/>
      <c r="I745" s="296"/>
      <c r="J745" s="296"/>
      <c r="K745" s="299"/>
      <c r="M745" s="295" t="s">
        <v>46</v>
      </c>
      <c r="N745" s="296"/>
      <c r="O745" s="296"/>
      <c r="P745" s="296"/>
      <c r="Q745" s="73" t="s">
        <v>47</v>
      </c>
      <c r="R745" s="297">
        <f>'[2]Bang TH nop'!B83</f>
        <v>0</v>
      </c>
      <c r="S745" s="296"/>
      <c r="T745" s="296"/>
      <c r="U745" s="296"/>
      <c r="V745" s="296"/>
      <c r="W745" s="299"/>
    </row>
    <row r="746" spans="1:24" ht="18.75" customHeight="1">
      <c r="A746" s="295" t="s">
        <v>49</v>
      </c>
      <c r="B746" s="296"/>
      <c r="C746" s="296"/>
      <c r="D746" s="296"/>
      <c r="E746" s="73" t="s">
        <v>47</v>
      </c>
      <c r="F746" s="297">
        <f>'[2]Bang TH nop'!C81</f>
        <v>0</v>
      </c>
      <c r="G746" s="297"/>
      <c r="H746" s="297"/>
      <c r="I746" s="297"/>
      <c r="J746" s="297"/>
      <c r="K746" s="298"/>
      <c r="M746" s="295" t="s">
        <v>49</v>
      </c>
      <c r="N746" s="296"/>
      <c r="O746" s="296"/>
      <c r="P746" s="296"/>
      <c r="Q746" s="73" t="s">
        <v>47</v>
      </c>
      <c r="R746" s="297">
        <f>'[2]Bang TH nop'!C83</f>
        <v>0</v>
      </c>
      <c r="S746" s="297"/>
      <c r="T746" s="297"/>
      <c r="U746" s="297"/>
      <c r="V746" s="297"/>
      <c r="W746" s="298"/>
    </row>
    <row r="747" spans="1:24" ht="18.75" customHeight="1">
      <c r="A747" s="295" t="s">
        <v>50</v>
      </c>
      <c r="B747" s="296"/>
      <c r="C747" s="296"/>
      <c r="D747" s="296"/>
      <c r="E747" s="73" t="s">
        <v>47</v>
      </c>
      <c r="F747" s="296" t="s">
        <v>121</v>
      </c>
      <c r="G747" s="296"/>
      <c r="H747" s="296"/>
      <c r="I747" s="296"/>
      <c r="J747" s="296"/>
      <c r="K747" s="299"/>
      <c r="M747" s="295" t="s">
        <v>50</v>
      </c>
      <c r="N747" s="296"/>
      <c r="O747" s="296"/>
      <c r="P747" s="296"/>
      <c r="Q747" s="73" t="s">
        <v>47</v>
      </c>
      <c r="R747" s="296" t="s">
        <v>121</v>
      </c>
      <c r="S747" s="296"/>
      <c r="T747" s="296"/>
      <c r="U747" s="296"/>
      <c r="V747" s="296"/>
      <c r="W747" s="299"/>
    </row>
    <row r="748" spans="1:24" ht="18.75" customHeight="1">
      <c r="A748" s="303" t="s">
        <v>51</v>
      </c>
      <c r="B748" s="304"/>
      <c r="C748" s="304"/>
      <c r="D748" s="304"/>
      <c r="E748" s="304"/>
      <c r="F748" s="304"/>
      <c r="G748" s="304"/>
      <c r="H748" s="304"/>
      <c r="I748" s="304"/>
      <c r="J748" s="304"/>
      <c r="K748" s="305"/>
      <c r="M748" s="303" t="s">
        <v>51</v>
      </c>
      <c r="N748" s="304"/>
      <c r="O748" s="304"/>
      <c r="P748" s="304"/>
      <c r="Q748" s="304"/>
      <c r="R748" s="304"/>
      <c r="S748" s="304"/>
      <c r="T748" s="304"/>
      <c r="U748" s="304"/>
      <c r="V748" s="304"/>
      <c r="W748" s="305"/>
    </row>
    <row r="749" spans="1:24" ht="18.75" customHeight="1">
      <c r="A749" s="295" t="s">
        <v>52</v>
      </c>
      <c r="B749" s="296"/>
      <c r="C749" s="296"/>
      <c r="D749" s="296"/>
      <c r="E749" s="73" t="s">
        <v>47</v>
      </c>
      <c r="F749" s="310">
        <v>2915400</v>
      </c>
      <c r="G749" s="310"/>
      <c r="H749" s="310"/>
      <c r="I749" s="310"/>
      <c r="J749" s="73" t="s">
        <v>53</v>
      </c>
      <c r="K749" s="74"/>
      <c r="M749" s="295" t="s">
        <v>52</v>
      </c>
      <c r="N749" s="296"/>
      <c r="O749" s="296"/>
      <c r="P749" s="296"/>
      <c r="Q749" s="73" t="s">
        <v>47</v>
      </c>
      <c r="R749" s="310">
        <v>2915400</v>
      </c>
      <c r="S749" s="310"/>
      <c r="T749" s="310"/>
      <c r="U749" s="310"/>
      <c r="V749" s="73" t="s">
        <v>53</v>
      </c>
      <c r="W749" s="74"/>
    </row>
    <row r="750" spans="1:24" ht="18.75" customHeight="1">
      <c r="A750" s="75" t="s">
        <v>54</v>
      </c>
      <c r="B750" s="73"/>
      <c r="C750" s="76"/>
      <c r="D750" s="77"/>
      <c r="E750" s="78"/>
      <c r="F750" s="78"/>
      <c r="G750" s="78"/>
      <c r="H750" s="73"/>
      <c r="I750" s="79">
        <f>'[2]LUONG T7'!F85</f>
        <v>0</v>
      </c>
      <c r="J750" s="80"/>
      <c r="K750" s="81"/>
      <c r="M750" s="75" t="s">
        <v>54</v>
      </c>
      <c r="N750" s="73"/>
      <c r="O750" s="76"/>
      <c r="P750" s="77"/>
      <c r="Q750" s="78"/>
      <c r="R750" s="78"/>
      <c r="S750" s="78"/>
      <c r="T750" s="73"/>
      <c r="U750" s="79">
        <f>'[2]LUONG T7'!F87</f>
        <v>0</v>
      </c>
      <c r="V750" s="80"/>
      <c r="W750" s="81"/>
    </row>
    <row r="751" spans="1:24" ht="18.75" customHeight="1">
      <c r="A751" s="75" t="s">
        <v>55</v>
      </c>
      <c r="B751" s="73"/>
      <c r="C751" s="76"/>
      <c r="D751" s="77"/>
      <c r="E751" s="78"/>
      <c r="F751" s="78"/>
      <c r="G751" s="78"/>
      <c r="H751" s="73"/>
      <c r="I751" s="79" t="e">
        <f>I752/C752/8</f>
        <v>#DIV/0!</v>
      </c>
      <c r="J751" s="80"/>
      <c r="K751" s="81"/>
      <c r="M751" s="75" t="s">
        <v>55</v>
      </c>
      <c r="N751" s="73"/>
      <c r="O751" s="76"/>
      <c r="P751" s="77"/>
      <c r="Q751" s="78"/>
      <c r="R751" s="78"/>
      <c r="S751" s="78"/>
      <c r="T751" s="73"/>
      <c r="U751" s="79" t="e">
        <f>U752/O752/8</f>
        <v>#DIV/0!</v>
      </c>
      <c r="V751" s="80"/>
      <c r="W751" s="81"/>
    </row>
    <row r="752" spans="1:24" ht="18.75" customHeight="1">
      <c r="A752" s="75" t="s">
        <v>56</v>
      </c>
      <c r="B752" s="73" t="s">
        <v>47</v>
      </c>
      <c r="C752" s="76">
        <f>'[2]LUONG T7'!I84</f>
        <v>0</v>
      </c>
      <c r="D752" s="77" t="s">
        <v>57</v>
      </c>
      <c r="E752" s="308" t="s">
        <v>58</v>
      </c>
      <c r="F752" s="308"/>
      <c r="G752" s="308"/>
      <c r="H752" s="73" t="s">
        <v>47</v>
      </c>
      <c r="I752" s="309">
        <f>'[2]LUONG T7'!I85</f>
        <v>0</v>
      </c>
      <c r="J752" s="309"/>
      <c r="K752" s="81" t="s">
        <v>53</v>
      </c>
      <c r="L752" s="82">
        <f>F749/L742*C752</f>
        <v>0</v>
      </c>
      <c r="M752" s="75" t="s">
        <v>56</v>
      </c>
      <c r="N752" s="73" t="s">
        <v>47</v>
      </c>
      <c r="O752" s="76">
        <f>'[2]LUONG T7'!I86</f>
        <v>0</v>
      </c>
      <c r="P752" s="77" t="s">
        <v>57</v>
      </c>
      <c r="Q752" s="308" t="s">
        <v>58</v>
      </c>
      <c r="R752" s="308"/>
      <c r="S752" s="308"/>
      <c r="T752" s="73" t="s">
        <v>47</v>
      </c>
      <c r="U752" s="309">
        <f>'[2]LUONG T7'!I87</f>
        <v>0</v>
      </c>
      <c r="V752" s="309"/>
      <c r="W752" s="81" t="s">
        <v>53</v>
      </c>
      <c r="X752" s="82">
        <f>R749/X742*O752</f>
        <v>0</v>
      </c>
    </row>
    <row r="753" spans="1:24" ht="18.75" customHeight="1">
      <c r="A753" s="75" t="s">
        <v>59</v>
      </c>
      <c r="B753" s="73" t="s">
        <v>47</v>
      </c>
      <c r="C753" s="76">
        <f>'[2]LUONG T7'!J84</f>
        <v>0</v>
      </c>
      <c r="D753" s="77" t="s">
        <v>57</v>
      </c>
      <c r="E753" s="296" t="s">
        <v>60</v>
      </c>
      <c r="F753" s="296"/>
      <c r="G753" s="296"/>
      <c r="H753" s="73" t="s">
        <v>47</v>
      </c>
      <c r="I753" s="307">
        <f>$F$8/$L$1*C753</f>
        <v>0</v>
      </c>
      <c r="J753" s="307"/>
      <c r="K753" s="81" t="s">
        <v>53</v>
      </c>
      <c r="L753" s="82"/>
      <c r="M753" s="75" t="s">
        <v>59</v>
      </c>
      <c r="N753" s="73" t="s">
        <v>47</v>
      </c>
      <c r="O753" s="76">
        <f>'[2]LUONG T7'!J86</f>
        <v>0</v>
      </c>
      <c r="P753" s="77" t="s">
        <v>57</v>
      </c>
      <c r="Q753" s="296" t="s">
        <v>60</v>
      </c>
      <c r="R753" s="296"/>
      <c r="S753" s="296"/>
      <c r="T753" s="73" t="s">
        <v>47</v>
      </c>
      <c r="U753" s="307">
        <f>$F$8/$L$1*O753</f>
        <v>0</v>
      </c>
      <c r="V753" s="307"/>
      <c r="W753" s="81" t="s">
        <v>53</v>
      </c>
      <c r="X753" s="82"/>
    </row>
    <row r="754" spans="1:24" ht="18.75" customHeight="1">
      <c r="A754" s="75" t="s">
        <v>61</v>
      </c>
      <c r="B754" s="73" t="s">
        <v>47</v>
      </c>
      <c r="C754" s="76">
        <f>'[2]LUONG T7'!K84</f>
        <v>0</v>
      </c>
      <c r="D754" s="77" t="s">
        <v>57</v>
      </c>
      <c r="E754" s="306" t="s">
        <v>62</v>
      </c>
      <c r="F754" s="306"/>
      <c r="G754" s="306"/>
      <c r="H754" s="73" t="s">
        <v>47</v>
      </c>
      <c r="I754" s="307">
        <f>$F$8/$L$1*C754</f>
        <v>0</v>
      </c>
      <c r="J754" s="307"/>
      <c r="K754" s="81" t="s">
        <v>53</v>
      </c>
      <c r="L754" s="82"/>
      <c r="M754" s="75" t="s">
        <v>61</v>
      </c>
      <c r="N754" s="73" t="s">
        <v>47</v>
      </c>
      <c r="O754" s="76">
        <f>'[2]LUONG T7'!K86</f>
        <v>0</v>
      </c>
      <c r="P754" s="77" t="s">
        <v>57</v>
      </c>
      <c r="Q754" s="306" t="s">
        <v>62</v>
      </c>
      <c r="R754" s="306"/>
      <c r="S754" s="306"/>
      <c r="T754" s="73" t="s">
        <v>47</v>
      </c>
      <c r="U754" s="307">
        <f>$F$8/$L$1*O754</f>
        <v>0</v>
      </c>
      <c r="V754" s="307"/>
      <c r="W754" s="81" t="s">
        <v>53</v>
      </c>
      <c r="X754" s="82"/>
    </row>
    <row r="755" spans="1:24" ht="18.75" customHeight="1">
      <c r="A755" s="75" t="s">
        <v>63</v>
      </c>
      <c r="B755" s="73" t="s">
        <v>47</v>
      </c>
      <c r="C755" s="76">
        <f>'[2]LUONG T7'!L84</f>
        <v>0</v>
      </c>
      <c r="D755" s="77" t="s">
        <v>57</v>
      </c>
      <c r="E755" s="306" t="s">
        <v>64</v>
      </c>
      <c r="F755" s="306"/>
      <c r="G755" s="306"/>
      <c r="H755" s="73" t="s">
        <v>47</v>
      </c>
      <c r="I755" s="307">
        <f>$F$8/$L$1*C755</f>
        <v>0</v>
      </c>
      <c r="J755" s="307"/>
      <c r="K755" s="81" t="s">
        <v>53</v>
      </c>
      <c r="L755" s="82"/>
      <c r="M755" s="75" t="s">
        <v>63</v>
      </c>
      <c r="N755" s="73" t="s">
        <v>47</v>
      </c>
      <c r="O755" s="76">
        <f>'[2]LUONG T7'!L86</f>
        <v>0</v>
      </c>
      <c r="P755" s="77" t="s">
        <v>57</v>
      </c>
      <c r="Q755" s="306" t="s">
        <v>64</v>
      </c>
      <c r="R755" s="306"/>
      <c r="S755" s="306"/>
      <c r="T755" s="73" t="s">
        <v>47</v>
      </c>
      <c r="U755" s="307">
        <f>$F$8/$L$1*O755</f>
        <v>0</v>
      </c>
      <c r="V755" s="307"/>
      <c r="W755" s="81" t="s">
        <v>53</v>
      </c>
      <c r="X755" s="82"/>
    </row>
    <row r="756" spans="1:24" ht="18.75" customHeight="1">
      <c r="A756" s="75" t="s">
        <v>65</v>
      </c>
      <c r="B756" s="73" t="s">
        <v>47</v>
      </c>
      <c r="C756" s="76">
        <f>'[2]LUONG T7'!Q84</f>
        <v>0</v>
      </c>
      <c r="D756" s="77" t="s">
        <v>66</v>
      </c>
      <c r="E756" s="296" t="s">
        <v>67</v>
      </c>
      <c r="F756" s="296"/>
      <c r="G756" s="296"/>
      <c r="H756" s="73" t="s">
        <v>47</v>
      </c>
      <c r="I756" s="307">
        <f>'[2]LUONG T7'!Q85</f>
        <v>0</v>
      </c>
      <c r="J756" s="307"/>
      <c r="K756" s="81" t="s">
        <v>53</v>
      </c>
      <c r="L756" s="82">
        <f>F749*C756/L742/8*1.5</f>
        <v>0</v>
      </c>
      <c r="M756" s="75" t="s">
        <v>65</v>
      </c>
      <c r="N756" s="73" t="s">
        <v>47</v>
      </c>
      <c r="O756" s="76">
        <f>'[2]LUONG T7'!Q86</f>
        <v>0</v>
      </c>
      <c r="P756" s="77" t="s">
        <v>66</v>
      </c>
      <c r="Q756" s="296" t="s">
        <v>67</v>
      </c>
      <c r="R756" s="296"/>
      <c r="S756" s="296"/>
      <c r="T756" s="73" t="s">
        <v>47</v>
      </c>
      <c r="U756" s="307">
        <f>'[2]LUONG T7'!Q87</f>
        <v>0</v>
      </c>
      <c r="V756" s="307"/>
      <c r="W756" s="81" t="s">
        <v>53</v>
      </c>
      <c r="X756" s="82">
        <f>R749*O756/X742/8*1.5</f>
        <v>0</v>
      </c>
    </row>
    <row r="757" spans="1:24" ht="18.75" customHeight="1">
      <c r="A757" s="295" t="s">
        <v>68</v>
      </c>
      <c r="B757" s="296"/>
      <c r="C757" s="76"/>
      <c r="D757" s="77" t="s">
        <v>57</v>
      </c>
      <c r="E757" s="296" t="s">
        <v>69</v>
      </c>
      <c r="F757" s="296"/>
      <c r="G757" s="296"/>
      <c r="H757" s="83" t="s">
        <v>47</v>
      </c>
      <c r="I757" s="307"/>
      <c r="J757" s="307"/>
      <c r="K757" s="81" t="s">
        <v>53</v>
      </c>
      <c r="L757" s="82"/>
      <c r="M757" s="295" t="s">
        <v>68</v>
      </c>
      <c r="N757" s="296"/>
      <c r="O757" s="76"/>
      <c r="P757" s="77" t="s">
        <v>57</v>
      </c>
      <c r="Q757" s="296" t="s">
        <v>69</v>
      </c>
      <c r="R757" s="296"/>
      <c r="S757" s="296"/>
      <c r="T757" s="83" t="s">
        <v>47</v>
      </c>
      <c r="U757" s="307"/>
      <c r="V757" s="307"/>
      <c r="W757" s="81" t="s">
        <v>53</v>
      </c>
      <c r="X757" s="82"/>
    </row>
    <row r="758" spans="1:24" ht="18.75" customHeight="1">
      <c r="A758" s="75" t="s">
        <v>70</v>
      </c>
      <c r="B758" s="73" t="s">
        <v>47</v>
      </c>
      <c r="C758" s="76"/>
      <c r="D758" s="77" t="s">
        <v>57</v>
      </c>
      <c r="E758" s="296" t="s">
        <v>71</v>
      </c>
      <c r="F758" s="296"/>
      <c r="G758" s="296"/>
      <c r="H758" s="73" t="s">
        <v>47</v>
      </c>
      <c r="I758" s="307"/>
      <c r="J758" s="307"/>
      <c r="K758" s="81" t="s">
        <v>53</v>
      </c>
      <c r="L758" s="82"/>
      <c r="M758" s="75" t="s">
        <v>70</v>
      </c>
      <c r="N758" s="73" t="s">
        <v>47</v>
      </c>
      <c r="O758" s="76"/>
      <c r="P758" s="77" t="s">
        <v>57</v>
      </c>
      <c r="Q758" s="296" t="s">
        <v>71</v>
      </c>
      <c r="R758" s="296"/>
      <c r="S758" s="296"/>
      <c r="T758" s="73" t="s">
        <v>47</v>
      </c>
      <c r="U758" s="307"/>
      <c r="V758" s="307"/>
      <c r="W758" s="81" t="s">
        <v>53</v>
      </c>
      <c r="X758" s="82"/>
    </row>
    <row r="759" spans="1:24" ht="18.75" customHeight="1">
      <c r="A759" s="84" t="s">
        <v>72</v>
      </c>
      <c r="B759" s="73"/>
      <c r="C759" s="76">
        <f>'[2]LUONG T7'!M84</f>
        <v>0</v>
      </c>
      <c r="D759" s="77" t="s">
        <v>66</v>
      </c>
      <c r="E759" s="296" t="s">
        <v>73</v>
      </c>
      <c r="F759" s="296"/>
      <c r="G759" s="296"/>
      <c r="H759" s="73" t="s">
        <v>47</v>
      </c>
      <c r="I759" s="307">
        <f>$F$8*C759/8/$L$1</f>
        <v>0</v>
      </c>
      <c r="J759" s="307"/>
      <c r="K759" s="81" t="s">
        <v>53</v>
      </c>
      <c r="L759" s="82"/>
      <c r="M759" s="84" t="s">
        <v>72</v>
      </c>
      <c r="N759" s="73"/>
      <c r="O759" s="76">
        <f>'[2]LUONG T7'!M86</f>
        <v>0</v>
      </c>
      <c r="P759" s="77" t="s">
        <v>66</v>
      </c>
      <c r="Q759" s="296" t="s">
        <v>73</v>
      </c>
      <c r="R759" s="296"/>
      <c r="S759" s="296"/>
      <c r="T759" s="73" t="s">
        <v>47</v>
      </c>
      <c r="U759" s="307">
        <f>$F$8*O759/8/$L$1</f>
        <v>0</v>
      </c>
      <c r="V759" s="307"/>
      <c r="W759" s="81" t="s">
        <v>53</v>
      </c>
      <c r="X759" s="82"/>
    </row>
    <row r="760" spans="1:24" ht="18.75" customHeight="1">
      <c r="A760" s="75" t="s">
        <v>74</v>
      </c>
      <c r="B760" s="73" t="s">
        <v>47</v>
      </c>
      <c r="C760" s="76"/>
      <c r="D760" s="77" t="s">
        <v>66</v>
      </c>
      <c r="E760" s="296" t="s">
        <v>98</v>
      </c>
      <c r="F760" s="296"/>
      <c r="G760" s="296"/>
      <c r="H760" s="73" t="s">
        <v>47</v>
      </c>
      <c r="I760" s="309"/>
      <c r="J760" s="309"/>
      <c r="K760" s="81" t="s">
        <v>53</v>
      </c>
      <c r="L760" s="82"/>
      <c r="M760" s="75" t="s">
        <v>74</v>
      </c>
      <c r="N760" s="73" t="s">
        <v>47</v>
      </c>
      <c r="O760" s="76"/>
      <c r="P760" s="77" t="s">
        <v>66</v>
      </c>
      <c r="Q760" s="296" t="s">
        <v>98</v>
      </c>
      <c r="R760" s="296"/>
      <c r="S760" s="296"/>
      <c r="T760" s="73" t="s">
        <v>47</v>
      </c>
      <c r="U760" s="309"/>
      <c r="V760" s="309"/>
      <c r="W760" s="81" t="s">
        <v>53</v>
      </c>
      <c r="X760" s="82"/>
    </row>
    <row r="761" spans="1:24" ht="18.75" customHeight="1">
      <c r="A761" s="75" t="s">
        <v>76</v>
      </c>
      <c r="B761" s="73" t="s">
        <v>47</v>
      </c>
      <c r="C761" s="76"/>
      <c r="D761" s="77" t="s">
        <v>77</v>
      </c>
      <c r="E761" s="85" t="s">
        <v>78</v>
      </c>
      <c r="F761" s="85"/>
      <c r="G761" s="85"/>
      <c r="H761" s="73" t="s">
        <v>47</v>
      </c>
      <c r="I761" s="307"/>
      <c r="J761" s="307"/>
      <c r="K761" s="81" t="s">
        <v>53</v>
      </c>
      <c r="L761" s="82">
        <f>+IF(L752-I752&lt;0,0,L752-I752)+IF(L756-I756&lt;0,0,L756-I756)</f>
        <v>0</v>
      </c>
      <c r="M761" s="75" t="s">
        <v>76</v>
      </c>
      <c r="N761" s="73" t="s">
        <v>47</v>
      </c>
      <c r="O761" s="76"/>
      <c r="P761" s="77" t="s">
        <v>77</v>
      </c>
      <c r="Q761" s="85" t="s">
        <v>78</v>
      </c>
      <c r="R761" s="85"/>
      <c r="S761" s="85"/>
      <c r="T761" s="73" t="s">
        <v>47</v>
      </c>
      <c r="U761" s="307"/>
      <c r="V761" s="307"/>
      <c r="W761" s="81" t="s">
        <v>53</v>
      </c>
      <c r="X761" s="82">
        <f>+IF(X752-U752&lt;0,0,X752-U752)+IF(X756-U756&lt;0,0,X756-U756)</f>
        <v>0</v>
      </c>
    </row>
    <row r="762" spans="1:24" ht="18.75" customHeight="1">
      <c r="A762" s="86" t="s">
        <v>122</v>
      </c>
      <c r="B762" s="87"/>
      <c r="C762" s="76"/>
      <c r="D762" s="77" t="s">
        <v>57</v>
      </c>
      <c r="E762" s="296" t="s">
        <v>123</v>
      </c>
      <c r="F762" s="296"/>
      <c r="G762" s="296"/>
      <c r="H762" s="73" t="s">
        <v>47</v>
      </c>
      <c r="I762" s="307"/>
      <c r="J762" s="307"/>
      <c r="K762" s="81" t="s">
        <v>53</v>
      </c>
      <c r="L762" s="82"/>
      <c r="M762" s="86" t="s">
        <v>122</v>
      </c>
      <c r="N762" s="87"/>
      <c r="O762" s="76"/>
      <c r="P762" s="77" t="s">
        <v>57</v>
      </c>
      <c r="Q762" s="296" t="s">
        <v>123</v>
      </c>
      <c r="R762" s="296"/>
      <c r="S762" s="296"/>
      <c r="T762" s="73" t="s">
        <v>47</v>
      </c>
      <c r="U762" s="307"/>
      <c r="V762" s="307"/>
      <c r="W762" s="81" t="s">
        <v>53</v>
      </c>
      <c r="X762" s="82"/>
    </row>
    <row r="763" spans="1:24" ht="18.75" customHeight="1">
      <c r="A763" s="314" t="s">
        <v>81</v>
      </c>
      <c r="B763" s="308"/>
      <c r="C763" s="76"/>
      <c r="D763" s="77"/>
      <c r="E763" s="78"/>
      <c r="F763" s="78"/>
      <c r="G763" s="78"/>
      <c r="H763" s="73" t="s">
        <v>47</v>
      </c>
      <c r="I763" s="307">
        <f>'[2]LUONG T7'!P85</f>
        <v>0</v>
      </c>
      <c r="J763" s="307"/>
      <c r="K763" s="81" t="s">
        <v>53</v>
      </c>
      <c r="L763" s="82"/>
      <c r="M763" s="314" t="s">
        <v>81</v>
      </c>
      <c r="N763" s="308"/>
      <c r="O763" s="76"/>
      <c r="P763" s="77"/>
      <c r="Q763" s="78"/>
      <c r="R763" s="78"/>
      <c r="S763" s="78"/>
      <c r="T763" s="73" t="s">
        <v>47</v>
      </c>
      <c r="U763" s="307">
        <f>'[2]LUONG T7'!P87</f>
        <v>0</v>
      </c>
      <c r="V763" s="307"/>
      <c r="W763" s="81" t="s">
        <v>53</v>
      </c>
      <c r="X763" s="82"/>
    </row>
    <row r="764" spans="1:24" ht="18.75" customHeight="1">
      <c r="A764" s="75" t="s">
        <v>82</v>
      </c>
      <c r="B764" s="73" t="s">
        <v>47</v>
      </c>
      <c r="C764" s="76"/>
      <c r="D764" s="77"/>
      <c r="E764" s="78" t="s">
        <v>83</v>
      </c>
      <c r="F764" s="78"/>
      <c r="G764" s="78"/>
      <c r="H764" s="73" t="s">
        <v>47</v>
      </c>
      <c r="I764" s="307">
        <f>L761</f>
        <v>0</v>
      </c>
      <c r="J764" s="307"/>
      <c r="K764" s="81" t="s">
        <v>53</v>
      </c>
      <c r="L764" s="82"/>
      <c r="M764" s="75" t="s">
        <v>82</v>
      </c>
      <c r="N764" s="73" t="s">
        <v>47</v>
      </c>
      <c r="O764" s="76"/>
      <c r="P764" s="77"/>
      <c r="Q764" s="78" t="s">
        <v>83</v>
      </c>
      <c r="R764" s="78"/>
      <c r="S764" s="78"/>
      <c r="T764" s="73" t="s">
        <v>47</v>
      </c>
      <c r="U764" s="307">
        <f>X761</f>
        <v>0</v>
      </c>
      <c r="V764" s="307"/>
      <c r="W764" s="81" t="s">
        <v>53</v>
      </c>
      <c r="X764" s="82"/>
    </row>
    <row r="765" spans="1:24" ht="18.75" customHeight="1">
      <c r="A765" s="311" t="s">
        <v>84</v>
      </c>
      <c r="B765" s="312"/>
      <c r="C765" s="312"/>
      <c r="D765" s="312"/>
      <c r="E765" s="312"/>
      <c r="F765" s="312"/>
      <c r="G765" s="73" t="s">
        <v>47</v>
      </c>
      <c r="H765" s="313">
        <f>I752+I753+I754+I755+I756+I759+I763+I764</f>
        <v>0</v>
      </c>
      <c r="I765" s="313"/>
      <c r="J765" s="313"/>
      <c r="K765" s="81" t="s">
        <v>53</v>
      </c>
      <c r="M765" s="311" t="s">
        <v>84</v>
      </c>
      <c r="N765" s="312"/>
      <c r="O765" s="312"/>
      <c r="P765" s="312"/>
      <c r="Q765" s="312"/>
      <c r="R765" s="312"/>
      <c r="S765" s="73" t="s">
        <v>47</v>
      </c>
      <c r="T765" s="313">
        <f>U752+U753+U754+U755+U756+U759+U763+U764</f>
        <v>0</v>
      </c>
      <c r="U765" s="313"/>
      <c r="V765" s="313"/>
      <c r="W765" s="81" t="s">
        <v>53</v>
      </c>
    </row>
    <row r="766" spans="1:24" ht="18.75" customHeight="1">
      <c r="A766" s="88"/>
      <c r="B766" s="89"/>
      <c r="C766" s="89"/>
      <c r="D766" s="89"/>
      <c r="E766" s="89"/>
      <c r="F766" s="89"/>
      <c r="G766" s="89"/>
      <c r="H766" s="89"/>
      <c r="I766" s="89"/>
      <c r="J766" s="89"/>
      <c r="K766" s="90"/>
      <c r="M766" s="88"/>
      <c r="N766" s="89"/>
      <c r="O766" s="89"/>
      <c r="P766" s="89"/>
      <c r="Q766" s="89"/>
      <c r="R766" s="89"/>
      <c r="S766" s="89"/>
      <c r="T766" s="89"/>
      <c r="U766" s="89"/>
      <c r="V766" s="89"/>
      <c r="W766" s="90"/>
    </row>
    <row r="767" spans="1:24" ht="18.75" customHeight="1">
      <c r="A767" s="321" t="s">
        <v>85</v>
      </c>
      <c r="B767" s="322"/>
      <c r="C767" s="322"/>
      <c r="D767" s="322"/>
      <c r="E767" s="322"/>
      <c r="F767" s="322"/>
      <c r="G767" s="73"/>
      <c r="H767" s="73"/>
      <c r="I767" s="73"/>
      <c r="J767" s="73"/>
      <c r="K767" s="81"/>
      <c r="M767" s="321" t="s">
        <v>85</v>
      </c>
      <c r="N767" s="322"/>
      <c r="O767" s="322"/>
      <c r="P767" s="322"/>
      <c r="Q767" s="322"/>
      <c r="R767" s="322"/>
      <c r="S767" s="73"/>
      <c r="T767" s="73"/>
      <c r="U767" s="73"/>
      <c r="V767" s="73"/>
      <c r="W767" s="81"/>
    </row>
    <row r="768" spans="1:24" ht="18.75" customHeight="1">
      <c r="A768" s="315" t="s">
        <v>86</v>
      </c>
      <c r="B768" s="316"/>
      <c r="C768" s="316"/>
      <c r="D768" s="316"/>
      <c r="E768" s="316"/>
      <c r="F768" s="316"/>
      <c r="G768" s="73" t="s">
        <v>47</v>
      </c>
      <c r="H768" s="323">
        <f>IF(($L$1-(C752+C753+C754+C755))&gt;12,0,F749*8%)</f>
        <v>0</v>
      </c>
      <c r="I768" s="323"/>
      <c r="J768" s="323"/>
      <c r="K768" s="81" t="s">
        <v>53</v>
      </c>
      <c r="M768" s="315" t="s">
        <v>86</v>
      </c>
      <c r="N768" s="316"/>
      <c r="O768" s="316"/>
      <c r="P768" s="316"/>
      <c r="Q768" s="316"/>
      <c r="R768" s="316"/>
      <c r="S768" s="73" t="s">
        <v>47</v>
      </c>
      <c r="T768" s="323">
        <f>IF(($L$1-(O752+O753+O754+O755))&gt;12,0,R749*8%)</f>
        <v>0</v>
      </c>
      <c r="U768" s="323"/>
      <c r="V768" s="323"/>
      <c r="W768" s="81" t="s">
        <v>53</v>
      </c>
    </row>
    <row r="769" spans="1:24" ht="18.75" customHeight="1">
      <c r="A769" s="315" t="s">
        <v>87</v>
      </c>
      <c r="B769" s="316"/>
      <c r="C769" s="316"/>
      <c r="D769" s="316"/>
      <c r="E769" s="316"/>
      <c r="F769" s="316"/>
      <c r="G769" s="73" t="s">
        <v>47</v>
      </c>
      <c r="H769" s="317">
        <f>IF(($L$1-(C752+C753+C754+C755))&gt;12,0,F749*1.5%)</f>
        <v>0</v>
      </c>
      <c r="I769" s="317"/>
      <c r="J769" s="317"/>
      <c r="K769" s="81" t="s">
        <v>53</v>
      </c>
      <c r="M769" s="315" t="s">
        <v>87</v>
      </c>
      <c r="N769" s="316"/>
      <c r="O769" s="316"/>
      <c r="P769" s="316"/>
      <c r="Q769" s="316"/>
      <c r="R769" s="316"/>
      <c r="S769" s="73" t="s">
        <v>47</v>
      </c>
      <c r="T769" s="317">
        <f>IF(($L$1-(O752+O753+O754+O755))&gt;12,0,R749*1.5%)</f>
        <v>0</v>
      </c>
      <c r="U769" s="317"/>
      <c r="V769" s="317"/>
      <c r="W769" s="81" t="s">
        <v>53</v>
      </c>
    </row>
    <row r="770" spans="1:24" ht="18.75" customHeight="1">
      <c r="A770" s="315" t="s">
        <v>88</v>
      </c>
      <c r="B770" s="316"/>
      <c r="C770" s="316"/>
      <c r="D770" s="316"/>
      <c r="E770" s="316"/>
      <c r="F770" s="316"/>
      <c r="G770" s="73" t="s">
        <v>47</v>
      </c>
      <c r="H770" s="317">
        <f>IF(($L$1-(C752+C753+C754+C755))&gt;12,0,F749*1%)</f>
        <v>0</v>
      </c>
      <c r="I770" s="317"/>
      <c r="J770" s="317"/>
      <c r="K770" s="81" t="s">
        <v>53</v>
      </c>
      <c r="M770" s="315" t="s">
        <v>88</v>
      </c>
      <c r="N770" s="316"/>
      <c r="O770" s="316"/>
      <c r="P770" s="316"/>
      <c r="Q770" s="316"/>
      <c r="R770" s="316"/>
      <c r="S770" s="73" t="s">
        <v>47</v>
      </c>
      <c r="T770" s="317">
        <f>IF(($L$1-(O752+O753+O754+O755))&gt;12,0,R749*1%)</f>
        <v>0</v>
      </c>
      <c r="U770" s="317"/>
      <c r="V770" s="317"/>
      <c r="W770" s="81" t="s">
        <v>53</v>
      </c>
    </row>
    <row r="771" spans="1:24" ht="18.75" customHeight="1">
      <c r="A771" s="315" t="s">
        <v>89</v>
      </c>
      <c r="B771" s="316"/>
      <c r="C771" s="316"/>
      <c r="D771" s="316"/>
      <c r="E771" s="316"/>
      <c r="F771" s="316"/>
      <c r="G771" s="73" t="s">
        <v>47</v>
      </c>
      <c r="H771" s="317">
        <v>0</v>
      </c>
      <c r="I771" s="317"/>
      <c r="J771" s="317"/>
      <c r="K771" s="81" t="s">
        <v>53</v>
      </c>
      <c r="M771" s="315" t="s">
        <v>89</v>
      </c>
      <c r="N771" s="316"/>
      <c r="O771" s="316"/>
      <c r="P771" s="316"/>
      <c r="Q771" s="316"/>
      <c r="R771" s="316"/>
      <c r="S771" s="73" t="s">
        <v>47</v>
      </c>
      <c r="T771" s="317">
        <v>0</v>
      </c>
      <c r="U771" s="317"/>
      <c r="V771" s="317"/>
      <c r="W771" s="81" t="s">
        <v>53</v>
      </c>
    </row>
    <row r="772" spans="1:24" ht="18.75" customHeight="1">
      <c r="A772" s="318" t="s">
        <v>90</v>
      </c>
      <c r="B772" s="319"/>
      <c r="C772" s="319"/>
      <c r="D772" s="319"/>
      <c r="E772" s="319"/>
      <c r="F772" s="319"/>
      <c r="G772" s="73" t="s">
        <v>47</v>
      </c>
      <c r="H772" s="320">
        <f>SUM(H768:J771)</f>
        <v>0</v>
      </c>
      <c r="I772" s="320"/>
      <c r="J772" s="320"/>
      <c r="K772" s="81" t="s">
        <v>53</v>
      </c>
      <c r="M772" s="318" t="s">
        <v>90</v>
      </c>
      <c r="N772" s="319"/>
      <c r="O772" s="319"/>
      <c r="P772" s="319"/>
      <c r="Q772" s="319"/>
      <c r="R772" s="319"/>
      <c r="S772" s="73" t="s">
        <v>47</v>
      </c>
      <c r="T772" s="320">
        <f>SUM(T768:V771)</f>
        <v>0</v>
      </c>
      <c r="U772" s="320"/>
      <c r="V772" s="320"/>
      <c r="W772" s="81" t="s">
        <v>53</v>
      </c>
    </row>
    <row r="773" spans="1:24" ht="18.75" customHeight="1">
      <c r="A773" s="315" t="s">
        <v>91</v>
      </c>
      <c r="B773" s="316"/>
      <c r="C773" s="316"/>
      <c r="D773" s="316"/>
      <c r="E773" s="316"/>
      <c r="F773" s="316"/>
      <c r="G773" s="73" t="s">
        <v>47</v>
      </c>
      <c r="H773" s="327">
        <f>ROUND(H765-H772,-2)</f>
        <v>0</v>
      </c>
      <c r="I773" s="327"/>
      <c r="J773" s="327"/>
      <c r="K773" s="81" t="s">
        <v>53</v>
      </c>
      <c r="M773" s="315" t="s">
        <v>91</v>
      </c>
      <c r="N773" s="316"/>
      <c r="O773" s="316"/>
      <c r="P773" s="316"/>
      <c r="Q773" s="316"/>
      <c r="R773" s="316"/>
      <c r="S773" s="73" t="s">
        <v>47</v>
      </c>
      <c r="T773" s="327">
        <f>ROUND(T765-T772,-2)</f>
        <v>0</v>
      </c>
      <c r="U773" s="327"/>
      <c r="V773" s="327"/>
      <c r="W773" s="81" t="s">
        <v>53</v>
      </c>
    </row>
    <row r="774" spans="1:24" ht="18.75" customHeight="1">
      <c r="A774" s="91"/>
      <c r="B774" s="92"/>
      <c r="C774" s="92"/>
      <c r="D774" s="92"/>
      <c r="E774" s="92"/>
      <c r="F774" s="92"/>
      <c r="G774" s="92"/>
      <c r="H774" s="92"/>
      <c r="I774" s="92"/>
      <c r="J774" s="92"/>
      <c r="K774" s="93"/>
      <c r="M774" s="91"/>
      <c r="N774" s="92"/>
      <c r="O774" s="92"/>
      <c r="P774" s="92"/>
      <c r="Q774" s="92"/>
      <c r="R774" s="92"/>
      <c r="S774" s="92"/>
      <c r="T774" s="92"/>
      <c r="U774" s="92"/>
      <c r="V774" s="92"/>
      <c r="W774" s="93"/>
    </row>
    <row r="775" spans="1:24" ht="18.75" customHeight="1">
      <c r="A775" s="94"/>
      <c r="B775" s="73"/>
      <c r="C775" s="73"/>
      <c r="D775" s="73"/>
      <c r="E775" s="73"/>
      <c r="F775" s="73"/>
      <c r="G775" s="73"/>
      <c r="H775" s="73"/>
      <c r="I775" s="324" t="s">
        <v>92</v>
      </c>
      <c r="J775" s="324"/>
      <c r="K775" s="328"/>
      <c r="M775" s="94"/>
      <c r="N775" s="73"/>
      <c r="O775" s="73"/>
      <c r="P775" s="73"/>
      <c r="Q775" s="73"/>
      <c r="R775" s="73"/>
      <c r="S775" s="73"/>
      <c r="T775" s="73"/>
      <c r="U775" s="324" t="s">
        <v>92</v>
      </c>
      <c r="V775" s="324"/>
      <c r="W775" s="328"/>
    </row>
    <row r="776" spans="1:24" ht="18.75" customHeight="1">
      <c r="A776" s="94"/>
      <c r="B776" s="324"/>
      <c r="C776" s="324"/>
      <c r="D776" s="324"/>
      <c r="E776" s="324"/>
      <c r="F776" s="73"/>
      <c r="G776" s="73"/>
      <c r="H776" s="73"/>
      <c r="I776" s="73"/>
      <c r="J776" s="73"/>
      <c r="K776" s="74"/>
      <c r="M776" s="94"/>
      <c r="N776" s="324"/>
      <c r="O776" s="324"/>
      <c r="P776" s="324"/>
      <c r="Q776" s="324"/>
      <c r="R776" s="73"/>
      <c r="S776" s="73"/>
      <c r="T776" s="73"/>
      <c r="U776" s="73"/>
      <c r="V776" s="73"/>
      <c r="W776" s="74"/>
    </row>
    <row r="777" spans="1:24" ht="18.75" customHeight="1" thickBot="1">
      <c r="A777" s="95"/>
      <c r="B777" s="96"/>
      <c r="C777" s="96"/>
      <c r="D777" s="96"/>
      <c r="E777" s="96"/>
      <c r="F777" s="96"/>
      <c r="G777" s="96"/>
      <c r="H777" s="96"/>
      <c r="I777" s="325" t="s">
        <v>93</v>
      </c>
      <c r="J777" s="325"/>
      <c r="K777" s="326"/>
      <c r="M777" s="95"/>
      <c r="N777" s="96"/>
      <c r="O777" s="96"/>
      <c r="P777" s="96"/>
      <c r="Q777" s="96"/>
      <c r="R777" s="96"/>
      <c r="S777" s="96"/>
      <c r="T777" s="96"/>
      <c r="U777" s="325" t="s">
        <v>93</v>
      </c>
      <c r="V777" s="325"/>
      <c r="W777" s="326"/>
    </row>
    <row r="779" spans="1:24" ht="18.75" customHeight="1" thickTop="1">
      <c r="A779" s="300" t="s">
        <v>41</v>
      </c>
      <c r="B779" s="301"/>
      <c r="C779" s="301"/>
      <c r="D779" s="301"/>
      <c r="E779" s="301"/>
      <c r="F779" s="301"/>
      <c r="G779" s="301"/>
      <c r="H779" s="301"/>
      <c r="I779" s="301"/>
      <c r="J779" s="301"/>
      <c r="K779" s="302"/>
      <c r="L779" s="69">
        <v>25</v>
      </c>
      <c r="M779" s="300" t="s">
        <v>41</v>
      </c>
      <c r="N779" s="301"/>
      <c r="O779" s="301"/>
      <c r="P779" s="301"/>
      <c r="Q779" s="301"/>
      <c r="R779" s="301"/>
      <c r="S779" s="301"/>
      <c r="T779" s="301"/>
      <c r="U779" s="301"/>
      <c r="V779" s="301"/>
      <c r="W779" s="302"/>
      <c r="X779" s="69">
        <v>25</v>
      </c>
    </row>
    <row r="780" spans="1:24" ht="18.75" customHeight="1">
      <c r="A780" s="70" t="s">
        <v>150</v>
      </c>
      <c r="B780" s="71"/>
      <c r="C780" s="71"/>
      <c r="D780" s="71"/>
      <c r="E780" s="71"/>
      <c r="F780" s="71"/>
      <c r="G780" s="71"/>
      <c r="H780" s="71"/>
      <c r="I780" s="71"/>
      <c r="J780" s="71"/>
      <c r="K780" s="72"/>
      <c r="M780" s="70" t="s">
        <v>151</v>
      </c>
      <c r="N780" s="71"/>
      <c r="O780" s="71"/>
      <c r="P780" s="71"/>
      <c r="Q780" s="71"/>
      <c r="R780" s="71"/>
      <c r="S780" s="71"/>
      <c r="T780" s="71"/>
      <c r="U780" s="71"/>
      <c r="V780" s="71"/>
      <c r="W780" s="72"/>
    </row>
    <row r="781" spans="1:24" ht="18.75" customHeight="1">
      <c r="A781" s="303" t="s">
        <v>45</v>
      </c>
      <c r="B781" s="304"/>
      <c r="C781" s="304"/>
      <c r="D781" s="304"/>
      <c r="E781" s="304"/>
      <c r="F781" s="304"/>
      <c r="G781" s="304"/>
      <c r="H781" s="304"/>
      <c r="I781" s="304"/>
      <c r="J781" s="304"/>
      <c r="K781" s="305"/>
      <c r="M781" s="303" t="s">
        <v>45</v>
      </c>
      <c r="N781" s="304"/>
      <c r="O781" s="304"/>
      <c r="P781" s="304"/>
      <c r="Q781" s="304"/>
      <c r="R781" s="304"/>
      <c r="S781" s="304"/>
      <c r="T781" s="304"/>
      <c r="U781" s="304"/>
      <c r="V781" s="304"/>
      <c r="W781" s="305"/>
    </row>
    <row r="782" spans="1:24" ht="18.75" customHeight="1">
      <c r="A782" s="295" t="s">
        <v>46</v>
      </c>
      <c r="B782" s="296"/>
      <c r="C782" s="296"/>
      <c r="D782" s="296"/>
      <c r="E782" s="73" t="s">
        <v>47</v>
      </c>
      <c r="F782" s="297">
        <f>'[2]Bang TH nop'!B85</f>
        <v>0</v>
      </c>
      <c r="G782" s="296"/>
      <c r="H782" s="296"/>
      <c r="I782" s="296"/>
      <c r="J782" s="296"/>
      <c r="K782" s="299"/>
      <c r="M782" s="295" t="s">
        <v>46</v>
      </c>
      <c r="N782" s="296"/>
      <c r="O782" s="296"/>
      <c r="P782" s="296"/>
      <c r="Q782" s="73" t="s">
        <v>47</v>
      </c>
      <c r="R782" s="297">
        <f>'[2]Bang TH nop'!B87</f>
        <v>0</v>
      </c>
      <c r="S782" s="296"/>
      <c r="T782" s="296"/>
      <c r="U782" s="296"/>
      <c r="V782" s="296"/>
      <c r="W782" s="299"/>
    </row>
    <row r="783" spans="1:24" ht="18.75" customHeight="1">
      <c r="A783" s="295" t="s">
        <v>49</v>
      </c>
      <c r="B783" s="296"/>
      <c r="C783" s="296"/>
      <c r="D783" s="296"/>
      <c r="E783" s="73" t="s">
        <v>47</v>
      </c>
      <c r="F783" s="297">
        <f>'[2]Bang TH nop'!C85</f>
        <v>0</v>
      </c>
      <c r="G783" s="297"/>
      <c r="H783" s="297"/>
      <c r="I783" s="297"/>
      <c r="J783" s="297"/>
      <c r="K783" s="298"/>
      <c r="M783" s="295" t="s">
        <v>49</v>
      </c>
      <c r="N783" s="296"/>
      <c r="O783" s="296"/>
      <c r="P783" s="296"/>
      <c r="Q783" s="73" t="s">
        <v>47</v>
      </c>
      <c r="R783" s="297">
        <f>'[2]Bang TH nop'!C87</f>
        <v>0</v>
      </c>
      <c r="S783" s="297"/>
      <c r="T783" s="297"/>
      <c r="U783" s="297"/>
      <c r="V783" s="297"/>
      <c r="W783" s="298"/>
    </row>
    <row r="784" spans="1:24" ht="18.75" customHeight="1">
      <c r="A784" s="295" t="s">
        <v>50</v>
      </c>
      <c r="B784" s="296"/>
      <c r="C784" s="296"/>
      <c r="D784" s="296"/>
      <c r="E784" s="73" t="s">
        <v>47</v>
      </c>
      <c r="F784" s="296" t="s">
        <v>121</v>
      </c>
      <c r="G784" s="296"/>
      <c r="H784" s="296"/>
      <c r="I784" s="296"/>
      <c r="J784" s="296"/>
      <c r="K784" s="299"/>
      <c r="M784" s="295" t="s">
        <v>50</v>
      </c>
      <c r="N784" s="296"/>
      <c r="O784" s="296"/>
      <c r="P784" s="296"/>
      <c r="Q784" s="73" t="s">
        <v>47</v>
      </c>
      <c r="R784" s="296" t="s">
        <v>121</v>
      </c>
      <c r="S784" s="296"/>
      <c r="T784" s="296"/>
      <c r="U784" s="296"/>
      <c r="V784" s="296"/>
      <c r="W784" s="299"/>
    </row>
    <row r="785" spans="1:24" ht="18.75" customHeight="1">
      <c r="A785" s="303" t="s">
        <v>51</v>
      </c>
      <c r="B785" s="304"/>
      <c r="C785" s="304"/>
      <c r="D785" s="304"/>
      <c r="E785" s="304"/>
      <c r="F785" s="304"/>
      <c r="G785" s="304"/>
      <c r="H785" s="304"/>
      <c r="I785" s="304"/>
      <c r="J785" s="304"/>
      <c r="K785" s="305"/>
      <c r="M785" s="303" t="s">
        <v>51</v>
      </c>
      <c r="N785" s="304"/>
      <c r="O785" s="304"/>
      <c r="P785" s="304"/>
      <c r="Q785" s="304"/>
      <c r="R785" s="304"/>
      <c r="S785" s="304"/>
      <c r="T785" s="304"/>
      <c r="U785" s="304"/>
      <c r="V785" s="304"/>
      <c r="W785" s="305"/>
    </row>
    <row r="786" spans="1:24" ht="18.75" customHeight="1">
      <c r="A786" s="295" t="s">
        <v>52</v>
      </c>
      <c r="B786" s="296"/>
      <c r="C786" s="296"/>
      <c r="D786" s="296"/>
      <c r="E786" s="73" t="s">
        <v>47</v>
      </c>
      <c r="F786" s="310">
        <v>2915400</v>
      </c>
      <c r="G786" s="310"/>
      <c r="H786" s="310"/>
      <c r="I786" s="310"/>
      <c r="J786" s="73" t="s">
        <v>53</v>
      </c>
      <c r="K786" s="74"/>
      <c r="M786" s="295" t="s">
        <v>52</v>
      </c>
      <c r="N786" s="296"/>
      <c r="O786" s="296"/>
      <c r="P786" s="296"/>
      <c r="Q786" s="73" t="s">
        <v>47</v>
      </c>
      <c r="R786" s="310">
        <v>2915400</v>
      </c>
      <c r="S786" s="310"/>
      <c r="T786" s="310"/>
      <c r="U786" s="310"/>
      <c r="V786" s="73" t="s">
        <v>53</v>
      </c>
      <c r="W786" s="74"/>
    </row>
    <row r="787" spans="1:24" ht="18.75" customHeight="1">
      <c r="A787" s="75" t="s">
        <v>54</v>
      </c>
      <c r="B787" s="73"/>
      <c r="C787" s="76"/>
      <c r="D787" s="77"/>
      <c r="E787" s="78"/>
      <c r="F787" s="78"/>
      <c r="G787" s="78"/>
      <c r="H787" s="73"/>
      <c r="I787" s="79">
        <f>'[2]LUONG T7'!F89</f>
        <v>0</v>
      </c>
      <c r="J787" s="80"/>
      <c r="K787" s="81"/>
      <c r="M787" s="75" t="s">
        <v>54</v>
      </c>
      <c r="N787" s="73"/>
      <c r="O787" s="76"/>
      <c r="P787" s="77"/>
      <c r="Q787" s="78"/>
      <c r="R787" s="78"/>
      <c r="S787" s="78"/>
      <c r="T787" s="73"/>
      <c r="U787" s="79">
        <f>'[2]LUONG T7'!F91</f>
        <v>0</v>
      </c>
      <c r="V787" s="80"/>
      <c r="W787" s="81"/>
    </row>
    <row r="788" spans="1:24" ht="18.75" customHeight="1">
      <c r="A788" s="75" t="s">
        <v>55</v>
      </c>
      <c r="B788" s="73"/>
      <c r="C788" s="76"/>
      <c r="D788" s="77"/>
      <c r="E788" s="78"/>
      <c r="F788" s="78"/>
      <c r="G788" s="78"/>
      <c r="H788" s="73"/>
      <c r="I788" s="79" t="e">
        <f>I789/C789/8</f>
        <v>#DIV/0!</v>
      </c>
      <c r="J788" s="80"/>
      <c r="K788" s="81"/>
      <c r="M788" s="75" t="s">
        <v>55</v>
      </c>
      <c r="N788" s="73"/>
      <c r="O788" s="76"/>
      <c r="P788" s="77"/>
      <c r="Q788" s="78"/>
      <c r="R788" s="78"/>
      <c r="S788" s="78"/>
      <c r="T788" s="73"/>
      <c r="U788" s="79" t="e">
        <f>U789/O789/8</f>
        <v>#DIV/0!</v>
      </c>
      <c r="V788" s="80"/>
      <c r="W788" s="81"/>
    </row>
    <row r="789" spans="1:24" ht="18.75" customHeight="1">
      <c r="A789" s="75" t="s">
        <v>56</v>
      </c>
      <c r="B789" s="73" t="s">
        <v>47</v>
      </c>
      <c r="C789" s="76">
        <f>'[2]LUONG T7'!I88</f>
        <v>0</v>
      </c>
      <c r="D789" s="77" t="s">
        <v>57</v>
      </c>
      <c r="E789" s="308" t="s">
        <v>58</v>
      </c>
      <c r="F789" s="308"/>
      <c r="G789" s="308"/>
      <c r="H789" s="73" t="s">
        <v>47</v>
      </c>
      <c r="I789" s="309">
        <f>'[2]LUONG T7'!I89</f>
        <v>0</v>
      </c>
      <c r="J789" s="309"/>
      <c r="K789" s="81" t="s">
        <v>53</v>
      </c>
      <c r="L789" s="82">
        <f>F786/L779*C789</f>
        <v>0</v>
      </c>
      <c r="M789" s="75" t="s">
        <v>56</v>
      </c>
      <c r="N789" s="73" t="s">
        <v>47</v>
      </c>
      <c r="O789" s="76">
        <f>'[2]LUONG T7'!I90</f>
        <v>0</v>
      </c>
      <c r="P789" s="77" t="s">
        <v>57</v>
      </c>
      <c r="Q789" s="308" t="s">
        <v>58</v>
      </c>
      <c r="R789" s="308"/>
      <c r="S789" s="308"/>
      <c r="T789" s="73" t="s">
        <v>47</v>
      </c>
      <c r="U789" s="309" t="e">
        <f>U787*680/((O789-O796)*8+O796*7+O793)*((O789-O796)*8+O796*7)</f>
        <v>#DIV/0!</v>
      </c>
      <c r="V789" s="309"/>
      <c r="W789" s="81" t="s">
        <v>53</v>
      </c>
      <c r="X789" s="82">
        <f>R786/X779*O789</f>
        <v>0</v>
      </c>
    </row>
    <row r="790" spans="1:24" ht="18.75" customHeight="1">
      <c r="A790" s="75" t="s">
        <v>59</v>
      </c>
      <c r="B790" s="73" t="s">
        <v>47</v>
      </c>
      <c r="C790" s="76">
        <f>'[2]LUONG T7'!J88</f>
        <v>0</v>
      </c>
      <c r="D790" s="77" t="s">
        <v>57</v>
      </c>
      <c r="E790" s="296" t="s">
        <v>60</v>
      </c>
      <c r="F790" s="296"/>
      <c r="G790" s="296"/>
      <c r="H790" s="73" t="s">
        <v>47</v>
      </c>
      <c r="I790" s="307">
        <f>$F$8/$L$1*C790</f>
        <v>0</v>
      </c>
      <c r="J790" s="307"/>
      <c r="K790" s="81" t="s">
        <v>53</v>
      </c>
      <c r="L790" s="82"/>
      <c r="M790" s="75" t="s">
        <v>59</v>
      </c>
      <c r="N790" s="73" t="s">
        <v>47</v>
      </c>
      <c r="O790" s="76">
        <f>'[2]LUONG T7'!J90</f>
        <v>0</v>
      </c>
      <c r="P790" s="77" t="s">
        <v>57</v>
      </c>
      <c r="Q790" s="296" t="s">
        <v>60</v>
      </c>
      <c r="R790" s="296"/>
      <c r="S790" s="296"/>
      <c r="T790" s="73" t="s">
        <v>47</v>
      </c>
      <c r="U790" s="307">
        <f>$F$8/$L$1*O790</f>
        <v>0</v>
      </c>
      <c r="V790" s="307"/>
      <c r="W790" s="81" t="s">
        <v>53</v>
      </c>
      <c r="X790" s="82"/>
    </row>
    <row r="791" spans="1:24" ht="18.75" customHeight="1">
      <c r="A791" s="75" t="s">
        <v>61</v>
      </c>
      <c r="B791" s="73" t="s">
        <v>47</v>
      </c>
      <c r="C791" s="76">
        <f>'[2]LUONG T7'!K88</f>
        <v>0</v>
      </c>
      <c r="D791" s="77" t="s">
        <v>57</v>
      </c>
      <c r="E791" s="306" t="s">
        <v>62</v>
      </c>
      <c r="F791" s="306"/>
      <c r="G791" s="306"/>
      <c r="H791" s="73" t="s">
        <v>47</v>
      </c>
      <c r="I791" s="307">
        <f>$F$8/$L$1*C791</f>
        <v>0</v>
      </c>
      <c r="J791" s="307"/>
      <c r="K791" s="81" t="s">
        <v>53</v>
      </c>
      <c r="L791" s="82"/>
      <c r="M791" s="75" t="s">
        <v>61</v>
      </c>
      <c r="N791" s="73" t="s">
        <v>47</v>
      </c>
      <c r="O791" s="76">
        <f>'[2]LUONG T7'!K90</f>
        <v>0</v>
      </c>
      <c r="P791" s="77" t="s">
        <v>57</v>
      </c>
      <c r="Q791" s="306" t="s">
        <v>62</v>
      </c>
      <c r="R791" s="306"/>
      <c r="S791" s="306"/>
      <c r="T791" s="73" t="s">
        <v>47</v>
      </c>
      <c r="U791" s="307">
        <f>$F$8/$L$1*O791</f>
        <v>0</v>
      </c>
      <c r="V791" s="307"/>
      <c r="W791" s="81" t="s">
        <v>53</v>
      </c>
      <c r="X791" s="82"/>
    </row>
    <row r="792" spans="1:24" ht="18.75" customHeight="1">
      <c r="A792" s="75" t="s">
        <v>63</v>
      </c>
      <c r="B792" s="73" t="s">
        <v>47</v>
      </c>
      <c r="C792" s="76">
        <f>'[2]LUONG T7'!L88</f>
        <v>0</v>
      </c>
      <c r="D792" s="77" t="s">
        <v>57</v>
      </c>
      <c r="E792" s="306" t="s">
        <v>64</v>
      </c>
      <c r="F792" s="306"/>
      <c r="G792" s="306"/>
      <c r="H792" s="73" t="s">
        <v>47</v>
      </c>
      <c r="I792" s="307">
        <f>$F$8/$L$1*C792</f>
        <v>0</v>
      </c>
      <c r="J792" s="307"/>
      <c r="K792" s="81" t="s">
        <v>53</v>
      </c>
      <c r="L792" s="82"/>
      <c r="M792" s="75" t="s">
        <v>63</v>
      </c>
      <c r="N792" s="73" t="s">
        <v>47</v>
      </c>
      <c r="O792" s="76">
        <f>'[2]LUONG T7'!L90</f>
        <v>0</v>
      </c>
      <c r="P792" s="77" t="s">
        <v>57</v>
      </c>
      <c r="Q792" s="306" t="s">
        <v>64</v>
      </c>
      <c r="R792" s="306"/>
      <c r="S792" s="306"/>
      <c r="T792" s="73" t="s">
        <v>47</v>
      </c>
      <c r="U792" s="307">
        <f>$F$8/$L$1*O792</f>
        <v>0</v>
      </c>
      <c r="V792" s="307"/>
      <c r="W792" s="81" t="s">
        <v>53</v>
      </c>
      <c r="X792" s="82"/>
    </row>
    <row r="793" spans="1:24" ht="18.75" customHeight="1">
      <c r="A793" s="75" t="s">
        <v>65</v>
      </c>
      <c r="B793" s="73" t="s">
        <v>47</v>
      </c>
      <c r="C793" s="76">
        <f>'[2]LUONG T7'!Q88</f>
        <v>0</v>
      </c>
      <c r="D793" s="77" t="s">
        <v>66</v>
      </c>
      <c r="E793" s="296" t="s">
        <v>67</v>
      </c>
      <c r="F793" s="296"/>
      <c r="G793" s="296"/>
      <c r="H793" s="73" t="s">
        <v>47</v>
      </c>
      <c r="I793" s="307">
        <f>'[2]LUONG T7'!Q89</f>
        <v>0</v>
      </c>
      <c r="J793" s="307"/>
      <c r="K793" s="81" t="s">
        <v>53</v>
      </c>
      <c r="L793" s="82">
        <f>F786*C793/L779/8*1.5</f>
        <v>0</v>
      </c>
      <c r="M793" s="75" t="s">
        <v>65</v>
      </c>
      <c r="N793" s="73" t="s">
        <v>47</v>
      </c>
      <c r="O793" s="76">
        <f>'[2]LUONG T7'!Q90</f>
        <v>0</v>
      </c>
      <c r="P793" s="77" t="s">
        <v>66</v>
      </c>
      <c r="Q793" s="296" t="s">
        <v>67</v>
      </c>
      <c r="R793" s="296"/>
      <c r="S793" s="296"/>
      <c r="T793" s="73" t="s">
        <v>47</v>
      </c>
      <c r="U793" s="307" t="e">
        <f>U789/O789/8*O793</f>
        <v>#DIV/0!</v>
      </c>
      <c r="V793" s="307"/>
      <c r="W793" s="81" t="s">
        <v>53</v>
      </c>
      <c r="X793" s="82">
        <f>R786*O793/X779/8*1.5</f>
        <v>0</v>
      </c>
    </row>
    <row r="794" spans="1:24" ht="18.75" customHeight="1">
      <c r="A794" s="295" t="s">
        <v>68</v>
      </c>
      <c r="B794" s="296"/>
      <c r="C794" s="76"/>
      <c r="D794" s="77" t="s">
        <v>57</v>
      </c>
      <c r="E794" s="296" t="s">
        <v>69</v>
      </c>
      <c r="F794" s="296"/>
      <c r="G794" s="296"/>
      <c r="H794" s="83" t="s">
        <v>47</v>
      </c>
      <c r="I794" s="307"/>
      <c r="J794" s="307"/>
      <c r="K794" s="81" t="s">
        <v>53</v>
      </c>
      <c r="L794" s="82"/>
      <c r="M794" s="295" t="s">
        <v>68</v>
      </c>
      <c r="N794" s="296"/>
      <c r="O794" s="76"/>
      <c r="P794" s="77" t="s">
        <v>57</v>
      </c>
      <c r="Q794" s="296" t="s">
        <v>69</v>
      </c>
      <c r="R794" s="296"/>
      <c r="S794" s="296"/>
      <c r="T794" s="83" t="s">
        <v>47</v>
      </c>
      <c r="U794" s="307"/>
      <c r="V794" s="307"/>
      <c r="W794" s="81" t="s">
        <v>53</v>
      </c>
      <c r="X794" s="82"/>
    </row>
    <row r="795" spans="1:24" ht="18.75" customHeight="1">
      <c r="A795" s="75" t="s">
        <v>70</v>
      </c>
      <c r="B795" s="73" t="s">
        <v>47</v>
      </c>
      <c r="C795" s="76"/>
      <c r="D795" s="77" t="s">
        <v>57</v>
      </c>
      <c r="E795" s="296" t="s">
        <v>71</v>
      </c>
      <c r="F795" s="296"/>
      <c r="G795" s="296"/>
      <c r="H795" s="73" t="s">
        <v>47</v>
      </c>
      <c r="I795" s="307"/>
      <c r="J795" s="307"/>
      <c r="K795" s="81" t="s">
        <v>53</v>
      </c>
      <c r="L795" s="82"/>
      <c r="M795" s="75" t="s">
        <v>70</v>
      </c>
      <c r="N795" s="73" t="s">
        <v>47</v>
      </c>
      <c r="O795" s="76"/>
      <c r="P795" s="77" t="s">
        <v>57</v>
      </c>
      <c r="Q795" s="296" t="s">
        <v>71</v>
      </c>
      <c r="R795" s="296"/>
      <c r="S795" s="296"/>
      <c r="T795" s="73" t="s">
        <v>47</v>
      </c>
      <c r="U795" s="307"/>
      <c r="V795" s="307"/>
      <c r="W795" s="81" t="s">
        <v>53</v>
      </c>
      <c r="X795" s="82"/>
    </row>
    <row r="796" spans="1:24" ht="18.75" customHeight="1">
      <c r="A796" s="84" t="s">
        <v>72</v>
      </c>
      <c r="B796" s="73"/>
      <c r="C796" s="76">
        <f>'[2]LUONG T7'!M88</f>
        <v>0</v>
      </c>
      <c r="D796" s="77" t="s">
        <v>66</v>
      </c>
      <c r="E796" s="296" t="s">
        <v>73</v>
      </c>
      <c r="F796" s="296"/>
      <c r="G796" s="296"/>
      <c r="H796" s="73" t="s">
        <v>47</v>
      </c>
      <c r="I796" s="307">
        <f>$F$8*C796/8/$L$1</f>
        <v>0</v>
      </c>
      <c r="J796" s="307"/>
      <c r="K796" s="81" t="s">
        <v>53</v>
      </c>
      <c r="L796" s="82"/>
      <c r="M796" s="84" t="s">
        <v>72</v>
      </c>
      <c r="N796" s="73"/>
      <c r="O796" s="76">
        <f>'[2]LUONG T7'!M90</f>
        <v>0</v>
      </c>
      <c r="P796" s="77" t="s">
        <v>66</v>
      </c>
      <c r="Q796" s="296" t="s">
        <v>73</v>
      </c>
      <c r="R796" s="296"/>
      <c r="S796" s="296"/>
      <c r="T796" s="73" t="s">
        <v>47</v>
      </c>
      <c r="U796" s="307">
        <f>$F$8*O796/8/$L$1</f>
        <v>0</v>
      </c>
      <c r="V796" s="307"/>
      <c r="W796" s="81" t="s">
        <v>53</v>
      </c>
      <c r="X796" s="82"/>
    </row>
    <row r="797" spans="1:24" ht="18.75" customHeight="1">
      <c r="A797" s="75" t="s">
        <v>74</v>
      </c>
      <c r="B797" s="73" t="s">
        <v>47</v>
      </c>
      <c r="C797" s="76"/>
      <c r="D797" s="77" t="s">
        <v>66</v>
      </c>
      <c r="E797" s="296" t="s">
        <v>98</v>
      </c>
      <c r="F797" s="296"/>
      <c r="G797" s="296"/>
      <c r="H797" s="73" t="s">
        <v>47</v>
      </c>
      <c r="I797" s="309"/>
      <c r="J797" s="309"/>
      <c r="K797" s="81" t="s">
        <v>53</v>
      </c>
      <c r="L797" s="82"/>
      <c r="M797" s="75" t="s">
        <v>74</v>
      </c>
      <c r="N797" s="73" t="s">
        <v>47</v>
      </c>
      <c r="O797" s="76"/>
      <c r="P797" s="77" t="s">
        <v>66</v>
      </c>
      <c r="Q797" s="296" t="s">
        <v>98</v>
      </c>
      <c r="R797" s="296"/>
      <c r="S797" s="296"/>
      <c r="T797" s="73" t="s">
        <v>47</v>
      </c>
      <c r="U797" s="309"/>
      <c r="V797" s="309"/>
      <c r="W797" s="81" t="s">
        <v>53</v>
      </c>
      <c r="X797" s="82"/>
    </row>
    <row r="798" spans="1:24" ht="18.75" customHeight="1">
      <c r="A798" s="75" t="s">
        <v>76</v>
      </c>
      <c r="B798" s="73" t="s">
        <v>47</v>
      </c>
      <c r="C798" s="76"/>
      <c r="D798" s="77" t="s">
        <v>77</v>
      </c>
      <c r="E798" s="85" t="s">
        <v>78</v>
      </c>
      <c r="F798" s="85"/>
      <c r="G798" s="85"/>
      <c r="H798" s="73" t="s">
        <v>47</v>
      </c>
      <c r="I798" s="307"/>
      <c r="J798" s="307"/>
      <c r="K798" s="81" t="s">
        <v>53</v>
      </c>
      <c r="L798" s="82">
        <f>+IF(L789-I789&lt;0,0,L789-I789)+IF(L793-I793&lt;0,0,L793-I793)</f>
        <v>0</v>
      </c>
      <c r="M798" s="75" t="s">
        <v>76</v>
      </c>
      <c r="N798" s="73" t="s">
        <v>47</v>
      </c>
      <c r="O798" s="76"/>
      <c r="P798" s="77" t="s">
        <v>77</v>
      </c>
      <c r="Q798" s="85" t="s">
        <v>78</v>
      </c>
      <c r="R798" s="85"/>
      <c r="S798" s="85"/>
      <c r="T798" s="73" t="s">
        <v>47</v>
      </c>
      <c r="U798" s="307"/>
      <c r="V798" s="307"/>
      <c r="W798" s="81" t="s">
        <v>53</v>
      </c>
      <c r="X798" s="82" t="e">
        <f>+IF(X789-U789&lt;0,0,X789-U789)+IF(X793-U793&lt;0,0,X793-U793)</f>
        <v>#DIV/0!</v>
      </c>
    </row>
    <row r="799" spans="1:24" ht="18.75" customHeight="1">
      <c r="A799" s="86" t="s">
        <v>122</v>
      </c>
      <c r="B799" s="87"/>
      <c r="C799" s="76"/>
      <c r="D799" s="77" t="s">
        <v>57</v>
      </c>
      <c r="E799" s="296" t="s">
        <v>123</v>
      </c>
      <c r="F799" s="296"/>
      <c r="G799" s="296"/>
      <c r="H799" s="73" t="s">
        <v>47</v>
      </c>
      <c r="I799" s="307"/>
      <c r="J799" s="307"/>
      <c r="K799" s="81" t="s">
        <v>53</v>
      </c>
      <c r="L799" s="82"/>
      <c r="M799" s="86" t="s">
        <v>122</v>
      </c>
      <c r="N799" s="87"/>
      <c r="O799" s="76"/>
      <c r="P799" s="77" t="s">
        <v>57</v>
      </c>
      <c r="Q799" s="296" t="s">
        <v>123</v>
      </c>
      <c r="R799" s="296"/>
      <c r="S799" s="296"/>
      <c r="T799" s="73" t="s">
        <v>47</v>
      </c>
      <c r="U799" s="307"/>
      <c r="V799" s="307"/>
      <c r="W799" s="81" t="s">
        <v>53</v>
      </c>
      <c r="X799" s="82"/>
    </row>
    <row r="800" spans="1:24" ht="18.75" customHeight="1">
      <c r="A800" s="314" t="s">
        <v>81</v>
      </c>
      <c r="B800" s="308"/>
      <c r="C800" s="76"/>
      <c r="D800" s="77"/>
      <c r="E800" s="78"/>
      <c r="F800" s="78"/>
      <c r="G800" s="78"/>
      <c r="H800" s="73" t="s">
        <v>47</v>
      </c>
      <c r="I800" s="307">
        <f>'[2]LUONG T7'!P89</f>
        <v>0</v>
      </c>
      <c r="J800" s="307"/>
      <c r="K800" s="81" t="s">
        <v>53</v>
      </c>
      <c r="L800" s="82"/>
      <c r="M800" s="314" t="s">
        <v>81</v>
      </c>
      <c r="N800" s="308"/>
      <c r="O800" s="76"/>
      <c r="P800" s="77"/>
      <c r="Q800" s="78"/>
      <c r="R800" s="78"/>
      <c r="S800" s="78"/>
      <c r="T800" s="73" t="s">
        <v>47</v>
      </c>
      <c r="U800" s="307">
        <f>'[2]LUONG T7'!P91</f>
        <v>0</v>
      </c>
      <c r="V800" s="307"/>
      <c r="W800" s="81" t="s">
        <v>53</v>
      </c>
      <c r="X800" s="82"/>
    </row>
    <row r="801" spans="1:24" ht="18.75" customHeight="1">
      <c r="A801" s="75" t="s">
        <v>82</v>
      </c>
      <c r="B801" s="73" t="s">
        <v>47</v>
      </c>
      <c r="C801" s="76"/>
      <c r="D801" s="77"/>
      <c r="E801" s="78" t="s">
        <v>83</v>
      </c>
      <c r="F801" s="78"/>
      <c r="G801" s="78"/>
      <c r="H801" s="73" t="s">
        <v>47</v>
      </c>
      <c r="I801" s="307">
        <f>L798</f>
        <v>0</v>
      </c>
      <c r="J801" s="307"/>
      <c r="K801" s="81" t="s">
        <v>53</v>
      </c>
      <c r="L801" s="82"/>
      <c r="M801" s="75" t="s">
        <v>82</v>
      </c>
      <c r="N801" s="73" t="s">
        <v>47</v>
      </c>
      <c r="O801" s="76"/>
      <c r="P801" s="77"/>
      <c r="Q801" s="78" t="s">
        <v>83</v>
      </c>
      <c r="R801" s="78"/>
      <c r="S801" s="78"/>
      <c r="T801" s="73" t="s">
        <v>47</v>
      </c>
      <c r="U801" s="307" t="e">
        <f>X798</f>
        <v>#DIV/0!</v>
      </c>
      <c r="V801" s="307"/>
      <c r="W801" s="81" t="s">
        <v>53</v>
      </c>
      <c r="X801" s="82"/>
    </row>
    <row r="802" spans="1:24" ht="18.75" customHeight="1">
      <c r="A802" s="311" t="s">
        <v>84</v>
      </c>
      <c r="B802" s="312"/>
      <c r="C802" s="312"/>
      <c r="D802" s="312"/>
      <c r="E802" s="312"/>
      <c r="F802" s="312"/>
      <c r="G802" s="73" t="s">
        <v>47</v>
      </c>
      <c r="H802" s="313">
        <f>I789+I790+I791+I792+I793+I796+I800+I801</f>
        <v>0</v>
      </c>
      <c r="I802" s="313"/>
      <c r="J802" s="313"/>
      <c r="K802" s="81" t="s">
        <v>53</v>
      </c>
      <c r="M802" s="311" t="s">
        <v>84</v>
      </c>
      <c r="N802" s="312"/>
      <c r="O802" s="312"/>
      <c r="P802" s="312"/>
      <c r="Q802" s="312"/>
      <c r="R802" s="312"/>
      <c r="S802" s="73" t="s">
        <v>47</v>
      </c>
      <c r="T802" s="313" t="e">
        <f>U789+U790+U791+U792+U793+U796+U800+U801</f>
        <v>#DIV/0!</v>
      </c>
      <c r="U802" s="313"/>
      <c r="V802" s="313"/>
      <c r="W802" s="81" t="s">
        <v>53</v>
      </c>
    </row>
    <row r="803" spans="1:24" ht="18.75" customHeight="1">
      <c r="A803" s="88"/>
      <c r="B803" s="89"/>
      <c r="C803" s="89"/>
      <c r="D803" s="89"/>
      <c r="E803" s="89"/>
      <c r="F803" s="89"/>
      <c r="G803" s="89"/>
      <c r="H803" s="89"/>
      <c r="I803" s="89"/>
      <c r="J803" s="89"/>
      <c r="K803" s="90"/>
      <c r="M803" s="88"/>
      <c r="N803" s="89"/>
      <c r="O803" s="89"/>
      <c r="P803" s="89"/>
      <c r="Q803" s="89"/>
      <c r="R803" s="89"/>
      <c r="S803" s="89"/>
      <c r="T803" s="89"/>
      <c r="U803" s="89"/>
      <c r="V803" s="89"/>
      <c r="W803" s="90"/>
    </row>
    <row r="804" spans="1:24" ht="18.75" customHeight="1">
      <c r="A804" s="321" t="s">
        <v>85</v>
      </c>
      <c r="B804" s="322"/>
      <c r="C804" s="322"/>
      <c r="D804" s="322"/>
      <c r="E804" s="322"/>
      <c r="F804" s="322"/>
      <c r="G804" s="73"/>
      <c r="H804" s="73"/>
      <c r="I804" s="73"/>
      <c r="J804" s="73"/>
      <c r="K804" s="81"/>
      <c r="M804" s="321" t="s">
        <v>85</v>
      </c>
      <c r="N804" s="322"/>
      <c r="O804" s="322"/>
      <c r="P804" s="322"/>
      <c r="Q804" s="322"/>
      <c r="R804" s="322"/>
      <c r="S804" s="73"/>
      <c r="T804" s="73"/>
      <c r="U804" s="73"/>
      <c r="V804" s="73"/>
      <c r="W804" s="81"/>
    </row>
    <row r="805" spans="1:24" ht="18.75" customHeight="1">
      <c r="A805" s="315" t="s">
        <v>86</v>
      </c>
      <c r="B805" s="316"/>
      <c r="C805" s="316"/>
      <c r="D805" s="316"/>
      <c r="E805" s="316"/>
      <c r="F805" s="316"/>
      <c r="G805" s="73" t="s">
        <v>47</v>
      </c>
      <c r="H805" s="323">
        <f>IF(($L$1-(C789+C790+C791+C792))&gt;12,0,F786*8%)</f>
        <v>0</v>
      </c>
      <c r="I805" s="323"/>
      <c r="J805" s="323"/>
      <c r="K805" s="81" t="s">
        <v>53</v>
      </c>
      <c r="M805" s="315" t="s">
        <v>86</v>
      </c>
      <c r="N805" s="316"/>
      <c r="O805" s="316"/>
      <c r="P805" s="316"/>
      <c r="Q805" s="316"/>
      <c r="R805" s="316"/>
      <c r="S805" s="73" t="s">
        <v>47</v>
      </c>
      <c r="T805" s="323">
        <f>IF(($L$1-(O789+O790+O791+O792))&gt;12,0,R786*8%)</f>
        <v>0</v>
      </c>
      <c r="U805" s="323"/>
      <c r="V805" s="323"/>
      <c r="W805" s="81" t="s">
        <v>53</v>
      </c>
    </row>
    <row r="806" spans="1:24" ht="18.75" customHeight="1">
      <c r="A806" s="315" t="s">
        <v>87</v>
      </c>
      <c r="B806" s="316"/>
      <c r="C806" s="316"/>
      <c r="D806" s="316"/>
      <c r="E806" s="316"/>
      <c r="F806" s="316"/>
      <c r="G806" s="73" t="s">
        <v>47</v>
      </c>
      <c r="H806" s="317">
        <f>IF(($L$1-(C789+C790+C791+C792))&gt;12,0,F786*1.5%)</f>
        <v>0</v>
      </c>
      <c r="I806" s="317"/>
      <c r="J806" s="317"/>
      <c r="K806" s="81" t="s">
        <v>53</v>
      </c>
      <c r="M806" s="315" t="s">
        <v>87</v>
      </c>
      <c r="N806" s="316"/>
      <c r="O806" s="316"/>
      <c r="P806" s="316"/>
      <c r="Q806" s="316"/>
      <c r="R806" s="316"/>
      <c r="S806" s="73" t="s">
        <v>47</v>
      </c>
      <c r="T806" s="317">
        <f>IF(($L$1-(O789+O790+O791+O792))&gt;12,0,R786*1.5%)</f>
        <v>0</v>
      </c>
      <c r="U806" s="317"/>
      <c r="V806" s="317"/>
      <c r="W806" s="81" t="s">
        <v>53</v>
      </c>
    </row>
    <row r="807" spans="1:24" ht="18.75" customHeight="1">
      <c r="A807" s="315" t="s">
        <v>88</v>
      </c>
      <c r="B807" s="316"/>
      <c r="C807" s="316"/>
      <c r="D807" s="316"/>
      <c r="E807" s="316"/>
      <c r="F807" s="316"/>
      <c r="G807" s="73" t="s">
        <v>47</v>
      </c>
      <c r="H807" s="317">
        <f>IF(($L$1-(C789+C790+C791+C792))&gt;12,0,F786*1%)</f>
        <v>0</v>
      </c>
      <c r="I807" s="317"/>
      <c r="J807" s="317"/>
      <c r="K807" s="81" t="s">
        <v>53</v>
      </c>
      <c r="M807" s="315" t="s">
        <v>88</v>
      </c>
      <c r="N807" s="316"/>
      <c r="O807" s="316"/>
      <c r="P807" s="316"/>
      <c r="Q807" s="316"/>
      <c r="R807" s="316"/>
      <c r="S807" s="73" t="s">
        <v>47</v>
      </c>
      <c r="T807" s="317">
        <f>IF(($L$1-(O789+O790+O791+O792))&gt;12,0,R786*1%)</f>
        <v>0</v>
      </c>
      <c r="U807" s="317"/>
      <c r="V807" s="317"/>
      <c r="W807" s="81" t="s">
        <v>53</v>
      </c>
    </row>
    <row r="808" spans="1:24" ht="18.75" customHeight="1">
      <c r="A808" s="315" t="s">
        <v>89</v>
      </c>
      <c r="B808" s="316"/>
      <c r="C808" s="316"/>
      <c r="D808" s="316"/>
      <c r="E808" s="316"/>
      <c r="F808" s="316"/>
      <c r="G808" s="73" t="s">
        <v>47</v>
      </c>
      <c r="H808" s="317">
        <v>0</v>
      </c>
      <c r="I808" s="317"/>
      <c r="J808" s="317"/>
      <c r="K808" s="81" t="s">
        <v>53</v>
      </c>
      <c r="M808" s="315" t="s">
        <v>89</v>
      </c>
      <c r="N808" s="316"/>
      <c r="O808" s="316"/>
      <c r="P808" s="316"/>
      <c r="Q808" s="316"/>
      <c r="R808" s="316"/>
      <c r="S808" s="73" t="s">
        <v>47</v>
      </c>
      <c r="T808" s="317">
        <v>0</v>
      </c>
      <c r="U808" s="317"/>
      <c r="V808" s="317"/>
      <c r="W808" s="81" t="s">
        <v>53</v>
      </c>
    </row>
    <row r="809" spans="1:24" ht="18.75" customHeight="1">
      <c r="A809" s="318" t="s">
        <v>90</v>
      </c>
      <c r="B809" s="319"/>
      <c r="C809" s="319"/>
      <c r="D809" s="319"/>
      <c r="E809" s="319"/>
      <c r="F809" s="319"/>
      <c r="G809" s="73" t="s">
        <v>47</v>
      </c>
      <c r="H809" s="320">
        <f>SUM(H805:J808)</f>
        <v>0</v>
      </c>
      <c r="I809" s="320"/>
      <c r="J809" s="320"/>
      <c r="K809" s="81" t="s">
        <v>53</v>
      </c>
      <c r="M809" s="318" t="s">
        <v>90</v>
      </c>
      <c r="N809" s="319"/>
      <c r="O809" s="319"/>
      <c r="P809" s="319"/>
      <c r="Q809" s="319"/>
      <c r="R809" s="319"/>
      <c r="S809" s="73" t="s">
        <v>47</v>
      </c>
      <c r="T809" s="320">
        <f>SUM(T805:V808)</f>
        <v>0</v>
      </c>
      <c r="U809" s="320"/>
      <c r="V809" s="320"/>
      <c r="W809" s="81" t="s">
        <v>53</v>
      </c>
    </row>
    <row r="810" spans="1:24" ht="18.75" customHeight="1">
      <c r="A810" s="315" t="s">
        <v>91</v>
      </c>
      <c r="B810" s="316"/>
      <c r="C810" s="316"/>
      <c r="D810" s="316"/>
      <c r="E810" s="316"/>
      <c r="F810" s="316"/>
      <c r="G810" s="73" t="s">
        <v>47</v>
      </c>
      <c r="H810" s="327">
        <f>ROUND(H802-H809,-2)</f>
        <v>0</v>
      </c>
      <c r="I810" s="327"/>
      <c r="J810" s="327"/>
      <c r="K810" s="81" t="s">
        <v>53</v>
      </c>
      <c r="M810" s="315" t="s">
        <v>91</v>
      </c>
      <c r="N810" s="316"/>
      <c r="O810" s="316"/>
      <c r="P810" s="316"/>
      <c r="Q810" s="316"/>
      <c r="R810" s="316"/>
      <c r="S810" s="73" t="s">
        <v>47</v>
      </c>
      <c r="T810" s="327" t="e">
        <f>ROUND(T802-T809,-2)</f>
        <v>#DIV/0!</v>
      </c>
      <c r="U810" s="327"/>
      <c r="V810" s="327"/>
      <c r="W810" s="81" t="s">
        <v>53</v>
      </c>
    </row>
    <row r="811" spans="1:24" ht="18.75" customHeight="1">
      <c r="A811" s="91"/>
      <c r="B811" s="92"/>
      <c r="C811" s="92"/>
      <c r="D811" s="92"/>
      <c r="E811" s="92"/>
      <c r="F811" s="92"/>
      <c r="G811" s="92"/>
      <c r="H811" s="92"/>
      <c r="I811" s="92"/>
      <c r="J811" s="92"/>
      <c r="K811" s="93"/>
      <c r="M811" s="91"/>
      <c r="N811" s="92"/>
      <c r="O811" s="92"/>
      <c r="P811" s="92"/>
      <c r="Q811" s="92"/>
      <c r="R811" s="92"/>
      <c r="S811" s="92"/>
      <c r="T811" s="92"/>
      <c r="U811" s="92"/>
      <c r="V811" s="92"/>
      <c r="W811" s="93"/>
    </row>
    <row r="812" spans="1:24" ht="18.75" customHeight="1">
      <c r="A812" s="94"/>
      <c r="B812" s="73"/>
      <c r="C812" s="73"/>
      <c r="D812" s="73"/>
      <c r="E812" s="73"/>
      <c r="F812" s="73"/>
      <c r="G812" s="73"/>
      <c r="H812" s="73"/>
      <c r="I812" s="324" t="s">
        <v>92</v>
      </c>
      <c r="J812" s="324"/>
      <c r="K812" s="328"/>
      <c r="M812" s="94"/>
      <c r="N812" s="73"/>
      <c r="O812" s="73"/>
      <c r="P812" s="73"/>
      <c r="Q812" s="73"/>
      <c r="R812" s="73"/>
      <c r="S812" s="73"/>
      <c r="T812" s="73"/>
      <c r="U812" s="324" t="s">
        <v>92</v>
      </c>
      <c r="V812" s="324"/>
      <c r="W812" s="328"/>
    </row>
    <row r="813" spans="1:24" ht="18.75" customHeight="1">
      <c r="A813" s="94"/>
      <c r="B813" s="324"/>
      <c r="C813" s="324"/>
      <c r="D813" s="324"/>
      <c r="E813" s="324"/>
      <c r="F813" s="73"/>
      <c r="G813" s="73"/>
      <c r="H813" s="73"/>
      <c r="I813" s="73"/>
      <c r="J813" s="73"/>
      <c r="K813" s="74"/>
      <c r="M813" s="94"/>
      <c r="N813" s="324"/>
      <c r="O813" s="324"/>
      <c r="P813" s="324"/>
      <c r="Q813" s="324"/>
      <c r="R813" s="73"/>
      <c r="S813" s="73"/>
      <c r="T813" s="73"/>
      <c r="U813" s="73"/>
      <c r="V813" s="73"/>
      <c r="W813" s="74"/>
    </row>
    <row r="814" spans="1:24" ht="18.75" customHeight="1" thickBot="1">
      <c r="A814" s="95"/>
      <c r="B814" s="96"/>
      <c r="C814" s="96"/>
      <c r="D814" s="96"/>
      <c r="E814" s="96"/>
      <c r="F814" s="96"/>
      <c r="G814" s="96"/>
      <c r="H814" s="96"/>
      <c r="I814" s="325" t="s">
        <v>93</v>
      </c>
      <c r="J814" s="325"/>
      <c r="K814" s="326"/>
      <c r="M814" s="95"/>
      <c r="N814" s="96"/>
      <c r="O814" s="96"/>
      <c r="P814" s="96"/>
      <c r="Q814" s="96"/>
      <c r="R814" s="96"/>
      <c r="S814" s="96"/>
      <c r="T814" s="96"/>
      <c r="U814" s="325" t="s">
        <v>93</v>
      </c>
      <c r="V814" s="325"/>
      <c r="W814" s="326"/>
    </row>
    <row r="816" spans="1:24" ht="18.75" customHeight="1" thickTop="1">
      <c r="A816" s="300" t="s">
        <v>41</v>
      </c>
      <c r="B816" s="301"/>
      <c r="C816" s="301"/>
      <c r="D816" s="301"/>
      <c r="E816" s="301"/>
      <c r="F816" s="301"/>
      <c r="G816" s="301"/>
      <c r="H816" s="301"/>
      <c r="I816" s="301"/>
      <c r="J816" s="301"/>
      <c r="K816" s="302"/>
      <c r="L816" s="69">
        <v>25</v>
      </c>
      <c r="M816" s="300" t="s">
        <v>41</v>
      </c>
      <c r="N816" s="301"/>
      <c r="O816" s="301"/>
      <c r="P816" s="301"/>
      <c r="Q816" s="301"/>
      <c r="R816" s="301"/>
      <c r="S816" s="301"/>
      <c r="T816" s="301"/>
      <c r="U816" s="301"/>
      <c r="V816" s="301"/>
      <c r="W816" s="302"/>
      <c r="X816" s="69">
        <v>25</v>
      </c>
    </row>
    <row r="817" spans="1:24" ht="18.75" customHeight="1">
      <c r="A817" s="70" t="s">
        <v>152</v>
      </c>
      <c r="B817" s="71"/>
      <c r="C817" s="71"/>
      <c r="D817" s="71"/>
      <c r="E817" s="71"/>
      <c r="F817" s="71"/>
      <c r="G817" s="71"/>
      <c r="H817" s="71"/>
      <c r="I817" s="71"/>
      <c r="J817" s="71"/>
      <c r="K817" s="72"/>
      <c r="M817" s="70" t="s">
        <v>153</v>
      </c>
      <c r="N817" s="71"/>
      <c r="O817" s="71"/>
      <c r="P817" s="71"/>
      <c r="Q817" s="71"/>
      <c r="R817" s="71"/>
      <c r="S817" s="71"/>
      <c r="T817" s="71"/>
      <c r="U817" s="71"/>
      <c r="V817" s="71"/>
      <c r="W817" s="72"/>
    </row>
    <row r="818" spans="1:24" ht="18.75" customHeight="1">
      <c r="A818" s="303" t="s">
        <v>45</v>
      </c>
      <c r="B818" s="304"/>
      <c r="C818" s="304"/>
      <c r="D818" s="304"/>
      <c r="E818" s="304"/>
      <c r="F818" s="304"/>
      <c r="G818" s="304"/>
      <c r="H818" s="304"/>
      <c r="I818" s="304"/>
      <c r="J818" s="304"/>
      <c r="K818" s="305"/>
      <c r="M818" s="303" t="s">
        <v>45</v>
      </c>
      <c r="N818" s="304"/>
      <c r="O818" s="304"/>
      <c r="P818" s="304"/>
      <c r="Q818" s="304"/>
      <c r="R818" s="304"/>
      <c r="S818" s="304"/>
      <c r="T818" s="304"/>
      <c r="U818" s="304"/>
      <c r="V818" s="304"/>
      <c r="W818" s="305"/>
    </row>
    <row r="819" spans="1:24" ht="18.75" customHeight="1">
      <c r="A819" s="295" t="s">
        <v>46</v>
      </c>
      <c r="B819" s="296"/>
      <c r="C819" s="296"/>
      <c r="D819" s="296"/>
      <c r="E819" s="73" t="s">
        <v>47</v>
      </c>
      <c r="F819" s="297">
        <f>'[2]Bang TH nop'!B89</f>
        <v>0</v>
      </c>
      <c r="G819" s="296"/>
      <c r="H819" s="296"/>
      <c r="I819" s="296"/>
      <c r="J819" s="296"/>
      <c r="K819" s="299"/>
      <c r="M819" s="295" t="s">
        <v>46</v>
      </c>
      <c r="N819" s="296"/>
      <c r="O819" s="296"/>
      <c r="P819" s="296"/>
      <c r="Q819" s="73" t="s">
        <v>47</v>
      </c>
      <c r="R819" s="297">
        <f>'[2]Bang TH nop'!B91</f>
        <v>0</v>
      </c>
      <c r="S819" s="296"/>
      <c r="T819" s="296"/>
      <c r="U819" s="296"/>
      <c r="V819" s="296"/>
      <c r="W819" s="299"/>
    </row>
    <row r="820" spans="1:24" ht="18.75" customHeight="1">
      <c r="A820" s="295" t="s">
        <v>49</v>
      </c>
      <c r="B820" s="296"/>
      <c r="C820" s="296"/>
      <c r="D820" s="296"/>
      <c r="E820" s="73" t="s">
        <v>47</v>
      </c>
      <c r="F820" s="297">
        <f>'[2]Bang TH nop'!C89</f>
        <v>0</v>
      </c>
      <c r="G820" s="297"/>
      <c r="H820" s="297"/>
      <c r="I820" s="297"/>
      <c r="J820" s="297"/>
      <c r="K820" s="298"/>
      <c r="M820" s="295" t="s">
        <v>49</v>
      </c>
      <c r="N820" s="296"/>
      <c r="O820" s="296"/>
      <c r="P820" s="296"/>
      <c r="Q820" s="73" t="s">
        <v>47</v>
      </c>
      <c r="R820" s="297">
        <f>'[2]Bang TH nop'!C91</f>
        <v>0</v>
      </c>
      <c r="S820" s="297"/>
      <c r="T820" s="297"/>
      <c r="U820" s="297"/>
      <c r="V820" s="297"/>
      <c r="W820" s="298"/>
    </row>
    <row r="821" spans="1:24" ht="18.75" customHeight="1">
      <c r="A821" s="295" t="s">
        <v>50</v>
      </c>
      <c r="B821" s="296"/>
      <c r="C821" s="296"/>
      <c r="D821" s="296"/>
      <c r="E821" s="73" t="s">
        <v>47</v>
      </c>
      <c r="F821" s="296" t="s">
        <v>121</v>
      </c>
      <c r="G821" s="296"/>
      <c r="H821" s="296"/>
      <c r="I821" s="296"/>
      <c r="J821" s="296"/>
      <c r="K821" s="299"/>
      <c r="M821" s="295" t="s">
        <v>50</v>
      </c>
      <c r="N821" s="296"/>
      <c r="O821" s="296"/>
      <c r="P821" s="296"/>
      <c r="Q821" s="73" t="s">
        <v>47</v>
      </c>
      <c r="R821" s="296" t="s">
        <v>121</v>
      </c>
      <c r="S821" s="296"/>
      <c r="T821" s="296"/>
      <c r="U821" s="296"/>
      <c r="V821" s="296"/>
      <c r="W821" s="299"/>
    </row>
    <row r="822" spans="1:24" ht="18.75" customHeight="1">
      <c r="A822" s="303" t="s">
        <v>51</v>
      </c>
      <c r="B822" s="304"/>
      <c r="C822" s="304"/>
      <c r="D822" s="304"/>
      <c r="E822" s="304"/>
      <c r="F822" s="304"/>
      <c r="G822" s="304"/>
      <c r="H822" s="304"/>
      <c r="I822" s="304"/>
      <c r="J822" s="304"/>
      <c r="K822" s="305"/>
      <c r="M822" s="303" t="s">
        <v>51</v>
      </c>
      <c r="N822" s="304"/>
      <c r="O822" s="304"/>
      <c r="P822" s="304"/>
      <c r="Q822" s="304"/>
      <c r="R822" s="304"/>
      <c r="S822" s="304"/>
      <c r="T822" s="304"/>
      <c r="U822" s="304"/>
      <c r="V822" s="304"/>
      <c r="W822" s="305"/>
    </row>
    <row r="823" spans="1:24" ht="18.75" customHeight="1">
      <c r="A823" s="295" t="s">
        <v>52</v>
      </c>
      <c r="B823" s="296"/>
      <c r="C823" s="296"/>
      <c r="D823" s="296"/>
      <c r="E823" s="73" t="s">
        <v>47</v>
      </c>
      <c r="F823" s="310">
        <v>2915400</v>
      </c>
      <c r="G823" s="310"/>
      <c r="H823" s="310"/>
      <c r="I823" s="310"/>
      <c r="J823" s="73" t="s">
        <v>53</v>
      </c>
      <c r="K823" s="74"/>
      <c r="M823" s="295" t="s">
        <v>52</v>
      </c>
      <c r="N823" s="296"/>
      <c r="O823" s="296"/>
      <c r="P823" s="296"/>
      <c r="Q823" s="73" t="s">
        <v>47</v>
      </c>
      <c r="R823" s="310">
        <v>2915400</v>
      </c>
      <c r="S823" s="310"/>
      <c r="T823" s="310"/>
      <c r="U823" s="310"/>
      <c r="V823" s="73" t="s">
        <v>53</v>
      </c>
      <c r="W823" s="74"/>
    </row>
    <row r="824" spans="1:24" ht="18.75" customHeight="1">
      <c r="A824" s="75" t="s">
        <v>54</v>
      </c>
      <c r="B824" s="73"/>
      <c r="C824" s="76"/>
      <c r="D824" s="77"/>
      <c r="E824" s="78"/>
      <c r="F824" s="78"/>
      <c r="G824" s="78"/>
      <c r="H824" s="73"/>
      <c r="I824" s="79">
        <f>'[2]LUONG T7'!F93</f>
        <v>0</v>
      </c>
      <c r="J824" s="80"/>
      <c r="K824" s="81"/>
      <c r="M824" s="75" t="s">
        <v>54</v>
      </c>
      <c r="N824" s="73"/>
      <c r="O824" s="76"/>
      <c r="P824" s="77"/>
      <c r="Q824" s="78"/>
      <c r="R824" s="78"/>
      <c r="S824" s="78"/>
      <c r="T824" s="73"/>
      <c r="U824" s="79">
        <f>'[2]LUONG T7'!F95</f>
        <v>0</v>
      </c>
      <c r="V824" s="80"/>
      <c r="W824" s="81"/>
    </row>
    <row r="825" spans="1:24" ht="18.75" customHeight="1">
      <c r="A825" s="75" t="s">
        <v>55</v>
      </c>
      <c r="B825" s="73"/>
      <c r="C825" s="76"/>
      <c r="D825" s="77"/>
      <c r="E825" s="78"/>
      <c r="F825" s="78"/>
      <c r="G825" s="78"/>
      <c r="H825" s="73"/>
      <c r="I825" s="79" t="e">
        <f>I826/C826/8</f>
        <v>#DIV/0!</v>
      </c>
      <c r="J825" s="80"/>
      <c r="K825" s="81"/>
      <c r="M825" s="75" t="s">
        <v>55</v>
      </c>
      <c r="N825" s="73"/>
      <c r="O825" s="76"/>
      <c r="P825" s="77"/>
      <c r="Q825" s="78"/>
      <c r="R825" s="78"/>
      <c r="S825" s="78"/>
      <c r="T825" s="73"/>
      <c r="U825" s="79" t="e">
        <f>U826/O826/8</f>
        <v>#DIV/0!</v>
      </c>
      <c r="V825" s="80"/>
      <c r="W825" s="81"/>
    </row>
    <row r="826" spans="1:24" ht="18.75" customHeight="1">
      <c r="E826" s="329"/>
      <c r="F826" s="329"/>
      <c r="G826" s="329"/>
      <c r="I826" s="329"/>
      <c r="J826" s="329"/>
      <c r="Q826" s="329"/>
      <c r="R826" s="329"/>
      <c r="S826" s="329"/>
      <c r="U826" s="329"/>
      <c r="V826" s="329"/>
    </row>
    <row r="827" spans="1:24" ht="18.75" customHeight="1">
      <c r="A827" s="98" t="s">
        <v>59</v>
      </c>
      <c r="B827" s="98" t="s">
        <v>47</v>
      </c>
      <c r="C827" s="98">
        <f>'[2]LUONG T7'!J92</f>
        <v>0</v>
      </c>
      <c r="D827" s="98" t="s">
        <v>57</v>
      </c>
      <c r="E827" s="330" t="s">
        <v>60</v>
      </c>
      <c r="F827" s="330"/>
      <c r="G827" s="330"/>
      <c r="H827" s="98" t="s">
        <v>47</v>
      </c>
      <c r="I827" s="330">
        <f>$F$8/$L$1*C827</f>
        <v>0</v>
      </c>
      <c r="J827" s="330"/>
      <c r="K827" s="98" t="s">
        <v>53</v>
      </c>
      <c r="L827" s="98"/>
      <c r="M827" s="98" t="s">
        <v>59</v>
      </c>
      <c r="N827" s="98" t="s">
        <v>47</v>
      </c>
      <c r="O827" s="98">
        <f>'[2]LUONG T7'!J94</f>
        <v>0</v>
      </c>
      <c r="P827" s="98" t="s">
        <v>57</v>
      </c>
      <c r="Q827" s="330" t="s">
        <v>60</v>
      </c>
      <c r="R827" s="330"/>
      <c r="S827" s="330"/>
      <c r="T827" s="98" t="s">
        <v>47</v>
      </c>
      <c r="U827" s="330">
        <f>$F$8/$L$1*O827</f>
        <v>0</v>
      </c>
      <c r="V827" s="330"/>
      <c r="W827" s="98" t="s">
        <v>53</v>
      </c>
      <c r="X827" s="98"/>
    </row>
    <row r="828" spans="1:24" ht="18.75" customHeight="1">
      <c r="A828" s="98" t="s">
        <v>61</v>
      </c>
      <c r="B828" s="98" t="s">
        <v>47</v>
      </c>
      <c r="C828" s="98">
        <f>'[2]LUONG T7'!K92</f>
        <v>0</v>
      </c>
      <c r="D828" s="98" t="s">
        <v>57</v>
      </c>
      <c r="E828" s="330" t="s">
        <v>62</v>
      </c>
      <c r="F828" s="330"/>
      <c r="G828" s="330"/>
      <c r="H828" s="98" t="s">
        <v>47</v>
      </c>
      <c r="I828" s="330">
        <f>$F$8/$L$1*C828</f>
        <v>0</v>
      </c>
      <c r="J828" s="330"/>
      <c r="K828" s="98" t="s">
        <v>53</v>
      </c>
      <c r="L828" s="98"/>
      <c r="M828" s="98" t="s">
        <v>61</v>
      </c>
      <c r="N828" s="98" t="s">
        <v>47</v>
      </c>
      <c r="O828" s="98">
        <f>'[2]LUONG T7'!K94</f>
        <v>0</v>
      </c>
      <c r="P828" s="98" t="s">
        <v>57</v>
      </c>
      <c r="Q828" s="330" t="s">
        <v>62</v>
      </c>
      <c r="R828" s="330"/>
      <c r="S828" s="330"/>
      <c r="T828" s="98" t="s">
        <v>47</v>
      </c>
      <c r="U828" s="330">
        <f>$F$8/$L$1*O828</f>
        <v>0</v>
      </c>
      <c r="V828" s="330"/>
      <c r="W828" s="98" t="s">
        <v>53</v>
      </c>
      <c r="X828" s="98"/>
    </row>
    <row r="829" spans="1:24" ht="18.75" customHeight="1">
      <c r="A829" s="98" t="s">
        <v>63</v>
      </c>
      <c r="B829" s="98" t="s">
        <v>47</v>
      </c>
      <c r="C829" s="98">
        <f>'[2]LUONG T7'!L92</f>
        <v>0</v>
      </c>
      <c r="D829" s="98" t="s">
        <v>57</v>
      </c>
      <c r="E829" s="330" t="s">
        <v>64</v>
      </c>
      <c r="F829" s="330"/>
      <c r="G829" s="330"/>
      <c r="H829" s="98" t="s">
        <v>47</v>
      </c>
      <c r="I829" s="330">
        <f>$F$8/$L$1*C829</f>
        <v>0</v>
      </c>
      <c r="J829" s="330"/>
      <c r="K829" s="98" t="s">
        <v>53</v>
      </c>
      <c r="L829" s="98"/>
      <c r="M829" s="98" t="s">
        <v>63</v>
      </c>
      <c r="N829" s="98" t="s">
        <v>47</v>
      </c>
      <c r="O829" s="98">
        <f>'[2]LUONG T7'!L94</f>
        <v>0</v>
      </c>
      <c r="P829" s="98" t="s">
        <v>57</v>
      </c>
      <c r="Q829" s="330" t="s">
        <v>64</v>
      </c>
      <c r="R829" s="330"/>
      <c r="S829" s="330"/>
      <c r="T829" s="98" t="s">
        <v>47</v>
      </c>
      <c r="U829" s="330">
        <f>$F$8/$L$1*O829</f>
        <v>0</v>
      </c>
      <c r="V829" s="330"/>
      <c r="W829" s="98" t="s">
        <v>53</v>
      </c>
      <c r="X829" s="98"/>
    </row>
    <row r="830" spans="1:24" ht="18.75" customHeight="1">
      <c r="A830" s="98" t="s">
        <v>65</v>
      </c>
      <c r="B830" s="98" t="s">
        <v>47</v>
      </c>
      <c r="C830" s="98">
        <f>'[2]LUONG T7'!Q92</f>
        <v>0</v>
      </c>
      <c r="D830" s="98" t="s">
        <v>66</v>
      </c>
      <c r="E830" s="330" t="s">
        <v>67</v>
      </c>
      <c r="F830" s="330"/>
      <c r="G830" s="330"/>
      <c r="H830" s="98" t="s">
        <v>47</v>
      </c>
      <c r="I830" s="330" t="e">
        <f>I826/C826/8*C830</f>
        <v>#DIV/0!</v>
      </c>
      <c r="J830" s="330"/>
      <c r="K830" s="98" t="s">
        <v>53</v>
      </c>
      <c r="L830" s="98">
        <f>F823*C830/L816/8*1.5</f>
        <v>0</v>
      </c>
      <c r="M830" s="98" t="s">
        <v>65</v>
      </c>
      <c r="N830" s="98" t="s">
        <v>47</v>
      </c>
      <c r="O830" s="98">
        <f>'[2]LUONG T7'!Q94</f>
        <v>0</v>
      </c>
      <c r="P830" s="98" t="s">
        <v>66</v>
      </c>
      <c r="Q830" s="330" t="s">
        <v>67</v>
      </c>
      <c r="R830" s="330"/>
      <c r="S830" s="330"/>
      <c r="T830" s="98" t="s">
        <v>47</v>
      </c>
      <c r="U830" s="330" t="e">
        <f>U826/O826/8*O830</f>
        <v>#DIV/0!</v>
      </c>
      <c r="V830" s="330"/>
      <c r="W830" s="98" t="s">
        <v>53</v>
      </c>
      <c r="X830" s="98">
        <f>R823*O830/X816/8*1.5</f>
        <v>0</v>
      </c>
    </row>
    <row r="831" spans="1:24" ht="18.75" customHeight="1">
      <c r="A831" s="330" t="s">
        <v>68</v>
      </c>
      <c r="B831" s="330"/>
      <c r="C831" s="98"/>
      <c r="D831" s="98" t="s">
        <v>57</v>
      </c>
      <c r="E831" s="330" t="s">
        <v>69</v>
      </c>
      <c r="F831" s="330"/>
      <c r="G831" s="330"/>
      <c r="H831" s="98" t="s">
        <v>47</v>
      </c>
      <c r="I831" s="330"/>
      <c r="J831" s="330"/>
      <c r="K831" s="98" t="s">
        <v>53</v>
      </c>
      <c r="L831" s="98"/>
      <c r="M831" s="330" t="s">
        <v>68</v>
      </c>
      <c r="N831" s="330"/>
      <c r="O831" s="98"/>
      <c r="P831" s="98" t="s">
        <v>57</v>
      </c>
      <c r="Q831" s="330" t="s">
        <v>69</v>
      </c>
      <c r="R831" s="330"/>
      <c r="S831" s="330"/>
      <c r="T831" s="98" t="s">
        <v>47</v>
      </c>
      <c r="U831" s="330"/>
      <c r="V831" s="330"/>
      <c r="W831" s="98" t="s">
        <v>53</v>
      </c>
      <c r="X831" s="98"/>
    </row>
    <row r="832" spans="1:24" ht="18.75" customHeight="1">
      <c r="A832" s="98" t="s">
        <v>70</v>
      </c>
      <c r="B832" s="98" t="s">
        <v>47</v>
      </c>
      <c r="C832" s="98"/>
      <c r="D832" s="98" t="s">
        <v>57</v>
      </c>
      <c r="E832" s="330" t="s">
        <v>71</v>
      </c>
      <c r="F832" s="330"/>
      <c r="G832" s="330"/>
      <c r="H832" s="98" t="s">
        <v>47</v>
      </c>
      <c r="I832" s="330"/>
      <c r="J832" s="330"/>
      <c r="K832" s="98" t="s">
        <v>53</v>
      </c>
      <c r="L832" s="98"/>
      <c r="M832" s="98" t="s">
        <v>70</v>
      </c>
      <c r="N832" s="98" t="s">
        <v>47</v>
      </c>
      <c r="O832" s="98"/>
      <c r="P832" s="98" t="s">
        <v>57</v>
      </c>
      <c r="Q832" s="330" t="s">
        <v>71</v>
      </c>
      <c r="R832" s="330"/>
      <c r="S832" s="330"/>
      <c r="T832" s="98" t="s">
        <v>47</v>
      </c>
      <c r="U832" s="330"/>
      <c r="V832" s="330"/>
      <c r="W832" s="98" t="s">
        <v>53</v>
      </c>
      <c r="X832" s="98"/>
    </row>
    <row r="833" spans="1:24" ht="18.75" customHeight="1">
      <c r="A833" s="98" t="s">
        <v>72</v>
      </c>
      <c r="B833" s="98"/>
      <c r="C833" s="98">
        <f>'[2]LUONG T7'!M92</f>
        <v>0</v>
      </c>
      <c r="D833" s="98" t="s">
        <v>66</v>
      </c>
      <c r="E833" s="330" t="s">
        <v>73</v>
      </c>
      <c r="F833" s="330"/>
      <c r="G833" s="330"/>
      <c r="H833" s="98" t="s">
        <v>47</v>
      </c>
      <c r="I833" s="330">
        <f>$F$8*C833/8/$L$1</f>
        <v>0</v>
      </c>
      <c r="J833" s="330"/>
      <c r="K833" s="98" t="s">
        <v>53</v>
      </c>
      <c r="L833" s="98"/>
      <c r="M833" s="98" t="s">
        <v>72</v>
      </c>
      <c r="N833" s="98"/>
      <c r="O833" s="98">
        <f>'[2]LUONG T7'!M94</f>
        <v>0</v>
      </c>
      <c r="P833" s="98" t="s">
        <v>66</v>
      </c>
      <c r="Q833" s="330" t="s">
        <v>73</v>
      </c>
      <c r="R833" s="330"/>
      <c r="S833" s="330"/>
      <c r="T833" s="98" t="s">
        <v>47</v>
      </c>
      <c r="U833" s="330">
        <f>$F$8*O833/8/$L$1</f>
        <v>0</v>
      </c>
      <c r="V833" s="330"/>
      <c r="W833" s="98" t="s">
        <v>53</v>
      </c>
      <c r="X833" s="98"/>
    </row>
    <row r="834" spans="1:24" ht="18.75" customHeight="1">
      <c r="A834" s="98" t="s">
        <v>74</v>
      </c>
      <c r="B834" s="98" t="s">
        <v>47</v>
      </c>
      <c r="C834" s="98"/>
      <c r="D834" s="98" t="s">
        <v>66</v>
      </c>
      <c r="E834" s="330" t="s">
        <v>98</v>
      </c>
      <c r="F834" s="330"/>
      <c r="G834" s="330"/>
      <c r="H834" s="98" t="s">
        <v>47</v>
      </c>
      <c r="I834" s="330"/>
      <c r="J834" s="330"/>
      <c r="K834" s="98" t="s">
        <v>53</v>
      </c>
      <c r="L834" s="98"/>
      <c r="M834" s="98" t="s">
        <v>74</v>
      </c>
      <c r="N834" s="98" t="s">
        <v>47</v>
      </c>
      <c r="O834" s="98"/>
      <c r="P834" s="98" t="s">
        <v>66</v>
      </c>
      <c r="Q834" s="330" t="s">
        <v>98</v>
      </c>
      <c r="R834" s="330"/>
      <c r="S834" s="330"/>
      <c r="T834" s="98" t="s">
        <v>47</v>
      </c>
      <c r="U834" s="330"/>
      <c r="V834" s="330"/>
      <c r="W834" s="98" t="s">
        <v>53</v>
      </c>
      <c r="X834" s="98"/>
    </row>
    <row r="835" spans="1:24" ht="18.75" customHeight="1">
      <c r="A835" s="98" t="s">
        <v>76</v>
      </c>
      <c r="B835" s="98" t="s">
        <v>47</v>
      </c>
      <c r="C835" s="98"/>
      <c r="D835" s="98" t="s">
        <v>77</v>
      </c>
      <c r="E835" s="98" t="s">
        <v>78</v>
      </c>
      <c r="F835" s="98"/>
      <c r="G835" s="98"/>
      <c r="H835" s="98" t="s">
        <v>47</v>
      </c>
      <c r="I835" s="330"/>
      <c r="J835" s="330"/>
      <c r="K835" s="98" t="s">
        <v>53</v>
      </c>
      <c r="L835" s="98" t="e">
        <f>+IF(L826-I826&lt;0,0,L826-I826)+IF(L830-I830&lt;0,0,L830-I830)</f>
        <v>#DIV/0!</v>
      </c>
      <c r="M835" s="98" t="s">
        <v>76</v>
      </c>
      <c r="N835" s="98" t="s">
        <v>47</v>
      </c>
      <c r="O835" s="98"/>
      <c r="P835" s="98" t="s">
        <v>77</v>
      </c>
      <c r="Q835" s="98" t="s">
        <v>78</v>
      </c>
      <c r="R835" s="98"/>
      <c r="S835" s="98"/>
      <c r="T835" s="98" t="s">
        <v>47</v>
      </c>
      <c r="U835" s="330"/>
      <c r="V835" s="330"/>
      <c r="W835" s="98" t="s">
        <v>53</v>
      </c>
      <c r="X835" s="98" t="e">
        <f>+IF(X826-U826&lt;0,0,X826-U826)+IF(X830-U830&lt;0,0,X830-U830)</f>
        <v>#DIV/0!</v>
      </c>
    </row>
    <row r="836" spans="1:24" ht="18.75" customHeight="1">
      <c r="A836" s="98" t="s">
        <v>122</v>
      </c>
      <c r="B836" s="98"/>
      <c r="C836" s="98"/>
      <c r="D836" s="98" t="s">
        <v>57</v>
      </c>
      <c r="E836" s="330" t="s">
        <v>123</v>
      </c>
      <c r="F836" s="330"/>
      <c r="G836" s="330"/>
      <c r="H836" s="98" t="s">
        <v>47</v>
      </c>
      <c r="I836" s="330"/>
      <c r="J836" s="330"/>
      <c r="K836" s="98" t="s">
        <v>53</v>
      </c>
      <c r="L836" s="98"/>
      <c r="M836" s="98" t="s">
        <v>122</v>
      </c>
      <c r="N836" s="98"/>
      <c r="O836" s="98"/>
      <c r="P836" s="98" t="s">
        <v>57</v>
      </c>
      <c r="Q836" s="330" t="s">
        <v>123</v>
      </c>
      <c r="R836" s="330"/>
      <c r="S836" s="330"/>
      <c r="T836" s="98" t="s">
        <v>47</v>
      </c>
      <c r="U836" s="330"/>
      <c r="V836" s="330"/>
      <c r="W836" s="98" t="s">
        <v>53</v>
      </c>
      <c r="X836" s="98"/>
    </row>
    <row r="837" spans="1:24" ht="18.75" customHeight="1">
      <c r="A837" s="330" t="s">
        <v>81</v>
      </c>
      <c r="B837" s="330"/>
      <c r="C837" s="98"/>
      <c r="D837" s="98"/>
      <c r="E837" s="98"/>
      <c r="F837" s="98"/>
      <c r="G837" s="98"/>
      <c r="H837" s="98" t="s">
        <v>47</v>
      </c>
      <c r="I837" s="330">
        <f>'[2]LUONG T7'!P93</f>
        <v>0</v>
      </c>
      <c r="J837" s="330"/>
      <c r="K837" s="98" t="s">
        <v>53</v>
      </c>
      <c r="L837" s="98"/>
      <c r="M837" s="330" t="s">
        <v>81</v>
      </c>
      <c r="N837" s="330"/>
      <c r="O837" s="98"/>
      <c r="P837" s="98"/>
      <c r="Q837" s="98"/>
      <c r="R837" s="98"/>
      <c r="S837" s="98"/>
      <c r="T837" s="98" t="s">
        <v>47</v>
      </c>
      <c r="U837" s="330">
        <f>'[2]LUONG T7'!P95</f>
        <v>0</v>
      </c>
      <c r="V837" s="330"/>
      <c r="W837" s="98" t="s">
        <v>53</v>
      </c>
      <c r="X837" s="98"/>
    </row>
    <row r="838" spans="1:24" ht="18.75" customHeight="1">
      <c r="A838" s="98" t="s">
        <v>82</v>
      </c>
      <c r="B838" s="98" t="s">
        <v>47</v>
      </c>
      <c r="C838" s="98"/>
      <c r="D838" s="98"/>
      <c r="E838" s="98" t="s">
        <v>83</v>
      </c>
      <c r="F838" s="98"/>
      <c r="G838" s="98"/>
      <c r="H838" s="98" t="s">
        <v>47</v>
      </c>
      <c r="I838" s="330" t="e">
        <f>L835</f>
        <v>#DIV/0!</v>
      </c>
      <c r="J838" s="330"/>
      <c r="K838" s="98" t="s">
        <v>53</v>
      </c>
      <c r="L838" s="98"/>
      <c r="M838" s="98" t="s">
        <v>82</v>
      </c>
      <c r="N838" s="98" t="s">
        <v>47</v>
      </c>
      <c r="O838" s="98"/>
      <c r="P838" s="98"/>
      <c r="Q838" s="98" t="s">
        <v>83</v>
      </c>
      <c r="R838" s="98"/>
      <c r="S838" s="98"/>
      <c r="T838" s="98" t="s">
        <v>47</v>
      </c>
      <c r="U838" s="330" t="e">
        <f>X835</f>
        <v>#DIV/0!</v>
      </c>
      <c r="V838" s="330"/>
      <c r="W838" s="98" t="s">
        <v>53</v>
      </c>
      <c r="X838" s="98"/>
    </row>
    <row r="839" spans="1:24" ht="18.75" customHeight="1">
      <c r="A839" s="330" t="s">
        <v>84</v>
      </c>
      <c r="B839" s="330"/>
      <c r="C839" s="330"/>
      <c r="D839" s="330"/>
      <c r="E839" s="330"/>
      <c r="F839" s="330"/>
      <c r="G839" s="98" t="s">
        <v>47</v>
      </c>
      <c r="H839" s="330" t="e">
        <f>I826+I827+I828+I829+I830+I833+I837+I838</f>
        <v>#DIV/0!</v>
      </c>
      <c r="I839" s="330"/>
      <c r="J839" s="330"/>
      <c r="K839" s="98" t="s">
        <v>53</v>
      </c>
      <c r="M839" s="330" t="s">
        <v>84</v>
      </c>
      <c r="N839" s="330"/>
      <c r="O839" s="330"/>
      <c r="P839" s="330"/>
      <c r="Q839" s="330"/>
      <c r="R839" s="330"/>
      <c r="S839" s="98" t="s">
        <v>47</v>
      </c>
      <c r="T839" s="330" t="e">
        <f>U826+U827+U828+U829+U830+U833+U837+U838</f>
        <v>#DIV/0!</v>
      </c>
      <c r="U839" s="330"/>
      <c r="V839" s="330"/>
      <c r="W839" s="98" t="s">
        <v>53</v>
      </c>
    </row>
    <row r="840" spans="1:24" ht="18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</row>
    <row r="841" spans="1:24" ht="18.75" customHeight="1">
      <c r="A841" s="330" t="s">
        <v>85</v>
      </c>
      <c r="B841" s="330"/>
      <c r="C841" s="330"/>
      <c r="D841" s="330"/>
      <c r="E841" s="330"/>
      <c r="F841" s="330"/>
      <c r="G841" s="98"/>
      <c r="H841" s="98"/>
      <c r="I841" s="98"/>
      <c r="J841" s="98"/>
      <c r="K841" s="98"/>
      <c r="M841" s="330" t="s">
        <v>85</v>
      </c>
      <c r="N841" s="330"/>
      <c r="O841" s="330"/>
      <c r="P841" s="330"/>
      <c r="Q841" s="330"/>
      <c r="R841" s="330"/>
      <c r="S841" s="98"/>
      <c r="T841" s="98"/>
      <c r="U841" s="98"/>
      <c r="V841" s="98"/>
      <c r="W841" s="98"/>
    </row>
    <row r="842" spans="1:24" ht="18.75" customHeight="1">
      <c r="A842" s="330" t="s">
        <v>86</v>
      </c>
      <c r="B842" s="330"/>
      <c r="C842" s="330"/>
      <c r="D842" s="330"/>
      <c r="E842" s="330"/>
      <c r="F842" s="330"/>
      <c r="G842" s="98" t="s">
        <v>47</v>
      </c>
      <c r="H842" s="330">
        <f>IF(($L$1-(C826+C827+C828+C829))&gt;12,0,F823*8%)</f>
        <v>0</v>
      </c>
      <c r="I842" s="330"/>
      <c r="J842" s="330"/>
      <c r="K842" s="98" t="s">
        <v>53</v>
      </c>
      <c r="M842" s="330" t="s">
        <v>86</v>
      </c>
      <c r="N842" s="330"/>
      <c r="O842" s="330"/>
      <c r="P842" s="330"/>
      <c r="Q842" s="330"/>
      <c r="R842" s="330"/>
      <c r="S842" s="98" t="s">
        <v>47</v>
      </c>
      <c r="T842" s="330">
        <f>IF(($L$1-(O826+O827+O828+O829))&gt;12,0,R823*8%)</f>
        <v>0</v>
      </c>
      <c r="U842" s="330"/>
      <c r="V842" s="330"/>
      <c r="W842" s="98" t="s">
        <v>53</v>
      </c>
    </row>
    <row r="843" spans="1:24" ht="18.75" customHeight="1">
      <c r="A843" s="330" t="s">
        <v>87</v>
      </c>
      <c r="B843" s="330"/>
      <c r="C843" s="330"/>
      <c r="D843" s="330"/>
      <c r="E843" s="330"/>
      <c r="F843" s="330"/>
      <c r="G843" s="98" t="s">
        <v>47</v>
      </c>
      <c r="H843" s="330">
        <f>IF(($L$1-(C826+C827+C828+C829))&gt;12,0,F823*1.5%)</f>
        <v>0</v>
      </c>
      <c r="I843" s="330"/>
      <c r="J843" s="330"/>
      <c r="K843" s="98" t="s">
        <v>53</v>
      </c>
      <c r="M843" s="330" t="s">
        <v>87</v>
      </c>
      <c r="N843" s="330"/>
      <c r="O843" s="330"/>
      <c r="P843" s="330"/>
      <c r="Q843" s="330"/>
      <c r="R843" s="330"/>
      <c r="S843" s="98" t="s">
        <v>47</v>
      </c>
      <c r="T843" s="330">
        <f>IF(($L$1-(O826+O827+O828+O829))&gt;12,0,R823*1.5%)</f>
        <v>0</v>
      </c>
      <c r="U843" s="330"/>
      <c r="V843" s="330"/>
      <c r="W843" s="98" t="s">
        <v>53</v>
      </c>
    </row>
    <row r="844" spans="1:24" ht="18.75" customHeight="1">
      <c r="A844" s="330" t="s">
        <v>88</v>
      </c>
      <c r="B844" s="330"/>
      <c r="C844" s="330"/>
      <c r="D844" s="330"/>
      <c r="E844" s="330"/>
      <c r="F844" s="330"/>
      <c r="G844" s="98" t="s">
        <v>47</v>
      </c>
      <c r="H844" s="330">
        <f>IF(($L$1-(C826+C827+C828+C829))&gt;12,0,F823*1%)</f>
        <v>0</v>
      </c>
      <c r="I844" s="330"/>
      <c r="J844" s="330"/>
      <c r="K844" s="98" t="s">
        <v>53</v>
      </c>
      <c r="M844" s="330" t="s">
        <v>88</v>
      </c>
      <c r="N844" s="330"/>
      <c r="O844" s="330"/>
      <c r="P844" s="330"/>
      <c r="Q844" s="330"/>
      <c r="R844" s="330"/>
      <c r="S844" s="98" t="s">
        <v>47</v>
      </c>
      <c r="T844" s="330">
        <f>IF(($L$1-(O826+O827+O828+O829))&gt;12,0,R823*1%)</f>
        <v>0</v>
      </c>
      <c r="U844" s="330"/>
      <c r="V844" s="330"/>
      <c r="W844" s="98" t="s">
        <v>53</v>
      </c>
    </row>
    <row r="845" spans="1:24" ht="18.75" customHeight="1">
      <c r="A845" s="330" t="s">
        <v>89</v>
      </c>
      <c r="B845" s="330"/>
      <c r="C845" s="330"/>
      <c r="D845" s="330"/>
      <c r="E845" s="330"/>
      <c r="F845" s="330"/>
      <c r="G845" s="98" t="s">
        <v>47</v>
      </c>
      <c r="H845" s="330">
        <v>0</v>
      </c>
      <c r="I845" s="330"/>
      <c r="J845" s="330"/>
      <c r="K845" s="98" t="s">
        <v>53</v>
      </c>
      <c r="M845" s="330" t="s">
        <v>89</v>
      </c>
      <c r="N845" s="330"/>
      <c r="O845" s="330"/>
      <c r="P845" s="330"/>
      <c r="Q845" s="330"/>
      <c r="R845" s="330"/>
      <c r="S845" s="98" t="s">
        <v>47</v>
      </c>
      <c r="T845" s="330">
        <v>0</v>
      </c>
      <c r="U845" s="330"/>
      <c r="V845" s="330"/>
      <c r="W845" s="98" t="s">
        <v>53</v>
      </c>
    </row>
    <row r="846" spans="1:24" ht="18.75" customHeight="1">
      <c r="A846" s="330" t="s">
        <v>90</v>
      </c>
      <c r="B846" s="330"/>
      <c r="C846" s="330"/>
      <c r="D846" s="330"/>
      <c r="E846" s="330"/>
      <c r="F846" s="330"/>
      <c r="G846" s="98" t="s">
        <v>47</v>
      </c>
      <c r="H846" s="330">
        <f>SUM(H842:J845)</f>
        <v>0</v>
      </c>
      <c r="I846" s="330"/>
      <c r="J846" s="330"/>
      <c r="K846" s="98" t="s">
        <v>53</v>
      </c>
      <c r="M846" s="330" t="s">
        <v>90</v>
      </c>
      <c r="N846" s="330"/>
      <c r="O846" s="330"/>
      <c r="P846" s="330"/>
      <c r="Q846" s="330"/>
      <c r="R846" s="330"/>
      <c r="S846" s="98" t="s">
        <v>47</v>
      </c>
      <c r="T846" s="330">
        <f>SUM(T842:V845)</f>
        <v>0</v>
      </c>
      <c r="U846" s="330"/>
      <c r="V846" s="330"/>
      <c r="W846" s="98" t="s">
        <v>53</v>
      </c>
    </row>
    <row r="847" spans="1:24" ht="18.75" customHeight="1">
      <c r="A847" s="330" t="s">
        <v>91</v>
      </c>
      <c r="B847" s="330"/>
      <c r="C847" s="330"/>
      <c r="D847" s="330"/>
      <c r="E847" s="330"/>
      <c r="F847" s="330"/>
      <c r="G847" s="98" t="s">
        <v>47</v>
      </c>
      <c r="H847" s="330" t="e">
        <f>ROUND(H839-H846,-2)</f>
        <v>#DIV/0!</v>
      </c>
      <c r="I847" s="330"/>
      <c r="J847" s="330"/>
      <c r="K847" s="98" t="s">
        <v>53</v>
      </c>
      <c r="M847" s="330" t="s">
        <v>91</v>
      </c>
      <c r="N847" s="330"/>
      <c r="O847" s="330"/>
      <c r="P847" s="330"/>
      <c r="Q847" s="330"/>
      <c r="R847" s="330"/>
      <c r="S847" s="98" t="s">
        <v>47</v>
      </c>
      <c r="T847" s="330" t="e">
        <f>ROUND(T839-T846,-2)</f>
        <v>#DIV/0!</v>
      </c>
      <c r="U847" s="330"/>
      <c r="V847" s="330"/>
      <c r="W847" s="98" t="s">
        <v>53</v>
      </c>
    </row>
    <row r="848" spans="1:24" ht="18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</row>
    <row r="849" spans="1:24" ht="18.75" customHeight="1">
      <c r="A849" s="98"/>
      <c r="B849" s="98"/>
      <c r="C849" s="98"/>
      <c r="D849" s="98"/>
      <c r="E849" s="98"/>
      <c r="F849" s="98"/>
      <c r="G849" s="98"/>
      <c r="H849" s="98"/>
      <c r="I849" s="330" t="s">
        <v>92</v>
      </c>
      <c r="J849" s="330"/>
      <c r="K849" s="330"/>
      <c r="M849" s="98"/>
      <c r="N849" s="98"/>
      <c r="O849" s="98"/>
      <c r="P849" s="98"/>
      <c r="Q849" s="98"/>
      <c r="R849" s="98"/>
      <c r="S849" s="98"/>
      <c r="T849" s="98"/>
      <c r="U849" s="330" t="s">
        <v>92</v>
      </c>
      <c r="V849" s="330"/>
      <c r="W849" s="330"/>
    </row>
    <row r="850" spans="1:24" ht="18.75" customHeight="1">
      <c r="A850" s="98"/>
      <c r="B850" s="330"/>
      <c r="C850" s="330"/>
      <c r="D850" s="330"/>
      <c r="E850" s="330"/>
      <c r="F850" s="98"/>
      <c r="G850" s="98"/>
      <c r="H850" s="98"/>
      <c r="I850" s="98"/>
      <c r="J850" s="98"/>
      <c r="K850" s="98"/>
      <c r="M850" s="98"/>
      <c r="N850" s="330"/>
      <c r="O850" s="330"/>
      <c r="P850" s="330"/>
      <c r="Q850" s="330"/>
      <c r="R850" s="98"/>
      <c r="S850" s="98"/>
      <c r="T850" s="98"/>
      <c r="U850" s="98"/>
      <c r="V850" s="98"/>
      <c r="W850" s="98"/>
    </row>
    <row r="851" spans="1:24" ht="18.75" customHeight="1">
      <c r="A851" s="98"/>
      <c r="B851" s="98"/>
      <c r="C851" s="98"/>
      <c r="D851" s="98"/>
      <c r="E851" s="98"/>
      <c r="F851" s="98"/>
      <c r="G851" s="98"/>
      <c r="H851" s="98"/>
      <c r="I851" s="330" t="s">
        <v>93</v>
      </c>
      <c r="J851" s="330"/>
      <c r="K851" s="330"/>
      <c r="M851" s="98"/>
      <c r="N851" s="98"/>
      <c r="O851" s="98"/>
      <c r="P851" s="98"/>
      <c r="Q851" s="98"/>
      <c r="R851" s="98"/>
      <c r="S851" s="98"/>
      <c r="T851" s="98"/>
      <c r="U851" s="330" t="s">
        <v>93</v>
      </c>
      <c r="V851" s="330"/>
      <c r="W851" s="330"/>
    </row>
    <row r="853" spans="1:24" ht="18.75" customHeight="1">
      <c r="A853" s="330" t="s">
        <v>41</v>
      </c>
      <c r="B853" s="330"/>
      <c r="C853" s="330"/>
      <c r="D853" s="330"/>
      <c r="E853" s="330"/>
      <c r="F853" s="330"/>
      <c r="G853" s="330"/>
      <c r="H853" s="330"/>
      <c r="I853" s="330"/>
      <c r="J853" s="330"/>
      <c r="K853" s="330"/>
      <c r="L853" s="98">
        <v>24</v>
      </c>
      <c r="M853" s="330" t="s">
        <v>41</v>
      </c>
      <c r="N853" s="330"/>
      <c r="O853" s="330"/>
      <c r="P853" s="330"/>
      <c r="Q853" s="330"/>
      <c r="R853" s="330"/>
      <c r="S853" s="330"/>
      <c r="T853" s="330"/>
      <c r="U853" s="330"/>
      <c r="V853" s="330"/>
      <c r="W853" s="330"/>
      <c r="X853" s="98">
        <v>24</v>
      </c>
    </row>
    <row r="854" spans="1:24" ht="18.75" customHeight="1">
      <c r="A854" s="98" t="s">
        <v>154</v>
      </c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M854" s="98" t="s">
        <v>155</v>
      </c>
      <c r="N854" s="98"/>
      <c r="O854" s="98"/>
      <c r="P854" s="98"/>
      <c r="Q854" s="98"/>
      <c r="R854" s="98"/>
      <c r="S854" s="98"/>
      <c r="T854" s="98"/>
      <c r="U854" s="98"/>
      <c r="V854" s="98"/>
      <c r="W854" s="98"/>
    </row>
    <row r="855" spans="1:24" ht="18.75" customHeight="1">
      <c r="A855" s="330" t="s">
        <v>45</v>
      </c>
      <c r="B855" s="330"/>
      <c r="C855" s="330"/>
      <c r="D855" s="330"/>
      <c r="E855" s="330"/>
      <c r="F855" s="330"/>
      <c r="G855" s="330"/>
      <c r="H855" s="330"/>
      <c r="I855" s="330"/>
      <c r="J855" s="330"/>
      <c r="K855" s="330"/>
      <c r="M855" s="330" t="s">
        <v>45</v>
      </c>
      <c r="N855" s="330"/>
      <c r="O855" s="330"/>
      <c r="P855" s="330"/>
      <c r="Q855" s="330"/>
      <c r="R855" s="330"/>
      <c r="S855" s="330"/>
      <c r="T855" s="330"/>
      <c r="U855" s="330"/>
      <c r="V855" s="330"/>
      <c r="W855" s="330"/>
    </row>
    <row r="856" spans="1:24" ht="18.75" customHeight="1">
      <c r="A856" s="330" t="s">
        <v>46</v>
      </c>
      <c r="B856" s="330"/>
      <c r="C856" s="330"/>
      <c r="D856" s="330"/>
      <c r="E856" s="98" t="s">
        <v>47</v>
      </c>
      <c r="F856" s="330">
        <f>'[2]Bang TH nop'!B93</f>
        <v>0</v>
      </c>
      <c r="G856" s="330"/>
      <c r="H856" s="330"/>
      <c r="I856" s="330"/>
      <c r="J856" s="330"/>
      <c r="K856" s="330"/>
      <c r="M856" s="330" t="s">
        <v>46</v>
      </c>
      <c r="N856" s="330"/>
      <c r="O856" s="330"/>
      <c r="P856" s="330"/>
      <c r="Q856" s="98" t="s">
        <v>47</v>
      </c>
      <c r="R856" s="330"/>
      <c r="S856" s="330"/>
      <c r="T856" s="330"/>
      <c r="U856" s="330"/>
      <c r="V856" s="330"/>
      <c r="W856" s="330"/>
    </row>
    <row r="857" spans="1:24" ht="18.75" customHeight="1">
      <c r="A857" s="330" t="s">
        <v>49</v>
      </c>
      <c r="B857" s="330"/>
      <c r="C857" s="330"/>
      <c r="D857" s="330"/>
      <c r="E857" s="98" t="s">
        <v>47</v>
      </c>
      <c r="F857" s="330">
        <f>'[2]Bang TH nop'!C93</f>
        <v>0</v>
      </c>
      <c r="G857" s="330"/>
      <c r="H857" s="330"/>
      <c r="I857" s="330"/>
      <c r="J857" s="330"/>
      <c r="K857" s="330"/>
      <c r="M857" s="330" t="s">
        <v>49</v>
      </c>
      <c r="N857" s="330"/>
      <c r="O857" s="330"/>
      <c r="P857" s="330"/>
      <c r="Q857" s="98" t="s">
        <v>47</v>
      </c>
      <c r="R857" s="330"/>
      <c r="S857" s="330"/>
      <c r="T857" s="330"/>
      <c r="U857" s="330"/>
      <c r="V857" s="330"/>
      <c r="W857" s="330"/>
    </row>
    <row r="858" spans="1:24" ht="18.75" customHeight="1">
      <c r="A858" s="330" t="s">
        <v>50</v>
      </c>
      <c r="B858" s="330"/>
      <c r="C858" s="330"/>
      <c r="D858" s="330"/>
      <c r="E858" s="98" t="s">
        <v>47</v>
      </c>
      <c r="F858" s="330" t="s">
        <v>121</v>
      </c>
      <c r="G858" s="330"/>
      <c r="H858" s="330"/>
      <c r="I858" s="330"/>
      <c r="J858" s="330"/>
      <c r="K858" s="330"/>
      <c r="M858" s="330" t="s">
        <v>50</v>
      </c>
      <c r="N858" s="330"/>
      <c r="O858" s="330"/>
      <c r="P858" s="330"/>
      <c r="Q858" s="98" t="s">
        <v>47</v>
      </c>
      <c r="R858" s="330" t="s">
        <v>121</v>
      </c>
      <c r="S858" s="330"/>
      <c r="T858" s="330"/>
      <c r="U858" s="330"/>
      <c r="V858" s="330"/>
      <c r="W858" s="330"/>
    </row>
    <row r="859" spans="1:24" ht="18.75" customHeight="1">
      <c r="A859" s="330" t="s">
        <v>51</v>
      </c>
      <c r="B859" s="330"/>
      <c r="C859" s="330"/>
      <c r="D859" s="330"/>
      <c r="E859" s="330"/>
      <c r="F859" s="330"/>
      <c r="G859" s="330"/>
      <c r="H859" s="330"/>
      <c r="I859" s="330"/>
      <c r="J859" s="330"/>
      <c r="K859" s="330"/>
      <c r="M859" s="330" t="s">
        <v>51</v>
      </c>
      <c r="N859" s="330"/>
      <c r="O859" s="330"/>
      <c r="P859" s="330"/>
      <c r="Q859" s="330"/>
      <c r="R859" s="330"/>
      <c r="S859" s="330"/>
      <c r="T859" s="330"/>
      <c r="U859" s="330"/>
      <c r="V859" s="330"/>
      <c r="W859" s="330"/>
    </row>
    <row r="860" spans="1:24" ht="18.75" customHeight="1">
      <c r="A860" s="330" t="s">
        <v>52</v>
      </c>
      <c r="B860" s="330"/>
      <c r="C860" s="330"/>
      <c r="D860" s="330"/>
      <c r="E860" s="98" t="s">
        <v>47</v>
      </c>
      <c r="F860" s="330">
        <v>2915400</v>
      </c>
      <c r="G860" s="330"/>
      <c r="H860" s="330"/>
      <c r="I860" s="330"/>
      <c r="J860" s="98" t="s">
        <v>53</v>
      </c>
      <c r="K860" s="98"/>
      <c r="M860" s="330" t="s">
        <v>52</v>
      </c>
      <c r="N860" s="330"/>
      <c r="O860" s="330"/>
      <c r="P860" s="330"/>
      <c r="Q860" s="98" t="s">
        <v>47</v>
      </c>
      <c r="R860" s="330">
        <v>2915400</v>
      </c>
      <c r="S860" s="330"/>
      <c r="T860" s="330"/>
      <c r="U860" s="330"/>
      <c r="V860" s="98" t="s">
        <v>53</v>
      </c>
      <c r="W860" s="98"/>
    </row>
    <row r="861" spans="1:24" ht="18.75" customHeight="1">
      <c r="A861" s="98" t="s">
        <v>54</v>
      </c>
      <c r="B861" s="98"/>
      <c r="C861" s="98"/>
      <c r="D861" s="98"/>
      <c r="E861" s="98"/>
      <c r="F861" s="98"/>
      <c r="G861" s="98"/>
      <c r="H861" s="98"/>
      <c r="I861" s="98">
        <f>'[2]LUONG T7'!F97</f>
        <v>0</v>
      </c>
      <c r="J861" s="98"/>
      <c r="K861" s="98"/>
      <c r="M861" s="98" t="s">
        <v>54</v>
      </c>
      <c r="N861" s="98"/>
      <c r="O861" s="98"/>
      <c r="P861" s="98"/>
      <c r="Q861" s="98"/>
      <c r="R861" s="98"/>
      <c r="S861" s="98"/>
      <c r="T861" s="98"/>
      <c r="U861" s="98"/>
      <c r="V861" s="98"/>
      <c r="W861" s="98"/>
    </row>
    <row r="862" spans="1:24" ht="18.75" customHeight="1">
      <c r="A862" s="98" t="s">
        <v>55</v>
      </c>
      <c r="B862" s="98"/>
      <c r="C862" s="98"/>
      <c r="D862" s="98"/>
      <c r="E862" s="98"/>
      <c r="F862" s="98"/>
      <c r="G862" s="98"/>
      <c r="H862" s="98"/>
      <c r="I862" s="98" t="e">
        <f>I863/C863/8</f>
        <v>#DIV/0!</v>
      </c>
      <c r="J862" s="98"/>
      <c r="K862" s="98"/>
      <c r="M862" s="98" t="s">
        <v>55</v>
      </c>
      <c r="N862" s="98"/>
      <c r="O862" s="98"/>
      <c r="P862" s="98"/>
      <c r="Q862" s="98"/>
      <c r="R862" s="98"/>
      <c r="S862" s="98"/>
      <c r="T862" s="98"/>
      <c r="U862" s="98" t="e">
        <f>U863/O863/8</f>
        <v>#DIV/0!</v>
      </c>
      <c r="V862" s="98"/>
      <c r="W862" s="98"/>
    </row>
    <row r="863" spans="1:24" ht="18.75" customHeight="1">
      <c r="A863" s="98" t="s">
        <v>56</v>
      </c>
      <c r="B863" s="98" t="s">
        <v>47</v>
      </c>
      <c r="C863" s="98">
        <f>'[2]LUONG T7'!I96</f>
        <v>0</v>
      </c>
      <c r="D863" s="98" t="s">
        <v>57</v>
      </c>
      <c r="E863" s="330" t="s">
        <v>58</v>
      </c>
      <c r="F863" s="330"/>
      <c r="G863" s="330"/>
      <c r="H863" s="98" t="s">
        <v>47</v>
      </c>
      <c r="I863" s="330" t="e">
        <f>I861*680/((C863-C870)*8+C870*7+C867)*((C863-C870)*8+C870*7)</f>
        <v>#DIV/0!</v>
      </c>
      <c r="J863" s="330"/>
      <c r="K863" s="98" t="s">
        <v>53</v>
      </c>
      <c r="L863" s="98">
        <f>F860/L853*C863</f>
        <v>0</v>
      </c>
      <c r="M863" s="98" t="s">
        <v>56</v>
      </c>
      <c r="N863" s="98" t="s">
        <v>47</v>
      </c>
      <c r="O863" s="98"/>
      <c r="P863" s="98" t="s">
        <v>57</v>
      </c>
      <c r="Q863" s="330" t="s">
        <v>58</v>
      </c>
      <c r="R863" s="330"/>
      <c r="S863" s="330"/>
      <c r="T863" s="98" t="s">
        <v>47</v>
      </c>
      <c r="U863" s="330" t="e">
        <f>U861*680/((O863-O870)*8+O870*7+O867)*((O863-O870)*8+O870*7)</f>
        <v>#DIV/0!</v>
      </c>
      <c r="V863" s="330"/>
      <c r="W863" s="98" t="s">
        <v>53</v>
      </c>
      <c r="X863" s="98">
        <f>R860/X853*O863</f>
        <v>0</v>
      </c>
    </row>
    <row r="864" spans="1:24" ht="18.75" customHeight="1">
      <c r="A864" s="98" t="s">
        <v>59</v>
      </c>
      <c r="B864" s="98" t="s">
        <v>47</v>
      </c>
      <c r="C864" s="98">
        <f>'[2]LUONG T7'!J96</f>
        <v>0</v>
      </c>
      <c r="D864" s="98" t="s">
        <v>57</v>
      </c>
      <c r="E864" s="330" t="s">
        <v>60</v>
      </c>
      <c r="F864" s="330"/>
      <c r="G864" s="330"/>
      <c r="H864" s="98" t="s">
        <v>47</v>
      </c>
      <c r="I864" s="330">
        <f>$F$8/$L$1*C864</f>
        <v>0</v>
      </c>
      <c r="J864" s="330"/>
      <c r="K864" s="98" t="s">
        <v>53</v>
      </c>
      <c r="L864" s="98"/>
      <c r="M864" s="98" t="s">
        <v>59</v>
      </c>
      <c r="N864" s="98" t="s">
        <v>47</v>
      </c>
      <c r="O864" s="98"/>
      <c r="P864" s="98" t="s">
        <v>57</v>
      </c>
      <c r="Q864" s="330" t="s">
        <v>60</v>
      </c>
      <c r="R864" s="330"/>
      <c r="S864" s="330"/>
      <c r="T864" s="98" t="s">
        <v>47</v>
      </c>
      <c r="U864" s="330">
        <f>$F$8/$L$1*O864</f>
        <v>0</v>
      </c>
      <c r="V864" s="330"/>
      <c r="W864" s="98" t="s">
        <v>53</v>
      </c>
      <c r="X864" s="98"/>
    </row>
    <row r="865" spans="1:24" ht="18.75" customHeight="1">
      <c r="A865" s="98" t="s">
        <v>61</v>
      </c>
      <c r="B865" s="98" t="s">
        <v>47</v>
      </c>
      <c r="C865" s="98">
        <f>'[2]LUONG T7'!K96</f>
        <v>0</v>
      </c>
      <c r="D865" s="98" t="s">
        <v>57</v>
      </c>
      <c r="E865" s="330" t="s">
        <v>62</v>
      </c>
      <c r="F865" s="330"/>
      <c r="G865" s="330"/>
      <c r="H865" s="98" t="s">
        <v>47</v>
      </c>
      <c r="I865" s="330">
        <f>$F$8/$L$1*C865</f>
        <v>0</v>
      </c>
      <c r="J865" s="330"/>
      <c r="K865" s="98" t="s">
        <v>53</v>
      </c>
      <c r="L865" s="98"/>
      <c r="M865" s="98" t="s">
        <v>61</v>
      </c>
      <c r="N865" s="98" t="s">
        <v>47</v>
      </c>
      <c r="O865" s="98"/>
      <c r="P865" s="98" t="s">
        <v>57</v>
      </c>
      <c r="Q865" s="330" t="s">
        <v>62</v>
      </c>
      <c r="R865" s="330"/>
      <c r="S865" s="330"/>
      <c r="T865" s="98" t="s">
        <v>47</v>
      </c>
      <c r="U865" s="330">
        <f>$F$8/$L$1*O865</f>
        <v>0</v>
      </c>
      <c r="V865" s="330"/>
      <c r="W865" s="98" t="s">
        <v>53</v>
      </c>
      <c r="X865" s="98"/>
    </row>
    <row r="866" spans="1:24" ht="18.75" customHeight="1">
      <c r="A866" s="98" t="s">
        <v>63</v>
      </c>
      <c r="B866" s="98" t="s">
        <v>47</v>
      </c>
      <c r="C866" s="98">
        <f>'[2]LUONG T7'!L96</f>
        <v>0</v>
      </c>
      <c r="D866" s="98" t="s">
        <v>57</v>
      </c>
      <c r="E866" s="330" t="s">
        <v>64</v>
      </c>
      <c r="F866" s="330"/>
      <c r="G866" s="330"/>
      <c r="H866" s="98" t="s">
        <v>47</v>
      </c>
      <c r="I866" s="330">
        <f>$F$8/$L$1*C866</f>
        <v>0</v>
      </c>
      <c r="J866" s="330"/>
      <c r="K866" s="98" t="s">
        <v>53</v>
      </c>
      <c r="L866" s="98"/>
      <c r="M866" s="98" t="s">
        <v>63</v>
      </c>
      <c r="N866" s="98" t="s">
        <v>47</v>
      </c>
      <c r="O866" s="98"/>
      <c r="P866" s="98" t="s">
        <v>57</v>
      </c>
      <c r="Q866" s="330" t="s">
        <v>64</v>
      </c>
      <c r="R866" s="330"/>
      <c r="S866" s="330"/>
      <c r="T866" s="98" t="s">
        <v>47</v>
      </c>
      <c r="U866" s="330">
        <f>$F$8/$L$1*O866</f>
        <v>0</v>
      </c>
      <c r="V866" s="330"/>
      <c r="W866" s="98" t="s">
        <v>53</v>
      </c>
      <c r="X866" s="98"/>
    </row>
    <row r="867" spans="1:24" ht="18.75" customHeight="1">
      <c r="A867" s="98" t="s">
        <v>65</v>
      </c>
      <c r="B867" s="98" t="s">
        <v>47</v>
      </c>
      <c r="C867" s="98">
        <f>'[2]LUONG T7'!Q96</f>
        <v>0</v>
      </c>
      <c r="D867" s="98" t="s">
        <v>66</v>
      </c>
      <c r="E867" s="330" t="s">
        <v>67</v>
      </c>
      <c r="F867" s="330"/>
      <c r="G867" s="330"/>
      <c r="H867" s="98" t="s">
        <v>47</v>
      </c>
      <c r="I867" s="330" t="e">
        <f>I863/C863/8*C867</f>
        <v>#DIV/0!</v>
      </c>
      <c r="J867" s="330"/>
      <c r="K867" s="98" t="s">
        <v>53</v>
      </c>
      <c r="L867" s="98">
        <f>F860*C867/L853/8*1.5</f>
        <v>0</v>
      </c>
      <c r="M867" s="98" t="s">
        <v>65</v>
      </c>
      <c r="N867" s="98" t="s">
        <v>47</v>
      </c>
      <c r="O867" s="98"/>
      <c r="P867" s="98" t="s">
        <v>66</v>
      </c>
      <c r="Q867" s="330" t="s">
        <v>67</v>
      </c>
      <c r="R867" s="330"/>
      <c r="S867" s="330"/>
      <c r="T867" s="98" t="s">
        <v>47</v>
      </c>
      <c r="U867" s="330" t="e">
        <f>U863/O863/8*O867</f>
        <v>#DIV/0!</v>
      </c>
      <c r="V867" s="330"/>
      <c r="W867" s="98" t="s">
        <v>53</v>
      </c>
      <c r="X867" s="98">
        <f>R860*O867/X853/8*1.5</f>
        <v>0</v>
      </c>
    </row>
    <row r="868" spans="1:24" ht="18.75" customHeight="1">
      <c r="A868" s="330" t="s">
        <v>68</v>
      </c>
      <c r="B868" s="330"/>
      <c r="C868" s="98"/>
      <c r="D868" s="98" t="s">
        <v>57</v>
      </c>
      <c r="E868" s="330" t="s">
        <v>69</v>
      </c>
      <c r="F868" s="330"/>
      <c r="G868" s="330"/>
      <c r="H868" s="98" t="s">
        <v>47</v>
      </c>
      <c r="I868" s="330"/>
      <c r="J868" s="330"/>
      <c r="K868" s="98" t="s">
        <v>53</v>
      </c>
      <c r="L868" s="98"/>
      <c r="M868" s="330" t="s">
        <v>68</v>
      </c>
      <c r="N868" s="330"/>
      <c r="O868" s="98"/>
      <c r="P868" s="98" t="s">
        <v>57</v>
      </c>
      <c r="Q868" s="330" t="s">
        <v>69</v>
      </c>
      <c r="R868" s="330"/>
      <c r="S868" s="330"/>
      <c r="T868" s="98" t="s">
        <v>47</v>
      </c>
      <c r="U868" s="330"/>
      <c r="V868" s="330"/>
      <c r="W868" s="98" t="s">
        <v>53</v>
      </c>
      <c r="X868" s="98"/>
    </row>
    <row r="869" spans="1:24" ht="18.75" customHeight="1">
      <c r="A869" s="98" t="s">
        <v>70</v>
      </c>
      <c r="B869" s="98" t="s">
        <v>47</v>
      </c>
      <c r="C869" s="98"/>
      <c r="D869" s="98" t="s">
        <v>57</v>
      </c>
      <c r="E869" s="330" t="s">
        <v>71</v>
      </c>
      <c r="F869" s="330"/>
      <c r="G869" s="330"/>
      <c r="H869" s="98" t="s">
        <v>47</v>
      </c>
      <c r="I869" s="330"/>
      <c r="J869" s="330"/>
      <c r="K869" s="98" t="s">
        <v>53</v>
      </c>
      <c r="L869" s="98"/>
      <c r="M869" s="98" t="s">
        <v>70</v>
      </c>
      <c r="N869" s="98" t="s">
        <v>47</v>
      </c>
      <c r="O869" s="98"/>
      <c r="P869" s="98" t="s">
        <v>57</v>
      </c>
      <c r="Q869" s="330" t="s">
        <v>71</v>
      </c>
      <c r="R869" s="330"/>
      <c r="S869" s="330"/>
      <c r="T869" s="98" t="s">
        <v>47</v>
      </c>
      <c r="U869" s="330"/>
      <c r="V869" s="330"/>
      <c r="W869" s="98" t="s">
        <v>53</v>
      </c>
      <c r="X869" s="98"/>
    </row>
    <row r="870" spans="1:24" ht="18.75" customHeight="1">
      <c r="A870" s="98" t="s">
        <v>72</v>
      </c>
      <c r="B870" s="98"/>
      <c r="C870" s="98">
        <f>'[2]LUONG T7'!M96</f>
        <v>0</v>
      </c>
      <c r="D870" s="98" t="s">
        <v>66</v>
      </c>
      <c r="E870" s="330" t="s">
        <v>73</v>
      </c>
      <c r="F870" s="330"/>
      <c r="G870" s="330"/>
      <c r="H870" s="98" t="s">
        <v>47</v>
      </c>
      <c r="I870" s="330">
        <f>$F$8*C870/8/$L$1</f>
        <v>0</v>
      </c>
      <c r="J870" s="330"/>
      <c r="K870" s="98" t="s">
        <v>53</v>
      </c>
      <c r="L870" s="98"/>
      <c r="M870" s="98" t="s">
        <v>72</v>
      </c>
      <c r="N870" s="98"/>
      <c r="O870" s="98"/>
      <c r="P870" s="98" t="s">
        <v>66</v>
      </c>
      <c r="Q870" s="330" t="s">
        <v>73</v>
      </c>
      <c r="R870" s="330"/>
      <c r="S870" s="330"/>
      <c r="T870" s="98" t="s">
        <v>47</v>
      </c>
      <c r="U870" s="330">
        <f>$F$8*O870/8/$L$1</f>
        <v>0</v>
      </c>
      <c r="V870" s="330"/>
      <c r="W870" s="98" t="s">
        <v>53</v>
      </c>
      <c r="X870" s="98"/>
    </row>
    <row r="871" spans="1:24" ht="18.75" customHeight="1">
      <c r="A871" s="98" t="s">
        <v>74</v>
      </c>
      <c r="B871" s="98" t="s">
        <v>47</v>
      </c>
      <c r="C871" s="98"/>
      <c r="D871" s="98" t="s">
        <v>66</v>
      </c>
      <c r="E871" s="330" t="s">
        <v>98</v>
      </c>
      <c r="F871" s="330"/>
      <c r="G871" s="330"/>
      <c r="H871" s="98" t="s">
        <v>47</v>
      </c>
      <c r="I871" s="330"/>
      <c r="J871" s="330"/>
      <c r="K871" s="98" t="s">
        <v>53</v>
      </c>
      <c r="L871" s="98"/>
      <c r="M871" s="98" t="s">
        <v>74</v>
      </c>
      <c r="N871" s="98" t="s">
        <v>47</v>
      </c>
      <c r="O871" s="98"/>
      <c r="P871" s="98" t="s">
        <v>66</v>
      </c>
      <c r="Q871" s="330" t="s">
        <v>98</v>
      </c>
      <c r="R871" s="330"/>
      <c r="S871" s="330"/>
      <c r="T871" s="98" t="s">
        <v>47</v>
      </c>
      <c r="U871" s="330"/>
      <c r="V871" s="330"/>
      <c r="W871" s="98" t="s">
        <v>53</v>
      </c>
      <c r="X871" s="98"/>
    </row>
    <row r="872" spans="1:24" ht="18.75" customHeight="1">
      <c r="A872" s="98" t="s">
        <v>76</v>
      </c>
      <c r="B872" s="98" t="s">
        <v>47</v>
      </c>
      <c r="C872" s="98"/>
      <c r="D872" s="98" t="s">
        <v>77</v>
      </c>
      <c r="E872" s="98" t="s">
        <v>78</v>
      </c>
      <c r="F872" s="98"/>
      <c r="G872" s="98"/>
      <c r="H872" s="98" t="s">
        <v>47</v>
      </c>
      <c r="I872" s="330"/>
      <c r="J872" s="330"/>
      <c r="K872" s="98" t="s">
        <v>53</v>
      </c>
      <c r="L872" s="98" t="e">
        <f>+IF(L863-I863&lt;0,0,L863-I863)+IF(L867-I867&lt;0,0,L867-I867)</f>
        <v>#DIV/0!</v>
      </c>
      <c r="M872" s="98" t="s">
        <v>76</v>
      </c>
      <c r="N872" s="98" t="s">
        <v>47</v>
      </c>
      <c r="O872" s="98"/>
      <c r="P872" s="98" t="s">
        <v>77</v>
      </c>
      <c r="Q872" s="98" t="s">
        <v>78</v>
      </c>
      <c r="R872" s="98"/>
      <c r="S872" s="98"/>
      <c r="T872" s="98" t="s">
        <v>47</v>
      </c>
      <c r="U872" s="330"/>
      <c r="V872" s="330"/>
      <c r="W872" s="98" t="s">
        <v>53</v>
      </c>
      <c r="X872" s="98" t="e">
        <f>+IF(X863-U863&lt;0,0,X863-U863)+IF(X867-U867&lt;0,0,X867-U867)</f>
        <v>#DIV/0!</v>
      </c>
    </row>
    <row r="873" spans="1:24" ht="18.75" customHeight="1">
      <c r="A873" s="98" t="s">
        <v>122</v>
      </c>
      <c r="B873" s="98"/>
      <c r="C873" s="98"/>
      <c r="D873" s="98" t="s">
        <v>57</v>
      </c>
      <c r="E873" s="330" t="s">
        <v>123</v>
      </c>
      <c r="F873" s="330"/>
      <c r="G873" s="330"/>
      <c r="H873" s="98" t="s">
        <v>47</v>
      </c>
      <c r="I873" s="330"/>
      <c r="J873" s="330"/>
      <c r="K873" s="98" t="s">
        <v>53</v>
      </c>
      <c r="L873" s="98"/>
      <c r="M873" s="98" t="s">
        <v>122</v>
      </c>
      <c r="N873" s="98"/>
      <c r="O873" s="98"/>
      <c r="P873" s="98" t="s">
        <v>57</v>
      </c>
      <c r="Q873" s="330" t="s">
        <v>123</v>
      </c>
      <c r="R873" s="330"/>
      <c r="S873" s="330"/>
      <c r="T873" s="98" t="s">
        <v>47</v>
      </c>
      <c r="U873" s="330"/>
      <c r="V873" s="330"/>
      <c r="W873" s="98" t="s">
        <v>53</v>
      </c>
      <c r="X873" s="98"/>
    </row>
    <row r="874" spans="1:24" ht="18.75" customHeight="1">
      <c r="A874" s="330" t="s">
        <v>81</v>
      </c>
      <c r="B874" s="330"/>
      <c r="C874" s="98"/>
      <c r="D874" s="98"/>
      <c r="E874" s="98"/>
      <c r="F874" s="98"/>
      <c r="G874" s="98"/>
      <c r="H874" s="98" t="s">
        <v>47</v>
      </c>
      <c r="I874" s="330">
        <f>'[2]LUONG T7'!P97</f>
        <v>0</v>
      </c>
      <c r="J874" s="330"/>
      <c r="K874" s="98" t="s">
        <v>53</v>
      </c>
      <c r="L874" s="98"/>
      <c r="M874" s="330" t="s">
        <v>81</v>
      </c>
      <c r="N874" s="330"/>
      <c r="O874" s="98"/>
      <c r="P874" s="98"/>
      <c r="Q874" s="98"/>
      <c r="R874" s="98"/>
      <c r="S874" s="98"/>
      <c r="T874" s="98" t="s">
        <v>47</v>
      </c>
      <c r="U874" s="330"/>
      <c r="V874" s="330"/>
      <c r="W874" s="98" t="s">
        <v>53</v>
      </c>
      <c r="X874" s="98"/>
    </row>
    <row r="875" spans="1:24" ht="18.75" customHeight="1">
      <c r="A875" s="98" t="s">
        <v>82</v>
      </c>
      <c r="B875" s="98" t="s">
        <v>47</v>
      </c>
      <c r="C875" s="98"/>
      <c r="D875" s="98"/>
      <c r="E875" s="98" t="s">
        <v>83</v>
      </c>
      <c r="F875" s="98"/>
      <c r="G875" s="98"/>
      <c r="H875" s="98" t="s">
        <v>47</v>
      </c>
      <c r="I875" s="330" t="e">
        <f>L872</f>
        <v>#DIV/0!</v>
      </c>
      <c r="J875" s="330"/>
      <c r="K875" s="98" t="s">
        <v>53</v>
      </c>
      <c r="L875" s="98"/>
      <c r="M875" s="98" t="s">
        <v>82</v>
      </c>
      <c r="N875" s="98" t="s">
        <v>47</v>
      </c>
      <c r="O875" s="98"/>
      <c r="P875" s="98"/>
      <c r="Q875" s="98" t="s">
        <v>83</v>
      </c>
      <c r="R875" s="98"/>
      <c r="S875" s="98"/>
      <c r="T875" s="98" t="s">
        <v>47</v>
      </c>
      <c r="U875" s="330" t="e">
        <f>X872</f>
        <v>#DIV/0!</v>
      </c>
      <c r="V875" s="330"/>
      <c r="W875" s="98" t="s">
        <v>53</v>
      </c>
      <c r="X875" s="98"/>
    </row>
    <row r="876" spans="1:24" ht="18.75" customHeight="1">
      <c r="A876" s="330" t="s">
        <v>84</v>
      </c>
      <c r="B876" s="330"/>
      <c r="C876" s="330"/>
      <c r="D876" s="330"/>
      <c r="E876" s="330"/>
      <c r="F876" s="330"/>
      <c r="G876" s="98" t="s">
        <v>47</v>
      </c>
      <c r="H876" s="330" t="e">
        <f>I863+I864+I865+I866+I867+I870+I874+I875</f>
        <v>#DIV/0!</v>
      </c>
      <c r="I876" s="330"/>
      <c r="J876" s="330"/>
      <c r="K876" s="98" t="s">
        <v>53</v>
      </c>
      <c r="M876" s="330" t="s">
        <v>84</v>
      </c>
      <c r="N876" s="330"/>
      <c r="O876" s="330"/>
      <c r="P876" s="330"/>
      <c r="Q876" s="330"/>
      <c r="R876" s="330"/>
      <c r="S876" s="98" t="s">
        <v>47</v>
      </c>
      <c r="T876" s="330" t="e">
        <f>U863+U864+U865+U866+U867+U870+U874+U875</f>
        <v>#DIV/0!</v>
      </c>
      <c r="U876" s="330"/>
      <c r="V876" s="330"/>
      <c r="W876" s="98" t="s">
        <v>53</v>
      </c>
    </row>
    <row r="877" spans="1:24" ht="18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</row>
    <row r="878" spans="1:24" ht="18.75" customHeight="1">
      <c r="A878" s="330" t="s">
        <v>85</v>
      </c>
      <c r="B878" s="330"/>
      <c r="C878" s="330"/>
      <c r="D878" s="330"/>
      <c r="E878" s="330"/>
      <c r="F878" s="330"/>
      <c r="G878" s="98"/>
      <c r="H878" s="98"/>
      <c r="I878" s="98"/>
      <c r="J878" s="98"/>
      <c r="K878" s="98"/>
      <c r="M878" s="330" t="s">
        <v>85</v>
      </c>
      <c r="N878" s="330"/>
      <c r="O878" s="330"/>
      <c r="P878" s="330"/>
      <c r="Q878" s="330"/>
      <c r="R878" s="330"/>
      <c r="S878" s="98"/>
      <c r="T878" s="98"/>
      <c r="U878" s="98"/>
      <c r="V878" s="98"/>
      <c r="W878" s="98"/>
    </row>
    <row r="879" spans="1:24" ht="18.75" customHeight="1">
      <c r="A879" s="330" t="s">
        <v>86</v>
      </c>
      <c r="B879" s="330"/>
      <c r="C879" s="330"/>
      <c r="D879" s="330"/>
      <c r="E879" s="330"/>
      <c r="F879" s="330"/>
      <c r="G879" s="98" t="s">
        <v>47</v>
      </c>
      <c r="H879" s="330">
        <f>IF(($L$1-(C863+C864+C865+C866))&gt;12,0,F860*8%)</f>
        <v>0</v>
      </c>
      <c r="I879" s="330"/>
      <c r="J879" s="330"/>
      <c r="K879" s="98" t="s">
        <v>53</v>
      </c>
      <c r="M879" s="330" t="s">
        <v>86</v>
      </c>
      <c r="N879" s="330"/>
      <c r="O879" s="330"/>
      <c r="P879" s="330"/>
      <c r="Q879" s="330"/>
      <c r="R879" s="330"/>
      <c r="S879" s="98" t="s">
        <v>47</v>
      </c>
      <c r="T879" s="330">
        <f>IF(($L$1-(O863+O864+O865+O866))&gt;12,0,R860*8%)</f>
        <v>0</v>
      </c>
      <c r="U879" s="330"/>
      <c r="V879" s="330"/>
      <c r="W879" s="98" t="s">
        <v>53</v>
      </c>
    </row>
    <row r="880" spans="1:24" ht="18.75" customHeight="1">
      <c r="A880" s="330" t="s">
        <v>87</v>
      </c>
      <c r="B880" s="330"/>
      <c r="C880" s="330"/>
      <c r="D880" s="330"/>
      <c r="E880" s="330"/>
      <c r="F880" s="330"/>
      <c r="G880" s="98" t="s">
        <v>47</v>
      </c>
      <c r="H880" s="330">
        <f>IF(($L$1-(C863+C864+C865+C866))&gt;12,0,F860*1.5%)</f>
        <v>0</v>
      </c>
      <c r="I880" s="330"/>
      <c r="J880" s="330"/>
      <c r="K880" s="98" t="s">
        <v>53</v>
      </c>
      <c r="M880" s="330" t="s">
        <v>87</v>
      </c>
      <c r="N880" s="330"/>
      <c r="O880" s="330"/>
      <c r="P880" s="330"/>
      <c r="Q880" s="330"/>
      <c r="R880" s="330"/>
      <c r="S880" s="98" t="s">
        <v>47</v>
      </c>
      <c r="T880" s="330">
        <f>IF(($L$1-(O863+O864+O865+O866))&gt;12,0,R860*1.5%)</f>
        <v>0</v>
      </c>
      <c r="U880" s="330"/>
      <c r="V880" s="330"/>
      <c r="W880" s="98" t="s">
        <v>53</v>
      </c>
    </row>
    <row r="881" spans="1:24" ht="18.75" customHeight="1">
      <c r="A881" s="330" t="s">
        <v>88</v>
      </c>
      <c r="B881" s="330"/>
      <c r="C881" s="330"/>
      <c r="D881" s="330"/>
      <c r="E881" s="330"/>
      <c r="F881" s="330"/>
      <c r="G881" s="98" t="s">
        <v>47</v>
      </c>
      <c r="H881" s="330">
        <f>IF(($L$1-(C863+C864+C865+C866))&gt;12,0,F860*1%)</f>
        <v>0</v>
      </c>
      <c r="I881" s="330"/>
      <c r="J881" s="330"/>
      <c r="K881" s="98" t="s">
        <v>53</v>
      </c>
      <c r="M881" s="330" t="s">
        <v>88</v>
      </c>
      <c r="N881" s="330"/>
      <c r="O881" s="330"/>
      <c r="P881" s="330"/>
      <c r="Q881" s="330"/>
      <c r="R881" s="330"/>
      <c r="S881" s="98" t="s">
        <v>47</v>
      </c>
      <c r="T881" s="330">
        <f>IF(($L$1-(O863+O864+O865+O866))&gt;12,0,R860*1%)</f>
        <v>0</v>
      </c>
      <c r="U881" s="330"/>
      <c r="V881" s="330"/>
      <c r="W881" s="98" t="s">
        <v>53</v>
      </c>
    </row>
    <row r="882" spans="1:24" ht="18.75" customHeight="1">
      <c r="A882" s="330" t="s">
        <v>89</v>
      </c>
      <c r="B882" s="330"/>
      <c r="C882" s="330"/>
      <c r="D882" s="330"/>
      <c r="E882" s="330"/>
      <c r="F882" s="330"/>
      <c r="G882" s="98" t="s">
        <v>47</v>
      </c>
      <c r="H882" s="330">
        <v>0</v>
      </c>
      <c r="I882" s="330"/>
      <c r="J882" s="330"/>
      <c r="K882" s="98" t="s">
        <v>53</v>
      </c>
      <c r="M882" s="330" t="s">
        <v>89</v>
      </c>
      <c r="N882" s="330"/>
      <c r="O882" s="330"/>
      <c r="P882" s="330"/>
      <c r="Q882" s="330"/>
      <c r="R882" s="330"/>
      <c r="S882" s="98" t="s">
        <v>47</v>
      </c>
      <c r="T882" s="330">
        <v>0</v>
      </c>
      <c r="U882" s="330"/>
      <c r="V882" s="330"/>
      <c r="W882" s="98" t="s">
        <v>53</v>
      </c>
    </row>
    <row r="883" spans="1:24" ht="18.75" customHeight="1">
      <c r="A883" s="330" t="s">
        <v>90</v>
      </c>
      <c r="B883" s="330"/>
      <c r="C883" s="330"/>
      <c r="D883" s="330"/>
      <c r="E883" s="330"/>
      <c r="F883" s="330"/>
      <c r="G883" s="98" t="s">
        <v>47</v>
      </c>
      <c r="H883" s="330">
        <f>SUM(H879:J882)</f>
        <v>0</v>
      </c>
      <c r="I883" s="330"/>
      <c r="J883" s="330"/>
      <c r="K883" s="98" t="s">
        <v>53</v>
      </c>
      <c r="M883" s="330" t="s">
        <v>90</v>
      </c>
      <c r="N883" s="330"/>
      <c r="O883" s="330"/>
      <c r="P883" s="330"/>
      <c r="Q883" s="330"/>
      <c r="R883" s="330"/>
      <c r="S883" s="98" t="s">
        <v>47</v>
      </c>
      <c r="T883" s="330">
        <f>SUM(T879:V882)</f>
        <v>0</v>
      </c>
      <c r="U883" s="330"/>
      <c r="V883" s="330"/>
      <c r="W883" s="98" t="s">
        <v>53</v>
      </c>
    </row>
    <row r="884" spans="1:24" ht="18.75" customHeight="1">
      <c r="A884" s="330" t="s">
        <v>91</v>
      </c>
      <c r="B884" s="330"/>
      <c r="C884" s="330"/>
      <c r="D884" s="330"/>
      <c r="E884" s="330"/>
      <c r="F884" s="330"/>
      <c r="G884" s="98" t="s">
        <v>47</v>
      </c>
      <c r="H884" s="330" t="e">
        <f>ROUND(H876-H883,-2)</f>
        <v>#DIV/0!</v>
      </c>
      <c r="I884" s="330"/>
      <c r="J884" s="330"/>
      <c r="K884" s="98" t="s">
        <v>53</v>
      </c>
      <c r="M884" s="330" t="s">
        <v>91</v>
      </c>
      <c r="N884" s="330"/>
      <c r="O884" s="330"/>
      <c r="P884" s="330"/>
      <c r="Q884" s="330"/>
      <c r="R884" s="330"/>
      <c r="S884" s="98" t="s">
        <v>47</v>
      </c>
      <c r="T884" s="330" t="e">
        <f>ROUND(T876-T883,-2)</f>
        <v>#DIV/0!</v>
      </c>
      <c r="U884" s="330"/>
      <c r="V884" s="330"/>
      <c r="W884" s="98" t="s">
        <v>53</v>
      </c>
    </row>
    <row r="885" spans="1:24" ht="18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</row>
    <row r="886" spans="1:24" ht="18.75" customHeight="1">
      <c r="A886" s="98"/>
      <c r="B886" s="98"/>
      <c r="C886" s="98"/>
      <c r="D886" s="98"/>
      <c r="E886" s="98"/>
      <c r="F886" s="98"/>
      <c r="G886" s="98"/>
      <c r="H886" s="98"/>
      <c r="I886" s="330" t="s">
        <v>92</v>
      </c>
      <c r="J886" s="330"/>
      <c r="K886" s="330"/>
      <c r="M886" s="98"/>
      <c r="N886" s="98"/>
      <c r="O886" s="98"/>
      <c r="P886" s="98"/>
      <c r="Q886" s="98"/>
      <c r="R886" s="98"/>
      <c r="S886" s="98"/>
      <c r="T886" s="98"/>
      <c r="U886" s="330" t="s">
        <v>92</v>
      </c>
      <c r="V886" s="330"/>
      <c r="W886" s="330"/>
    </row>
    <row r="887" spans="1:24" ht="18.75" customHeight="1">
      <c r="A887" s="98"/>
      <c r="B887" s="330"/>
      <c r="C887" s="330"/>
      <c r="D887" s="330"/>
      <c r="E887" s="330"/>
      <c r="F887" s="98"/>
      <c r="G887" s="98"/>
      <c r="H887" s="98"/>
      <c r="I887" s="98"/>
      <c r="J887" s="98"/>
      <c r="K887" s="98"/>
      <c r="M887" s="98"/>
      <c r="N887" s="330"/>
      <c r="O887" s="330"/>
      <c r="P887" s="330"/>
      <c r="Q887" s="330"/>
      <c r="R887" s="98"/>
      <c r="S887" s="98"/>
      <c r="T887" s="98"/>
      <c r="U887" s="98"/>
      <c r="V887" s="98"/>
      <c r="W887" s="98"/>
    </row>
    <row r="888" spans="1:24" ht="18.75" customHeight="1">
      <c r="A888" s="98"/>
      <c r="B888" s="98"/>
      <c r="C888" s="98"/>
      <c r="D888" s="98"/>
      <c r="E888" s="98"/>
      <c r="F888" s="98"/>
      <c r="G888" s="98"/>
      <c r="H888" s="98"/>
      <c r="I888" s="330" t="s">
        <v>93</v>
      </c>
      <c r="J888" s="330"/>
      <c r="K888" s="330"/>
      <c r="M888" s="98"/>
      <c r="N888" s="98"/>
      <c r="O888" s="98"/>
      <c r="P888" s="98"/>
      <c r="Q888" s="98"/>
      <c r="R888" s="98"/>
      <c r="S888" s="98"/>
      <c r="T888" s="98"/>
      <c r="U888" s="330" t="s">
        <v>93</v>
      </c>
      <c r="V888" s="330"/>
      <c r="W888" s="330"/>
    </row>
    <row r="890" spans="1:24" ht="18.75" customHeight="1">
      <c r="A890" s="330" t="s">
        <v>41</v>
      </c>
      <c r="B890" s="330"/>
      <c r="C890" s="330"/>
      <c r="D890" s="330"/>
      <c r="E890" s="330"/>
      <c r="F890" s="330"/>
      <c r="G890" s="330"/>
      <c r="H890" s="330"/>
      <c r="I890" s="330"/>
      <c r="J890" s="330"/>
      <c r="K890" s="330"/>
      <c r="L890" s="98">
        <v>24</v>
      </c>
      <c r="M890" s="330" t="s">
        <v>41</v>
      </c>
      <c r="N890" s="330"/>
      <c r="O890" s="330"/>
      <c r="P890" s="330"/>
      <c r="Q890" s="330"/>
      <c r="R890" s="330"/>
      <c r="S890" s="330"/>
      <c r="T890" s="330"/>
      <c r="U890" s="330"/>
      <c r="V890" s="330"/>
      <c r="W890" s="330"/>
      <c r="X890" s="98">
        <v>24</v>
      </c>
    </row>
    <row r="891" spans="1:24" ht="18.75" customHeight="1">
      <c r="A891" s="98" t="s">
        <v>156</v>
      </c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M891" s="98" t="s">
        <v>157</v>
      </c>
      <c r="N891" s="98"/>
      <c r="O891" s="98"/>
      <c r="P891" s="98"/>
      <c r="Q891" s="98"/>
      <c r="R891" s="98"/>
      <c r="S891" s="98"/>
      <c r="T891" s="98"/>
      <c r="U891" s="98"/>
      <c r="V891" s="98"/>
      <c r="W891" s="98"/>
    </row>
    <row r="892" spans="1:24" ht="18.75" customHeight="1">
      <c r="A892" s="330" t="s">
        <v>45</v>
      </c>
      <c r="B892" s="330"/>
      <c r="C892" s="330"/>
      <c r="D892" s="330"/>
      <c r="E892" s="330"/>
      <c r="F892" s="330"/>
      <c r="G892" s="330"/>
      <c r="H892" s="330"/>
      <c r="I892" s="330"/>
      <c r="J892" s="330"/>
      <c r="K892" s="330"/>
      <c r="M892" s="330" t="s">
        <v>45</v>
      </c>
      <c r="N892" s="330"/>
      <c r="O892" s="330"/>
      <c r="P892" s="330"/>
      <c r="Q892" s="330"/>
      <c r="R892" s="330"/>
      <c r="S892" s="330"/>
      <c r="T892" s="330"/>
      <c r="U892" s="330"/>
      <c r="V892" s="330"/>
      <c r="W892" s="330"/>
    </row>
    <row r="893" spans="1:24" ht="18.75" customHeight="1">
      <c r="A893" s="330" t="s">
        <v>46</v>
      </c>
      <c r="B893" s="330"/>
      <c r="C893" s="330"/>
      <c r="D893" s="330"/>
      <c r="E893" s="98" t="s">
        <v>47</v>
      </c>
      <c r="F893" s="330"/>
      <c r="G893" s="330"/>
      <c r="H893" s="330"/>
      <c r="I893" s="330"/>
      <c r="J893" s="330"/>
      <c r="K893" s="330"/>
      <c r="M893" s="330" t="s">
        <v>46</v>
      </c>
      <c r="N893" s="330"/>
      <c r="O893" s="330"/>
      <c r="P893" s="330"/>
      <c r="Q893" s="98" t="s">
        <v>47</v>
      </c>
      <c r="R893" s="330"/>
      <c r="S893" s="330"/>
      <c r="T893" s="330"/>
      <c r="U893" s="330"/>
      <c r="V893" s="330"/>
      <c r="W893" s="330"/>
    </row>
    <row r="894" spans="1:24" ht="18.75" customHeight="1">
      <c r="A894" s="330" t="s">
        <v>49</v>
      </c>
      <c r="B894" s="330"/>
      <c r="C894" s="330"/>
      <c r="D894" s="330"/>
      <c r="E894" s="98" t="s">
        <v>47</v>
      </c>
      <c r="F894" s="330"/>
      <c r="G894" s="330"/>
      <c r="H894" s="330"/>
      <c r="I894" s="330"/>
      <c r="J894" s="330"/>
      <c r="K894" s="330"/>
      <c r="M894" s="330" t="s">
        <v>49</v>
      </c>
      <c r="N894" s="330"/>
      <c r="O894" s="330"/>
      <c r="P894" s="330"/>
      <c r="Q894" s="98" t="s">
        <v>47</v>
      </c>
      <c r="R894" s="330"/>
      <c r="S894" s="330"/>
      <c r="T894" s="330"/>
      <c r="U894" s="330"/>
      <c r="V894" s="330"/>
      <c r="W894" s="330"/>
    </row>
    <row r="895" spans="1:24" ht="18.75" customHeight="1">
      <c r="A895" s="330" t="s">
        <v>50</v>
      </c>
      <c r="B895" s="330"/>
      <c r="C895" s="330"/>
      <c r="D895" s="330"/>
      <c r="E895" s="98" t="s">
        <v>47</v>
      </c>
      <c r="F895" s="330" t="s">
        <v>121</v>
      </c>
      <c r="G895" s="330"/>
      <c r="H895" s="330"/>
      <c r="I895" s="330"/>
      <c r="J895" s="330"/>
      <c r="K895" s="330"/>
      <c r="M895" s="330" t="s">
        <v>50</v>
      </c>
      <c r="N895" s="330"/>
      <c r="O895" s="330"/>
      <c r="P895" s="330"/>
      <c r="Q895" s="98" t="s">
        <v>47</v>
      </c>
      <c r="R895" s="330" t="s">
        <v>121</v>
      </c>
      <c r="S895" s="330"/>
      <c r="T895" s="330"/>
      <c r="U895" s="330"/>
      <c r="V895" s="330"/>
      <c r="W895" s="330"/>
    </row>
    <row r="896" spans="1:24" ht="18.75" customHeight="1">
      <c r="A896" s="330" t="s">
        <v>51</v>
      </c>
      <c r="B896" s="330"/>
      <c r="C896" s="330"/>
      <c r="D896" s="330"/>
      <c r="E896" s="330"/>
      <c r="F896" s="330"/>
      <c r="G896" s="330"/>
      <c r="H896" s="330"/>
      <c r="I896" s="330"/>
      <c r="J896" s="330"/>
      <c r="K896" s="330"/>
      <c r="M896" s="330" t="s">
        <v>51</v>
      </c>
      <c r="N896" s="330"/>
      <c r="O896" s="330"/>
      <c r="P896" s="330"/>
      <c r="Q896" s="330"/>
      <c r="R896" s="330"/>
      <c r="S896" s="330"/>
      <c r="T896" s="330"/>
      <c r="U896" s="330"/>
      <c r="V896" s="330"/>
      <c r="W896" s="330"/>
    </row>
    <row r="897" spans="1:24" ht="18.75" customHeight="1">
      <c r="A897" s="330" t="s">
        <v>52</v>
      </c>
      <c r="B897" s="330"/>
      <c r="C897" s="330"/>
      <c r="D897" s="330"/>
      <c r="E897" s="98" t="s">
        <v>47</v>
      </c>
      <c r="F897" s="330">
        <v>2915400</v>
      </c>
      <c r="G897" s="330"/>
      <c r="H897" s="330"/>
      <c r="I897" s="330"/>
      <c r="J897" s="98" t="s">
        <v>53</v>
      </c>
      <c r="K897" s="98"/>
      <c r="M897" s="330" t="s">
        <v>52</v>
      </c>
      <c r="N897" s="330"/>
      <c r="O897" s="330"/>
      <c r="P897" s="330"/>
      <c r="Q897" s="98" t="s">
        <v>47</v>
      </c>
      <c r="R897" s="330">
        <v>2915400</v>
      </c>
      <c r="S897" s="330"/>
      <c r="T897" s="330"/>
      <c r="U897" s="330"/>
      <c r="V897" s="98" t="s">
        <v>53</v>
      </c>
      <c r="W897" s="98"/>
    </row>
    <row r="898" spans="1:24" ht="18.75" customHeight="1">
      <c r="A898" s="98" t="s">
        <v>54</v>
      </c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M898" s="98" t="s">
        <v>54</v>
      </c>
      <c r="N898" s="98"/>
      <c r="O898" s="98"/>
      <c r="P898" s="98"/>
      <c r="Q898" s="98"/>
      <c r="R898" s="98"/>
      <c r="S898" s="98"/>
      <c r="T898" s="98"/>
      <c r="U898" s="98"/>
      <c r="V898" s="98"/>
      <c r="W898" s="98"/>
    </row>
    <row r="899" spans="1:24" ht="18.75" customHeight="1">
      <c r="A899" s="98" t="s">
        <v>55</v>
      </c>
      <c r="B899" s="98"/>
      <c r="C899" s="98"/>
      <c r="D899" s="98"/>
      <c r="E899" s="98"/>
      <c r="F899" s="98"/>
      <c r="G899" s="98"/>
      <c r="H899" s="98"/>
      <c r="I899" s="98" t="e">
        <f>I900/C900/8</f>
        <v>#DIV/0!</v>
      </c>
      <c r="J899" s="98"/>
      <c r="K899" s="98"/>
      <c r="M899" s="98" t="s">
        <v>55</v>
      </c>
      <c r="N899" s="98"/>
      <c r="O899" s="98"/>
      <c r="P899" s="98"/>
      <c r="Q899" s="98"/>
      <c r="R899" s="98"/>
      <c r="S899" s="98"/>
      <c r="T899" s="98"/>
      <c r="U899" s="98" t="e">
        <f>U900/O900/8</f>
        <v>#DIV/0!</v>
      </c>
      <c r="V899" s="98"/>
      <c r="W899" s="98"/>
    </row>
    <row r="900" spans="1:24" ht="18.75" customHeight="1">
      <c r="A900" s="98" t="s">
        <v>56</v>
      </c>
      <c r="B900" s="98" t="s">
        <v>47</v>
      </c>
      <c r="C900" s="98"/>
      <c r="D900" s="98" t="s">
        <v>57</v>
      </c>
      <c r="E900" s="330" t="s">
        <v>58</v>
      </c>
      <c r="F900" s="330"/>
      <c r="G900" s="330"/>
      <c r="H900" s="98" t="s">
        <v>47</v>
      </c>
      <c r="I900" s="330" t="e">
        <f>I898*680/((C900-C907)*8+C907*7+C904)*((C900-C907)*8+C907*7)</f>
        <v>#DIV/0!</v>
      </c>
      <c r="J900" s="330"/>
      <c r="K900" s="98" t="s">
        <v>53</v>
      </c>
      <c r="L900" s="98">
        <f>F897/L890*C900</f>
        <v>0</v>
      </c>
      <c r="M900" s="98" t="s">
        <v>56</v>
      </c>
      <c r="N900" s="98" t="s">
        <v>47</v>
      </c>
      <c r="O900" s="98"/>
      <c r="P900" s="98" t="s">
        <v>57</v>
      </c>
      <c r="Q900" s="330" t="s">
        <v>58</v>
      </c>
      <c r="R900" s="330"/>
      <c r="S900" s="330"/>
      <c r="T900" s="98" t="s">
        <v>47</v>
      </c>
      <c r="U900" s="330" t="e">
        <f>U898*680/((O900-O907)*8+O907*7+O904)*((O900-O907)*8+O907*7)</f>
        <v>#DIV/0!</v>
      </c>
      <c r="V900" s="330"/>
      <c r="W900" s="98" t="s">
        <v>53</v>
      </c>
      <c r="X900" s="98">
        <f>R897/X890*O900</f>
        <v>0</v>
      </c>
    </row>
    <row r="901" spans="1:24" ht="18.75" customHeight="1">
      <c r="A901" s="98" t="s">
        <v>59</v>
      </c>
      <c r="B901" s="98" t="s">
        <v>47</v>
      </c>
      <c r="C901" s="98"/>
      <c r="D901" s="98" t="s">
        <v>57</v>
      </c>
      <c r="E901" s="330" t="s">
        <v>60</v>
      </c>
      <c r="F901" s="330"/>
      <c r="G901" s="330"/>
      <c r="H901" s="98" t="s">
        <v>47</v>
      </c>
      <c r="I901" s="330">
        <f>$F$8/$L$1*C901</f>
        <v>0</v>
      </c>
      <c r="J901" s="330"/>
      <c r="K901" s="98" t="s">
        <v>53</v>
      </c>
      <c r="L901" s="98"/>
      <c r="M901" s="98" t="s">
        <v>59</v>
      </c>
      <c r="N901" s="98" t="s">
        <v>47</v>
      </c>
      <c r="O901" s="98"/>
      <c r="P901" s="98" t="s">
        <v>57</v>
      </c>
      <c r="Q901" s="330" t="s">
        <v>60</v>
      </c>
      <c r="R901" s="330"/>
      <c r="S901" s="330"/>
      <c r="T901" s="98" t="s">
        <v>47</v>
      </c>
      <c r="U901" s="330">
        <f>$F$8/$L$1*O901</f>
        <v>0</v>
      </c>
      <c r="V901" s="330"/>
      <c r="W901" s="98" t="s">
        <v>53</v>
      </c>
      <c r="X901" s="98"/>
    </row>
    <row r="902" spans="1:24" ht="18.75" customHeight="1">
      <c r="A902" s="98" t="s">
        <v>61</v>
      </c>
      <c r="B902" s="98" t="s">
        <v>47</v>
      </c>
      <c r="C902" s="98"/>
      <c r="D902" s="98" t="s">
        <v>57</v>
      </c>
      <c r="E902" s="330" t="s">
        <v>62</v>
      </c>
      <c r="F902" s="330"/>
      <c r="G902" s="330"/>
      <c r="H902" s="98" t="s">
        <v>47</v>
      </c>
      <c r="I902" s="330">
        <f>$F$8/$L$1*C902</f>
        <v>0</v>
      </c>
      <c r="J902" s="330"/>
      <c r="K902" s="98" t="s">
        <v>53</v>
      </c>
      <c r="L902" s="98"/>
      <c r="M902" s="98" t="s">
        <v>61</v>
      </c>
      <c r="N902" s="98" t="s">
        <v>47</v>
      </c>
      <c r="O902" s="98"/>
      <c r="P902" s="98" t="s">
        <v>57</v>
      </c>
      <c r="Q902" s="330" t="s">
        <v>62</v>
      </c>
      <c r="R902" s="330"/>
      <c r="S902" s="330"/>
      <c r="T902" s="98" t="s">
        <v>47</v>
      </c>
      <c r="U902" s="330">
        <f>$F$8/$L$1*O902</f>
        <v>0</v>
      </c>
      <c r="V902" s="330"/>
      <c r="W902" s="98" t="s">
        <v>53</v>
      </c>
      <c r="X902" s="98"/>
    </row>
    <row r="903" spans="1:24" ht="18.75" customHeight="1">
      <c r="A903" s="98" t="s">
        <v>63</v>
      </c>
      <c r="B903" s="98" t="s">
        <v>47</v>
      </c>
      <c r="C903" s="98"/>
      <c r="D903" s="98" t="s">
        <v>57</v>
      </c>
      <c r="E903" s="330" t="s">
        <v>64</v>
      </c>
      <c r="F903" s="330"/>
      <c r="G903" s="330"/>
      <c r="H903" s="98" t="s">
        <v>47</v>
      </c>
      <c r="I903" s="330">
        <f>$F$8/$L$1*C903</f>
        <v>0</v>
      </c>
      <c r="J903" s="330"/>
      <c r="K903" s="98" t="s">
        <v>53</v>
      </c>
      <c r="L903" s="98"/>
      <c r="M903" s="98" t="s">
        <v>63</v>
      </c>
      <c r="N903" s="98" t="s">
        <v>47</v>
      </c>
      <c r="O903" s="98"/>
      <c r="P903" s="98" t="s">
        <v>57</v>
      </c>
      <c r="Q903" s="330" t="s">
        <v>64</v>
      </c>
      <c r="R903" s="330"/>
      <c r="S903" s="330"/>
      <c r="T903" s="98" t="s">
        <v>47</v>
      </c>
      <c r="U903" s="330">
        <f>$F$8/$L$1*O903</f>
        <v>0</v>
      </c>
      <c r="V903" s="330"/>
      <c r="W903" s="98" t="s">
        <v>53</v>
      </c>
      <c r="X903" s="98"/>
    </row>
    <row r="904" spans="1:24" ht="18.75" customHeight="1">
      <c r="A904" s="98" t="s">
        <v>65</v>
      </c>
      <c r="B904" s="98" t="s">
        <v>47</v>
      </c>
      <c r="C904" s="98"/>
      <c r="D904" s="98" t="s">
        <v>66</v>
      </c>
      <c r="E904" s="330" t="s">
        <v>67</v>
      </c>
      <c r="F904" s="330"/>
      <c r="G904" s="330"/>
      <c r="H904" s="98" t="s">
        <v>47</v>
      </c>
      <c r="I904" s="330" t="e">
        <f>I900/C900/8*C904</f>
        <v>#DIV/0!</v>
      </c>
      <c r="J904" s="330"/>
      <c r="K904" s="98" t="s">
        <v>53</v>
      </c>
      <c r="L904" s="98">
        <f>F897*C904/L890/8*1.5</f>
        <v>0</v>
      </c>
      <c r="M904" s="98" t="s">
        <v>65</v>
      </c>
      <c r="N904" s="98" t="s">
        <v>47</v>
      </c>
      <c r="O904" s="98"/>
      <c r="P904" s="98" t="s">
        <v>66</v>
      </c>
      <c r="Q904" s="330" t="s">
        <v>67</v>
      </c>
      <c r="R904" s="330"/>
      <c r="S904" s="330"/>
      <c r="T904" s="98" t="s">
        <v>47</v>
      </c>
      <c r="U904" s="330" t="e">
        <f>U900/O900/8*O904</f>
        <v>#DIV/0!</v>
      </c>
      <c r="V904" s="330"/>
      <c r="W904" s="98" t="s">
        <v>53</v>
      </c>
      <c r="X904" s="98">
        <f>R897*O904/X890/8*1.5</f>
        <v>0</v>
      </c>
    </row>
    <row r="905" spans="1:24" ht="18.75" customHeight="1">
      <c r="A905" s="330" t="s">
        <v>68</v>
      </c>
      <c r="B905" s="330"/>
      <c r="C905" s="98"/>
      <c r="D905" s="98" t="s">
        <v>57</v>
      </c>
      <c r="E905" s="330" t="s">
        <v>69</v>
      </c>
      <c r="F905" s="330"/>
      <c r="G905" s="330"/>
      <c r="H905" s="98" t="s">
        <v>47</v>
      </c>
      <c r="I905" s="330"/>
      <c r="J905" s="330"/>
      <c r="K905" s="98" t="s">
        <v>53</v>
      </c>
      <c r="L905" s="98"/>
      <c r="M905" s="330" t="s">
        <v>68</v>
      </c>
      <c r="N905" s="330"/>
      <c r="O905" s="98"/>
      <c r="P905" s="98" t="s">
        <v>57</v>
      </c>
      <c r="Q905" s="330" t="s">
        <v>69</v>
      </c>
      <c r="R905" s="330"/>
      <c r="S905" s="330"/>
      <c r="T905" s="98" t="s">
        <v>47</v>
      </c>
      <c r="U905" s="330"/>
      <c r="V905" s="330"/>
      <c r="W905" s="98" t="s">
        <v>53</v>
      </c>
      <c r="X905" s="98"/>
    </row>
    <row r="906" spans="1:24" ht="18.75" customHeight="1">
      <c r="A906" s="98" t="s">
        <v>70</v>
      </c>
      <c r="B906" s="98" t="s">
        <v>47</v>
      </c>
      <c r="C906" s="98"/>
      <c r="D906" s="98" t="s">
        <v>57</v>
      </c>
      <c r="E906" s="330" t="s">
        <v>71</v>
      </c>
      <c r="F906" s="330"/>
      <c r="G906" s="330"/>
      <c r="H906" s="98" t="s">
        <v>47</v>
      </c>
      <c r="I906" s="330"/>
      <c r="J906" s="330"/>
      <c r="K906" s="98" t="s">
        <v>53</v>
      </c>
      <c r="L906" s="98"/>
      <c r="M906" s="98" t="s">
        <v>70</v>
      </c>
      <c r="N906" s="98" t="s">
        <v>47</v>
      </c>
      <c r="O906" s="98"/>
      <c r="P906" s="98" t="s">
        <v>57</v>
      </c>
      <c r="Q906" s="330" t="s">
        <v>71</v>
      </c>
      <c r="R906" s="330"/>
      <c r="S906" s="330"/>
      <c r="T906" s="98" t="s">
        <v>47</v>
      </c>
      <c r="U906" s="330"/>
      <c r="V906" s="330"/>
      <c r="W906" s="98" t="s">
        <v>53</v>
      </c>
      <c r="X906" s="98"/>
    </row>
    <row r="907" spans="1:24" ht="18.75" customHeight="1">
      <c r="A907" s="98" t="s">
        <v>72</v>
      </c>
      <c r="B907" s="98"/>
      <c r="C907" s="98"/>
      <c r="D907" s="98" t="s">
        <v>66</v>
      </c>
      <c r="E907" s="330" t="s">
        <v>73</v>
      </c>
      <c r="F907" s="330"/>
      <c r="G907" s="330"/>
      <c r="H907" s="98" t="s">
        <v>47</v>
      </c>
      <c r="I907" s="330">
        <f>$F$8*C907/8/$L$1</f>
        <v>0</v>
      </c>
      <c r="J907" s="330"/>
      <c r="K907" s="98" t="s">
        <v>53</v>
      </c>
      <c r="L907" s="98"/>
      <c r="M907" s="98" t="s">
        <v>72</v>
      </c>
      <c r="N907" s="98"/>
      <c r="O907" s="98"/>
      <c r="P907" s="98" t="s">
        <v>66</v>
      </c>
      <c r="Q907" s="330" t="s">
        <v>73</v>
      </c>
      <c r="R907" s="330"/>
      <c r="S907" s="330"/>
      <c r="T907" s="98" t="s">
        <v>47</v>
      </c>
      <c r="U907" s="330">
        <f>$F$8*O907/8/$L$1</f>
        <v>0</v>
      </c>
      <c r="V907" s="330"/>
      <c r="W907" s="98" t="s">
        <v>53</v>
      </c>
      <c r="X907" s="98"/>
    </row>
    <row r="908" spans="1:24" ht="18.75" customHeight="1">
      <c r="A908" s="98" t="s">
        <v>74</v>
      </c>
      <c r="B908" s="98" t="s">
        <v>47</v>
      </c>
      <c r="C908" s="98"/>
      <c r="D908" s="98" t="s">
        <v>66</v>
      </c>
      <c r="E908" s="330" t="s">
        <v>98</v>
      </c>
      <c r="F908" s="330"/>
      <c r="G908" s="330"/>
      <c r="H908" s="98" t="s">
        <v>47</v>
      </c>
      <c r="I908" s="330"/>
      <c r="J908" s="330"/>
      <c r="K908" s="98" t="s">
        <v>53</v>
      </c>
      <c r="L908" s="98"/>
      <c r="M908" s="98" t="s">
        <v>74</v>
      </c>
      <c r="N908" s="98" t="s">
        <v>47</v>
      </c>
      <c r="O908" s="98"/>
      <c r="P908" s="98" t="s">
        <v>66</v>
      </c>
      <c r="Q908" s="330" t="s">
        <v>98</v>
      </c>
      <c r="R908" s="330"/>
      <c r="S908" s="330"/>
      <c r="T908" s="98" t="s">
        <v>47</v>
      </c>
      <c r="U908" s="330"/>
      <c r="V908" s="330"/>
      <c r="W908" s="98" t="s">
        <v>53</v>
      </c>
      <c r="X908" s="98"/>
    </row>
    <row r="909" spans="1:24" ht="18.75" customHeight="1">
      <c r="A909" s="98" t="s">
        <v>76</v>
      </c>
      <c r="B909" s="98" t="s">
        <v>47</v>
      </c>
      <c r="C909" s="98"/>
      <c r="D909" s="98" t="s">
        <v>77</v>
      </c>
      <c r="E909" s="98" t="s">
        <v>78</v>
      </c>
      <c r="F909" s="98"/>
      <c r="G909" s="98"/>
      <c r="H909" s="98" t="s">
        <v>47</v>
      </c>
      <c r="I909" s="330"/>
      <c r="J909" s="330"/>
      <c r="K909" s="98" t="s">
        <v>53</v>
      </c>
      <c r="L909" s="98" t="e">
        <f>+IF(L900-I900&lt;0,0,L900-I900)+IF(L904-I904&lt;0,0,L904-I904)</f>
        <v>#DIV/0!</v>
      </c>
      <c r="M909" s="98" t="s">
        <v>76</v>
      </c>
      <c r="N909" s="98" t="s">
        <v>47</v>
      </c>
      <c r="O909" s="98"/>
      <c r="P909" s="98" t="s">
        <v>77</v>
      </c>
      <c r="Q909" s="98" t="s">
        <v>78</v>
      </c>
      <c r="R909" s="98"/>
      <c r="S909" s="98"/>
      <c r="T909" s="98" t="s">
        <v>47</v>
      </c>
      <c r="U909" s="330"/>
      <c r="V909" s="330"/>
      <c r="W909" s="98" t="s">
        <v>53</v>
      </c>
      <c r="X909" s="98" t="e">
        <f>+IF(X900-U900&lt;0,0,X900-U900)+IF(X904-U904&lt;0,0,X904-U904)</f>
        <v>#DIV/0!</v>
      </c>
    </row>
    <row r="910" spans="1:24" ht="18.75" customHeight="1">
      <c r="A910" s="98" t="s">
        <v>122</v>
      </c>
      <c r="B910" s="98"/>
      <c r="C910" s="98"/>
      <c r="D910" s="98" t="s">
        <v>57</v>
      </c>
      <c r="E910" s="330" t="s">
        <v>123</v>
      </c>
      <c r="F910" s="330"/>
      <c r="G910" s="330"/>
      <c r="H910" s="98" t="s">
        <v>47</v>
      </c>
      <c r="I910" s="330"/>
      <c r="J910" s="330"/>
      <c r="K910" s="98" t="s">
        <v>53</v>
      </c>
      <c r="L910" s="98"/>
      <c r="M910" s="98" t="s">
        <v>122</v>
      </c>
      <c r="N910" s="98"/>
      <c r="O910" s="98"/>
      <c r="P910" s="98" t="s">
        <v>57</v>
      </c>
      <c r="Q910" s="330" t="s">
        <v>123</v>
      </c>
      <c r="R910" s="330"/>
      <c r="S910" s="330"/>
      <c r="T910" s="98" t="s">
        <v>47</v>
      </c>
      <c r="U910" s="330"/>
      <c r="V910" s="330"/>
      <c r="W910" s="98" t="s">
        <v>53</v>
      </c>
      <c r="X910" s="98"/>
    </row>
    <row r="911" spans="1:24" ht="18.75" customHeight="1">
      <c r="A911" s="330" t="s">
        <v>81</v>
      </c>
      <c r="B911" s="330"/>
      <c r="C911" s="98"/>
      <c r="D911" s="98"/>
      <c r="E911" s="98"/>
      <c r="F911" s="98"/>
      <c r="G911" s="98"/>
      <c r="H911" s="98" t="s">
        <v>47</v>
      </c>
      <c r="I911" s="330"/>
      <c r="J911" s="330"/>
      <c r="K911" s="98" t="s">
        <v>53</v>
      </c>
      <c r="L911" s="98"/>
      <c r="M911" s="330" t="s">
        <v>81</v>
      </c>
      <c r="N911" s="330"/>
      <c r="O911" s="98"/>
      <c r="P911" s="98"/>
      <c r="Q911" s="98"/>
      <c r="R911" s="98"/>
      <c r="S911" s="98"/>
      <c r="T911" s="98" t="s">
        <v>47</v>
      </c>
      <c r="U911" s="330"/>
      <c r="V911" s="330"/>
      <c r="W911" s="98" t="s">
        <v>53</v>
      </c>
      <c r="X911" s="98"/>
    </row>
    <row r="912" spans="1:24" ht="18.75" customHeight="1">
      <c r="A912" s="98" t="s">
        <v>82</v>
      </c>
      <c r="B912" s="98" t="s">
        <v>47</v>
      </c>
      <c r="C912" s="98"/>
      <c r="D912" s="98"/>
      <c r="E912" s="98" t="s">
        <v>83</v>
      </c>
      <c r="F912" s="98"/>
      <c r="G912" s="98"/>
      <c r="H912" s="98" t="s">
        <v>47</v>
      </c>
      <c r="I912" s="330" t="e">
        <f>L909</f>
        <v>#DIV/0!</v>
      </c>
      <c r="J912" s="330"/>
      <c r="K912" s="98" t="s">
        <v>53</v>
      </c>
      <c r="L912" s="98"/>
      <c r="M912" s="98" t="s">
        <v>82</v>
      </c>
      <c r="N912" s="98" t="s">
        <v>47</v>
      </c>
      <c r="O912" s="98"/>
      <c r="P912" s="98"/>
      <c r="Q912" s="98" t="s">
        <v>83</v>
      </c>
      <c r="R912" s="98"/>
      <c r="S912" s="98"/>
      <c r="T912" s="98" t="s">
        <v>47</v>
      </c>
      <c r="U912" s="330" t="e">
        <f>X909</f>
        <v>#DIV/0!</v>
      </c>
      <c r="V912" s="330"/>
      <c r="W912" s="98" t="s">
        <v>53</v>
      </c>
      <c r="X912" s="98"/>
    </row>
    <row r="913" spans="1:24" ht="18.75" customHeight="1">
      <c r="A913" s="330" t="s">
        <v>84</v>
      </c>
      <c r="B913" s="330"/>
      <c r="C913" s="330"/>
      <c r="D913" s="330"/>
      <c r="E913" s="330"/>
      <c r="F913" s="330"/>
      <c r="G913" s="98" t="s">
        <v>47</v>
      </c>
      <c r="H913" s="330" t="e">
        <f>I900+I901+I902+I903+I904+I907+I911+I912</f>
        <v>#DIV/0!</v>
      </c>
      <c r="I913" s="330"/>
      <c r="J913" s="330"/>
      <c r="K913" s="98" t="s">
        <v>53</v>
      </c>
      <c r="M913" s="330" t="s">
        <v>84</v>
      </c>
      <c r="N913" s="330"/>
      <c r="O913" s="330"/>
      <c r="P913" s="330"/>
      <c r="Q913" s="330"/>
      <c r="R913" s="330"/>
      <c r="S913" s="98" t="s">
        <v>47</v>
      </c>
      <c r="T913" s="330" t="e">
        <f>U900+U901+U902+U903+U904+U907+U911+U912</f>
        <v>#DIV/0!</v>
      </c>
      <c r="U913" s="330"/>
      <c r="V913" s="330"/>
      <c r="W913" s="98" t="s">
        <v>53</v>
      </c>
    </row>
    <row r="914" spans="1:24" ht="18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</row>
    <row r="915" spans="1:24" ht="18.75" customHeight="1">
      <c r="A915" s="330" t="s">
        <v>85</v>
      </c>
      <c r="B915" s="330"/>
      <c r="C915" s="330"/>
      <c r="D915" s="330"/>
      <c r="E915" s="330"/>
      <c r="F915" s="330"/>
      <c r="G915" s="98"/>
      <c r="H915" s="98"/>
      <c r="I915" s="98"/>
      <c r="J915" s="98"/>
      <c r="K915" s="98"/>
      <c r="M915" s="330" t="s">
        <v>85</v>
      </c>
      <c r="N915" s="330"/>
      <c r="O915" s="330"/>
      <c r="P915" s="330"/>
      <c r="Q915" s="330"/>
      <c r="R915" s="330"/>
      <c r="S915" s="98"/>
      <c r="T915" s="98"/>
      <c r="U915" s="98"/>
      <c r="V915" s="98"/>
      <c r="W915" s="98"/>
    </row>
    <row r="916" spans="1:24" ht="18.75" customHeight="1">
      <c r="A916" s="330" t="s">
        <v>86</v>
      </c>
      <c r="B916" s="330"/>
      <c r="C916" s="330"/>
      <c r="D916" s="330"/>
      <c r="E916" s="330"/>
      <c r="F916" s="330"/>
      <c r="G916" s="98" t="s">
        <v>47</v>
      </c>
      <c r="H916" s="330">
        <f>IF(($L$1-(C900+C901+C902+C903))&gt;12,0,F897*8%)</f>
        <v>0</v>
      </c>
      <c r="I916" s="330"/>
      <c r="J916" s="330"/>
      <c r="K916" s="98" t="s">
        <v>53</v>
      </c>
      <c r="M916" s="330" t="s">
        <v>86</v>
      </c>
      <c r="N916" s="330"/>
      <c r="O916" s="330"/>
      <c r="P916" s="330"/>
      <c r="Q916" s="330"/>
      <c r="R916" s="330"/>
      <c r="S916" s="98" t="s">
        <v>47</v>
      </c>
      <c r="T916" s="330">
        <f>IF(($L$1-(O900+O901+O902+O903))&gt;12,0,R897*8%)</f>
        <v>0</v>
      </c>
      <c r="U916" s="330"/>
      <c r="V916" s="330"/>
      <c r="W916" s="98" t="s">
        <v>53</v>
      </c>
    </row>
    <row r="917" spans="1:24" ht="18.75" customHeight="1">
      <c r="A917" s="330" t="s">
        <v>87</v>
      </c>
      <c r="B917" s="330"/>
      <c r="C917" s="330"/>
      <c r="D917" s="330"/>
      <c r="E917" s="330"/>
      <c r="F917" s="330"/>
      <c r="G917" s="98" t="s">
        <v>47</v>
      </c>
      <c r="H917" s="330">
        <f>IF(($L$1-(C900+C901+C902+C903))&gt;12,0,F897*1.5%)</f>
        <v>0</v>
      </c>
      <c r="I917" s="330"/>
      <c r="J917" s="330"/>
      <c r="K917" s="98" t="s">
        <v>53</v>
      </c>
      <c r="M917" s="330" t="s">
        <v>87</v>
      </c>
      <c r="N917" s="330"/>
      <c r="O917" s="330"/>
      <c r="P917" s="330"/>
      <c r="Q917" s="330"/>
      <c r="R917" s="330"/>
      <c r="S917" s="98" t="s">
        <v>47</v>
      </c>
      <c r="T917" s="330">
        <f>IF(($L$1-(O900+O901+O902+O903))&gt;12,0,R897*1.5%)</f>
        <v>0</v>
      </c>
      <c r="U917" s="330"/>
      <c r="V917" s="330"/>
      <c r="W917" s="98" t="s">
        <v>53</v>
      </c>
    </row>
    <row r="918" spans="1:24" ht="18.75" customHeight="1">
      <c r="A918" s="330" t="s">
        <v>88</v>
      </c>
      <c r="B918" s="330"/>
      <c r="C918" s="330"/>
      <c r="D918" s="330"/>
      <c r="E918" s="330"/>
      <c r="F918" s="330"/>
      <c r="G918" s="98" t="s">
        <v>47</v>
      </c>
      <c r="H918" s="330">
        <f>IF(($L$1-(C900+C901+C902+C903))&gt;12,0,F897*1%)</f>
        <v>0</v>
      </c>
      <c r="I918" s="330"/>
      <c r="J918" s="330"/>
      <c r="K918" s="98" t="s">
        <v>53</v>
      </c>
      <c r="M918" s="330" t="s">
        <v>88</v>
      </c>
      <c r="N918" s="330"/>
      <c r="O918" s="330"/>
      <c r="P918" s="330"/>
      <c r="Q918" s="330"/>
      <c r="R918" s="330"/>
      <c r="S918" s="98" t="s">
        <v>47</v>
      </c>
      <c r="T918" s="330">
        <f>IF(($L$1-(O900+O901+O902+O903))&gt;12,0,R897*1%)</f>
        <v>0</v>
      </c>
      <c r="U918" s="330"/>
      <c r="V918" s="330"/>
      <c r="W918" s="98" t="s">
        <v>53</v>
      </c>
    </row>
    <row r="919" spans="1:24" ht="18.75" customHeight="1">
      <c r="A919" s="330" t="s">
        <v>89</v>
      </c>
      <c r="B919" s="330"/>
      <c r="C919" s="330"/>
      <c r="D919" s="330"/>
      <c r="E919" s="330"/>
      <c r="F919" s="330"/>
      <c r="G919" s="98" t="s">
        <v>47</v>
      </c>
      <c r="H919" s="330">
        <v>0</v>
      </c>
      <c r="I919" s="330"/>
      <c r="J919" s="330"/>
      <c r="K919" s="98" t="s">
        <v>53</v>
      </c>
      <c r="M919" s="330" t="s">
        <v>89</v>
      </c>
      <c r="N919" s="330"/>
      <c r="O919" s="330"/>
      <c r="P919" s="330"/>
      <c r="Q919" s="330"/>
      <c r="R919" s="330"/>
      <c r="S919" s="98" t="s">
        <v>47</v>
      </c>
      <c r="T919" s="330">
        <v>0</v>
      </c>
      <c r="U919" s="330"/>
      <c r="V919" s="330"/>
      <c r="W919" s="98" t="s">
        <v>53</v>
      </c>
    </row>
    <row r="920" spans="1:24" ht="18.75" customHeight="1">
      <c r="A920" s="330" t="s">
        <v>90</v>
      </c>
      <c r="B920" s="330"/>
      <c r="C920" s="330"/>
      <c r="D920" s="330"/>
      <c r="E920" s="330"/>
      <c r="F920" s="330"/>
      <c r="G920" s="98" t="s">
        <v>47</v>
      </c>
      <c r="H920" s="330">
        <f>SUM(H916:J919)</f>
        <v>0</v>
      </c>
      <c r="I920" s="330"/>
      <c r="J920" s="330"/>
      <c r="K920" s="98" t="s">
        <v>53</v>
      </c>
      <c r="M920" s="330" t="s">
        <v>90</v>
      </c>
      <c r="N920" s="330"/>
      <c r="O920" s="330"/>
      <c r="P920" s="330"/>
      <c r="Q920" s="330"/>
      <c r="R920" s="330"/>
      <c r="S920" s="98" t="s">
        <v>47</v>
      </c>
      <c r="T920" s="330">
        <f>SUM(T916:V919)</f>
        <v>0</v>
      </c>
      <c r="U920" s="330"/>
      <c r="V920" s="330"/>
      <c r="W920" s="98" t="s">
        <v>53</v>
      </c>
    </row>
    <row r="921" spans="1:24" ht="18.75" customHeight="1">
      <c r="A921" s="330" t="s">
        <v>91</v>
      </c>
      <c r="B921" s="330"/>
      <c r="C921" s="330"/>
      <c r="D921" s="330"/>
      <c r="E921" s="330"/>
      <c r="F921" s="330"/>
      <c r="G921" s="98" t="s">
        <v>47</v>
      </c>
      <c r="H921" s="330" t="e">
        <f>ROUND(H913-H920,-2)</f>
        <v>#DIV/0!</v>
      </c>
      <c r="I921" s="330"/>
      <c r="J921" s="330"/>
      <c r="K921" s="98" t="s">
        <v>53</v>
      </c>
      <c r="M921" s="330" t="s">
        <v>91</v>
      </c>
      <c r="N921" s="330"/>
      <c r="O921" s="330"/>
      <c r="P921" s="330"/>
      <c r="Q921" s="330"/>
      <c r="R921" s="330"/>
      <c r="S921" s="98" t="s">
        <v>47</v>
      </c>
      <c r="T921" s="330" t="e">
        <f>ROUND(T913-T920,-2)</f>
        <v>#DIV/0!</v>
      </c>
      <c r="U921" s="330"/>
      <c r="V921" s="330"/>
      <c r="W921" s="98" t="s">
        <v>53</v>
      </c>
    </row>
    <row r="922" spans="1:24" ht="18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</row>
    <row r="923" spans="1:24" ht="18.75" customHeight="1">
      <c r="A923" s="98"/>
      <c r="B923" s="98"/>
      <c r="C923" s="98"/>
      <c r="D923" s="98"/>
      <c r="E923" s="98"/>
      <c r="F923" s="98"/>
      <c r="G923" s="98"/>
      <c r="H923" s="98"/>
      <c r="I923" s="330" t="s">
        <v>92</v>
      </c>
      <c r="J923" s="330"/>
      <c r="K923" s="330"/>
      <c r="M923" s="98"/>
      <c r="N923" s="98"/>
      <c r="O923" s="98"/>
      <c r="P923" s="98"/>
      <c r="Q923" s="98"/>
      <c r="R923" s="98"/>
      <c r="S923" s="98"/>
      <c r="T923" s="98"/>
      <c r="U923" s="330" t="s">
        <v>92</v>
      </c>
      <c r="V923" s="330"/>
      <c r="W923" s="330"/>
    </row>
    <row r="924" spans="1:24" ht="18.75" customHeight="1">
      <c r="A924" s="98"/>
      <c r="B924" s="330"/>
      <c r="C924" s="330"/>
      <c r="D924" s="330"/>
      <c r="E924" s="330"/>
      <c r="F924" s="98"/>
      <c r="G924" s="98"/>
      <c r="H924" s="98"/>
      <c r="I924" s="98"/>
      <c r="J924" s="98"/>
      <c r="K924" s="98"/>
      <c r="M924" s="98"/>
      <c r="N924" s="330"/>
      <c r="O924" s="330"/>
      <c r="P924" s="330"/>
      <c r="Q924" s="330"/>
      <c r="R924" s="98"/>
      <c r="S924" s="98"/>
      <c r="T924" s="98"/>
      <c r="U924" s="98"/>
      <c r="V924" s="98"/>
      <c r="W924" s="98"/>
    </row>
    <row r="925" spans="1:24" ht="18.75" customHeight="1">
      <c r="A925" s="98"/>
      <c r="B925" s="98"/>
      <c r="C925" s="98"/>
      <c r="D925" s="98"/>
      <c r="E925" s="98"/>
      <c r="F925" s="98"/>
      <c r="G925" s="98"/>
      <c r="H925" s="98"/>
      <c r="I925" s="330" t="s">
        <v>93</v>
      </c>
      <c r="J925" s="330"/>
      <c r="K925" s="330"/>
      <c r="M925" s="98"/>
      <c r="N925" s="98"/>
      <c r="O925" s="98"/>
      <c r="P925" s="98"/>
      <c r="Q925" s="98"/>
      <c r="R925" s="98"/>
      <c r="S925" s="98"/>
      <c r="T925" s="98"/>
      <c r="U925" s="330" t="s">
        <v>93</v>
      </c>
      <c r="V925" s="330"/>
      <c r="W925" s="330"/>
    </row>
    <row r="927" spans="1:24" ht="18.75" customHeight="1">
      <c r="A927" s="330" t="s">
        <v>41</v>
      </c>
      <c r="B927" s="330"/>
      <c r="C927" s="330"/>
      <c r="D927" s="330"/>
      <c r="E927" s="330"/>
      <c r="F927" s="330"/>
      <c r="G927" s="330"/>
      <c r="H927" s="330"/>
      <c r="I927" s="330"/>
      <c r="J927" s="330"/>
      <c r="K927" s="330"/>
      <c r="L927" s="98">
        <v>24</v>
      </c>
      <c r="M927" s="330" t="s">
        <v>41</v>
      </c>
      <c r="N927" s="330"/>
      <c r="O927" s="330"/>
      <c r="P927" s="330"/>
      <c r="Q927" s="330"/>
      <c r="R927" s="330"/>
      <c r="S927" s="330"/>
      <c r="T927" s="330"/>
      <c r="U927" s="330"/>
      <c r="V927" s="330"/>
      <c r="W927" s="330"/>
      <c r="X927" s="98">
        <v>24</v>
      </c>
    </row>
    <row r="928" spans="1:24" ht="18.75" customHeight="1">
      <c r="A928" s="98" t="s">
        <v>158</v>
      </c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M928" s="98" t="s">
        <v>159</v>
      </c>
      <c r="N928" s="98"/>
      <c r="O928" s="98"/>
      <c r="P928" s="98"/>
      <c r="Q928" s="98"/>
      <c r="R928" s="98"/>
      <c r="S928" s="98"/>
      <c r="T928" s="98"/>
      <c r="U928" s="98"/>
      <c r="V928" s="98"/>
      <c r="W928" s="98"/>
    </row>
    <row r="929" spans="1:24" ht="18.75" customHeight="1">
      <c r="A929" s="330" t="s">
        <v>45</v>
      </c>
      <c r="B929" s="330"/>
      <c r="C929" s="330"/>
      <c r="D929" s="330"/>
      <c r="E929" s="330"/>
      <c r="F929" s="330"/>
      <c r="G929" s="330"/>
      <c r="H929" s="330"/>
      <c r="I929" s="330"/>
      <c r="J929" s="330"/>
      <c r="K929" s="330"/>
      <c r="M929" s="330" t="s">
        <v>45</v>
      </c>
      <c r="N929" s="330"/>
      <c r="O929" s="330"/>
      <c r="P929" s="330"/>
      <c r="Q929" s="330"/>
      <c r="R929" s="330"/>
      <c r="S929" s="330"/>
      <c r="T929" s="330"/>
      <c r="U929" s="330"/>
      <c r="V929" s="330"/>
      <c r="W929" s="330"/>
    </row>
    <row r="930" spans="1:24" ht="18.75" customHeight="1">
      <c r="A930" s="330" t="s">
        <v>46</v>
      </c>
      <c r="B930" s="330"/>
      <c r="C930" s="330"/>
      <c r="D930" s="330"/>
      <c r="E930" s="98" t="s">
        <v>47</v>
      </c>
      <c r="F930" s="330"/>
      <c r="G930" s="330"/>
      <c r="H930" s="330"/>
      <c r="I930" s="330"/>
      <c r="J930" s="330"/>
      <c r="K930" s="330"/>
      <c r="M930" s="330" t="s">
        <v>46</v>
      </c>
      <c r="N930" s="330"/>
      <c r="O930" s="330"/>
      <c r="P930" s="330"/>
      <c r="Q930" s="98" t="s">
        <v>47</v>
      </c>
      <c r="R930" s="330"/>
      <c r="S930" s="330"/>
      <c r="T930" s="330"/>
      <c r="U930" s="330"/>
      <c r="V930" s="330"/>
      <c r="W930" s="330"/>
    </row>
    <row r="931" spans="1:24" ht="18.75" customHeight="1">
      <c r="A931" s="330" t="s">
        <v>49</v>
      </c>
      <c r="B931" s="330"/>
      <c r="C931" s="330"/>
      <c r="D931" s="330"/>
      <c r="E931" s="98" t="s">
        <v>47</v>
      </c>
      <c r="F931" s="330"/>
      <c r="G931" s="330"/>
      <c r="H931" s="330"/>
      <c r="I931" s="330"/>
      <c r="J931" s="330"/>
      <c r="K931" s="330"/>
      <c r="M931" s="330" t="s">
        <v>49</v>
      </c>
      <c r="N931" s="330"/>
      <c r="O931" s="330"/>
      <c r="P931" s="330"/>
      <c r="Q931" s="98" t="s">
        <v>47</v>
      </c>
      <c r="R931" s="330"/>
      <c r="S931" s="330"/>
      <c r="T931" s="330"/>
      <c r="U931" s="330"/>
      <c r="V931" s="330"/>
      <c r="W931" s="330"/>
    </row>
    <row r="932" spans="1:24" ht="18.75" customHeight="1">
      <c r="A932" s="330" t="s">
        <v>50</v>
      </c>
      <c r="B932" s="330"/>
      <c r="C932" s="330"/>
      <c r="D932" s="330"/>
      <c r="E932" s="98" t="s">
        <v>47</v>
      </c>
      <c r="F932" s="330" t="s">
        <v>121</v>
      </c>
      <c r="G932" s="330"/>
      <c r="H932" s="330"/>
      <c r="I932" s="330"/>
      <c r="J932" s="330"/>
      <c r="K932" s="330"/>
      <c r="M932" s="330" t="s">
        <v>50</v>
      </c>
      <c r="N932" s="330"/>
      <c r="O932" s="330"/>
      <c r="P932" s="330"/>
      <c r="Q932" s="98" t="s">
        <v>47</v>
      </c>
      <c r="R932" s="330" t="s">
        <v>121</v>
      </c>
      <c r="S932" s="330"/>
      <c r="T932" s="330"/>
      <c r="U932" s="330"/>
      <c r="V932" s="330"/>
      <c r="W932" s="330"/>
    </row>
    <row r="933" spans="1:24" ht="18.75" customHeight="1">
      <c r="A933" s="330" t="s">
        <v>51</v>
      </c>
      <c r="B933" s="330"/>
      <c r="C933" s="330"/>
      <c r="D933" s="330"/>
      <c r="E933" s="330"/>
      <c r="F933" s="330"/>
      <c r="G933" s="330"/>
      <c r="H933" s="330"/>
      <c r="I933" s="330"/>
      <c r="J933" s="330"/>
      <c r="K933" s="330"/>
      <c r="M933" s="330" t="s">
        <v>51</v>
      </c>
      <c r="N933" s="330"/>
      <c r="O933" s="330"/>
      <c r="P933" s="330"/>
      <c r="Q933" s="330"/>
      <c r="R933" s="330"/>
      <c r="S933" s="330"/>
      <c r="T933" s="330"/>
      <c r="U933" s="330"/>
      <c r="V933" s="330"/>
      <c r="W933" s="330"/>
    </row>
    <row r="934" spans="1:24" ht="18.75" customHeight="1">
      <c r="A934" s="330" t="s">
        <v>52</v>
      </c>
      <c r="B934" s="330"/>
      <c r="C934" s="330"/>
      <c r="D934" s="330"/>
      <c r="E934" s="98" t="s">
        <v>47</v>
      </c>
      <c r="F934" s="330">
        <v>2915400</v>
      </c>
      <c r="G934" s="330"/>
      <c r="H934" s="330"/>
      <c r="I934" s="330"/>
      <c r="J934" s="98" t="s">
        <v>53</v>
      </c>
      <c r="K934" s="98"/>
      <c r="M934" s="330" t="s">
        <v>52</v>
      </c>
      <c r="N934" s="330"/>
      <c r="O934" s="330"/>
      <c r="P934" s="330"/>
      <c r="Q934" s="98" t="s">
        <v>47</v>
      </c>
      <c r="R934" s="330">
        <v>2915400</v>
      </c>
      <c r="S934" s="330"/>
      <c r="T934" s="330"/>
      <c r="U934" s="330"/>
      <c r="V934" s="98" t="s">
        <v>53</v>
      </c>
      <c r="W934" s="98"/>
    </row>
    <row r="935" spans="1:24" ht="18.75" customHeight="1">
      <c r="A935" s="98" t="s">
        <v>54</v>
      </c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M935" s="98" t="s">
        <v>54</v>
      </c>
      <c r="N935" s="98"/>
      <c r="O935" s="98"/>
      <c r="P935" s="98"/>
      <c r="Q935" s="98"/>
      <c r="R935" s="98"/>
      <c r="S935" s="98"/>
      <c r="T935" s="98"/>
      <c r="U935" s="98"/>
      <c r="V935" s="98"/>
      <c r="W935" s="98"/>
    </row>
    <row r="936" spans="1:24" ht="18.75" customHeight="1">
      <c r="A936" s="98" t="s">
        <v>55</v>
      </c>
      <c r="B936" s="98"/>
      <c r="C936" s="98"/>
      <c r="D936" s="98"/>
      <c r="E936" s="98"/>
      <c r="F936" s="98"/>
      <c r="G936" s="98"/>
      <c r="H936" s="98"/>
      <c r="I936" s="98" t="e">
        <f>I937/C937/8</f>
        <v>#DIV/0!</v>
      </c>
      <c r="J936" s="98"/>
      <c r="K936" s="98"/>
      <c r="M936" s="98" t="s">
        <v>55</v>
      </c>
      <c r="N936" s="98"/>
      <c r="O936" s="98"/>
      <c r="P936" s="98"/>
      <c r="Q936" s="98"/>
      <c r="R936" s="98"/>
      <c r="S936" s="98"/>
      <c r="T936" s="98"/>
      <c r="U936" s="98" t="e">
        <f>U937/O937/8</f>
        <v>#DIV/0!</v>
      </c>
      <c r="V936" s="98"/>
      <c r="W936" s="98"/>
    </row>
    <row r="937" spans="1:24" ht="18.75" customHeight="1">
      <c r="A937" s="98" t="s">
        <v>56</v>
      </c>
      <c r="B937" s="98" t="s">
        <v>47</v>
      </c>
      <c r="C937" s="98"/>
      <c r="D937" s="98" t="s">
        <v>57</v>
      </c>
      <c r="E937" s="330" t="s">
        <v>58</v>
      </c>
      <c r="F937" s="330"/>
      <c r="G937" s="330"/>
      <c r="H937" s="98" t="s">
        <v>47</v>
      </c>
      <c r="I937" s="330" t="e">
        <f>I935*680/((C937-C944)*8+C944*7+C941)*((C937-C944)*8+C944*7)</f>
        <v>#DIV/0!</v>
      </c>
      <c r="J937" s="330"/>
      <c r="K937" s="98" t="s">
        <v>53</v>
      </c>
      <c r="L937" s="98">
        <f>F934/L927*C937</f>
        <v>0</v>
      </c>
      <c r="M937" s="98" t="s">
        <v>56</v>
      </c>
      <c r="N937" s="98" t="s">
        <v>47</v>
      </c>
      <c r="O937" s="98"/>
      <c r="P937" s="98" t="s">
        <v>57</v>
      </c>
      <c r="Q937" s="330" t="s">
        <v>58</v>
      </c>
      <c r="R937" s="330"/>
      <c r="S937" s="330"/>
      <c r="T937" s="98" t="s">
        <v>47</v>
      </c>
      <c r="U937" s="330" t="e">
        <f>U935*680/((O937-O944)*8+O944*7+O941)*((O937-O944)*8+O944*7)</f>
        <v>#DIV/0!</v>
      </c>
      <c r="V937" s="330"/>
      <c r="W937" s="98" t="s">
        <v>53</v>
      </c>
      <c r="X937" s="98">
        <f>R934/X927*O937</f>
        <v>0</v>
      </c>
    </row>
    <row r="938" spans="1:24" ht="18.75" customHeight="1">
      <c r="A938" s="98" t="s">
        <v>59</v>
      </c>
      <c r="B938" s="98" t="s">
        <v>47</v>
      </c>
      <c r="C938" s="98"/>
      <c r="D938" s="98" t="s">
        <v>57</v>
      </c>
      <c r="E938" s="330" t="s">
        <v>60</v>
      </c>
      <c r="F938" s="330"/>
      <c r="G938" s="330"/>
      <c r="H938" s="98" t="s">
        <v>47</v>
      </c>
      <c r="I938" s="330">
        <f>$F$8/$L$1*C938</f>
        <v>0</v>
      </c>
      <c r="J938" s="330"/>
      <c r="K938" s="98" t="s">
        <v>53</v>
      </c>
      <c r="L938" s="98"/>
      <c r="M938" s="98" t="s">
        <v>59</v>
      </c>
      <c r="N938" s="98" t="s">
        <v>47</v>
      </c>
      <c r="O938" s="98"/>
      <c r="P938" s="98" t="s">
        <v>57</v>
      </c>
      <c r="Q938" s="330" t="s">
        <v>60</v>
      </c>
      <c r="R938" s="330"/>
      <c r="S938" s="330"/>
      <c r="T938" s="98" t="s">
        <v>47</v>
      </c>
      <c r="U938" s="330">
        <f>$F$8/$L$1*O938</f>
        <v>0</v>
      </c>
      <c r="V938" s="330"/>
      <c r="W938" s="98" t="s">
        <v>53</v>
      </c>
      <c r="X938" s="98"/>
    </row>
    <row r="939" spans="1:24" ht="18.75" customHeight="1">
      <c r="A939" s="98" t="s">
        <v>61</v>
      </c>
      <c r="B939" s="98" t="s">
        <v>47</v>
      </c>
      <c r="C939" s="98"/>
      <c r="D939" s="98" t="s">
        <v>57</v>
      </c>
      <c r="E939" s="330" t="s">
        <v>62</v>
      </c>
      <c r="F939" s="330"/>
      <c r="G939" s="330"/>
      <c r="H939" s="98" t="s">
        <v>47</v>
      </c>
      <c r="I939" s="330">
        <f>$F$8/$L$1*C939</f>
        <v>0</v>
      </c>
      <c r="J939" s="330"/>
      <c r="K939" s="98" t="s">
        <v>53</v>
      </c>
      <c r="L939" s="98"/>
      <c r="M939" s="98" t="s">
        <v>61</v>
      </c>
      <c r="N939" s="98" t="s">
        <v>47</v>
      </c>
      <c r="O939" s="98"/>
      <c r="P939" s="98" t="s">
        <v>57</v>
      </c>
      <c r="Q939" s="330" t="s">
        <v>62</v>
      </c>
      <c r="R939" s="330"/>
      <c r="S939" s="330"/>
      <c r="T939" s="98" t="s">
        <v>47</v>
      </c>
      <c r="U939" s="330">
        <f>$F$8/$L$1*O939</f>
        <v>0</v>
      </c>
      <c r="V939" s="330"/>
      <c r="W939" s="98" t="s">
        <v>53</v>
      </c>
      <c r="X939" s="98"/>
    </row>
    <row r="940" spans="1:24" ht="18.75" customHeight="1">
      <c r="A940" s="98" t="s">
        <v>63</v>
      </c>
      <c r="B940" s="98" t="s">
        <v>47</v>
      </c>
      <c r="C940" s="98"/>
      <c r="D940" s="98" t="s">
        <v>57</v>
      </c>
      <c r="E940" s="330" t="s">
        <v>64</v>
      </c>
      <c r="F940" s="330"/>
      <c r="G940" s="330"/>
      <c r="H940" s="98" t="s">
        <v>47</v>
      </c>
      <c r="I940" s="330">
        <f>$F$8/$L$1*C940</f>
        <v>0</v>
      </c>
      <c r="J940" s="330"/>
      <c r="K940" s="98" t="s">
        <v>53</v>
      </c>
      <c r="L940" s="98"/>
      <c r="M940" s="98" t="s">
        <v>63</v>
      </c>
      <c r="N940" s="98" t="s">
        <v>47</v>
      </c>
      <c r="O940" s="98"/>
      <c r="P940" s="98" t="s">
        <v>57</v>
      </c>
      <c r="Q940" s="330" t="s">
        <v>64</v>
      </c>
      <c r="R940" s="330"/>
      <c r="S940" s="330"/>
      <c r="T940" s="98" t="s">
        <v>47</v>
      </c>
      <c r="U940" s="330">
        <f>$F$8/$L$1*O940</f>
        <v>0</v>
      </c>
      <c r="V940" s="330"/>
      <c r="W940" s="98" t="s">
        <v>53</v>
      </c>
      <c r="X940" s="98"/>
    </row>
    <row r="941" spans="1:24" ht="18.75" customHeight="1">
      <c r="A941" s="98" t="s">
        <v>65</v>
      </c>
      <c r="B941" s="98" t="s">
        <v>47</v>
      </c>
      <c r="C941" s="98"/>
      <c r="D941" s="98" t="s">
        <v>66</v>
      </c>
      <c r="E941" s="330" t="s">
        <v>67</v>
      </c>
      <c r="F941" s="330"/>
      <c r="G941" s="330"/>
      <c r="H941" s="98" t="s">
        <v>47</v>
      </c>
      <c r="I941" s="330" t="e">
        <f>I937/C937/8*C941</f>
        <v>#DIV/0!</v>
      </c>
      <c r="J941" s="330"/>
      <c r="K941" s="98" t="s">
        <v>53</v>
      </c>
      <c r="L941" s="98">
        <f>F934*C941/L927/8*1.5</f>
        <v>0</v>
      </c>
      <c r="M941" s="98" t="s">
        <v>65</v>
      </c>
      <c r="N941" s="98" t="s">
        <v>47</v>
      </c>
      <c r="O941" s="98"/>
      <c r="P941" s="98" t="s">
        <v>66</v>
      </c>
      <c r="Q941" s="330" t="s">
        <v>67</v>
      </c>
      <c r="R941" s="330"/>
      <c r="S941" s="330"/>
      <c r="T941" s="98" t="s">
        <v>47</v>
      </c>
      <c r="U941" s="330" t="e">
        <f>U937/O937/8*O941</f>
        <v>#DIV/0!</v>
      </c>
      <c r="V941" s="330"/>
      <c r="W941" s="98" t="s">
        <v>53</v>
      </c>
      <c r="X941" s="98">
        <f>R934*O941/X927/8*1.5</f>
        <v>0</v>
      </c>
    </row>
    <row r="942" spans="1:24" ht="18.75" customHeight="1">
      <c r="A942" s="330" t="s">
        <v>68</v>
      </c>
      <c r="B942" s="330"/>
      <c r="C942" s="98"/>
      <c r="D942" s="98" t="s">
        <v>57</v>
      </c>
      <c r="E942" s="330" t="s">
        <v>69</v>
      </c>
      <c r="F942" s="330"/>
      <c r="G942" s="330"/>
      <c r="H942" s="98" t="s">
        <v>47</v>
      </c>
      <c r="I942" s="330"/>
      <c r="J942" s="330"/>
      <c r="K942" s="98" t="s">
        <v>53</v>
      </c>
      <c r="L942" s="98"/>
      <c r="M942" s="330" t="s">
        <v>68</v>
      </c>
      <c r="N942" s="330"/>
      <c r="O942" s="98"/>
      <c r="P942" s="98" t="s">
        <v>57</v>
      </c>
      <c r="Q942" s="330" t="s">
        <v>69</v>
      </c>
      <c r="R942" s="330"/>
      <c r="S942" s="330"/>
      <c r="T942" s="98" t="s">
        <v>47</v>
      </c>
      <c r="U942" s="330"/>
      <c r="V942" s="330"/>
      <c r="W942" s="98" t="s">
        <v>53</v>
      </c>
      <c r="X942" s="98"/>
    </row>
    <row r="943" spans="1:24" ht="18.75" customHeight="1">
      <c r="A943" s="98" t="s">
        <v>70</v>
      </c>
      <c r="B943" s="98" t="s">
        <v>47</v>
      </c>
      <c r="C943" s="98"/>
      <c r="D943" s="98" t="s">
        <v>57</v>
      </c>
      <c r="E943" s="330" t="s">
        <v>71</v>
      </c>
      <c r="F943" s="330"/>
      <c r="G943" s="330"/>
      <c r="H943" s="98" t="s">
        <v>47</v>
      </c>
      <c r="I943" s="330"/>
      <c r="J943" s="330"/>
      <c r="K943" s="98" t="s">
        <v>53</v>
      </c>
      <c r="L943" s="98"/>
      <c r="M943" s="98" t="s">
        <v>70</v>
      </c>
      <c r="N943" s="98" t="s">
        <v>47</v>
      </c>
      <c r="O943" s="98"/>
      <c r="P943" s="98" t="s">
        <v>57</v>
      </c>
      <c r="Q943" s="330" t="s">
        <v>71</v>
      </c>
      <c r="R943" s="330"/>
      <c r="S943" s="330"/>
      <c r="T943" s="98" t="s">
        <v>47</v>
      </c>
      <c r="U943" s="330"/>
      <c r="V943" s="330"/>
      <c r="W943" s="98" t="s">
        <v>53</v>
      </c>
      <c r="X943" s="98"/>
    </row>
    <row r="944" spans="1:24" ht="18.75" customHeight="1">
      <c r="A944" s="98" t="s">
        <v>72</v>
      </c>
      <c r="B944" s="98"/>
      <c r="C944" s="98"/>
      <c r="D944" s="98" t="s">
        <v>66</v>
      </c>
      <c r="E944" s="330" t="s">
        <v>73</v>
      </c>
      <c r="F944" s="330"/>
      <c r="G944" s="330"/>
      <c r="H944" s="98" t="s">
        <v>47</v>
      </c>
      <c r="I944" s="330">
        <f>$F$8*C944/8/$L$1</f>
        <v>0</v>
      </c>
      <c r="J944" s="330"/>
      <c r="K944" s="98" t="s">
        <v>53</v>
      </c>
      <c r="L944" s="98"/>
      <c r="M944" s="98" t="s">
        <v>72</v>
      </c>
      <c r="N944" s="98"/>
      <c r="O944" s="98"/>
      <c r="P944" s="98" t="s">
        <v>66</v>
      </c>
      <c r="Q944" s="330" t="s">
        <v>73</v>
      </c>
      <c r="R944" s="330"/>
      <c r="S944" s="330"/>
      <c r="T944" s="98" t="s">
        <v>47</v>
      </c>
      <c r="U944" s="330">
        <f>$F$8*O944/8/$L$1</f>
        <v>0</v>
      </c>
      <c r="V944" s="330"/>
      <c r="W944" s="98" t="s">
        <v>53</v>
      </c>
      <c r="X944" s="98"/>
    </row>
    <row r="945" spans="1:24" ht="18.75" customHeight="1">
      <c r="A945" s="98" t="s">
        <v>74</v>
      </c>
      <c r="B945" s="98" t="s">
        <v>47</v>
      </c>
      <c r="C945" s="98"/>
      <c r="D945" s="98" t="s">
        <v>66</v>
      </c>
      <c r="E945" s="330" t="s">
        <v>98</v>
      </c>
      <c r="F945" s="330"/>
      <c r="G945" s="330"/>
      <c r="H945" s="98" t="s">
        <v>47</v>
      </c>
      <c r="I945" s="330"/>
      <c r="J945" s="330"/>
      <c r="K945" s="98" t="s">
        <v>53</v>
      </c>
      <c r="L945" s="98"/>
      <c r="M945" s="98" t="s">
        <v>74</v>
      </c>
      <c r="N945" s="98" t="s">
        <v>47</v>
      </c>
      <c r="O945" s="98"/>
      <c r="P945" s="98" t="s">
        <v>66</v>
      </c>
      <c r="Q945" s="330" t="s">
        <v>98</v>
      </c>
      <c r="R945" s="330"/>
      <c r="S945" s="330"/>
      <c r="T945" s="98" t="s">
        <v>47</v>
      </c>
      <c r="U945" s="330"/>
      <c r="V945" s="330"/>
      <c r="W945" s="98" t="s">
        <v>53</v>
      </c>
      <c r="X945" s="98"/>
    </row>
    <row r="946" spans="1:24" ht="18.75" customHeight="1">
      <c r="A946" s="98" t="s">
        <v>76</v>
      </c>
      <c r="B946" s="98" t="s">
        <v>47</v>
      </c>
      <c r="C946" s="98"/>
      <c r="D946" s="98" t="s">
        <v>77</v>
      </c>
      <c r="E946" s="98" t="s">
        <v>78</v>
      </c>
      <c r="F946" s="98"/>
      <c r="G946" s="98"/>
      <c r="H946" s="98" t="s">
        <v>47</v>
      </c>
      <c r="I946" s="330"/>
      <c r="J946" s="330"/>
      <c r="K946" s="98" t="s">
        <v>53</v>
      </c>
      <c r="L946" s="98" t="e">
        <f>+IF(L937-I937&lt;0,0,L937-I937)+IF(L941-I941&lt;0,0,L941-I941)</f>
        <v>#DIV/0!</v>
      </c>
      <c r="M946" s="98" t="s">
        <v>76</v>
      </c>
      <c r="N946" s="98" t="s">
        <v>47</v>
      </c>
      <c r="O946" s="98"/>
      <c r="P946" s="98" t="s">
        <v>77</v>
      </c>
      <c r="Q946" s="98" t="s">
        <v>78</v>
      </c>
      <c r="R946" s="98"/>
      <c r="S946" s="98"/>
      <c r="T946" s="98" t="s">
        <v>47</v>
      </c>
      <c r="U946" s="330"/>
      <c r="V946" s="330"/>
      <c r="W946" s="98" t="s">
        <v>53</v>
      </c>
      <c r="X946" s="98" t="e">
        <f>+IF(X937-U937&lt;0,0,X937-U937)+IF(X941-U941&lt;0,0,X941-U941)</f>
        <v>#DIV/0!</v>
      </c>
    </row>
    <row r="947" spans="1:24" ht="18.75" customHeight="1">
      <c r="A947" s="98" t="s">
        <v>122</v>
      </c>
      <c r="B947" s="98"/>
      <c r="C947" s="98"/>
      <c r="D947" s="98" t="s">
        <v>57</v>
      </c>
      <c r="E947" s="330" t="s">
        <v>123</v>
      </c>
      <c r="F947" s="330"/>
      <c r="G947" s="330"/>
      <c r="H947" s="98" t="s">
        <v>47</v>
      </c>
      <c r="I947" s="330"/>
      <c r="J947" s="330"/>
      <c r="K947" s="98" t="s">
        <v>53</v>
      </c>
      <c r="L947" s="98"/>
      <c r="M947" s="98" t="s">
        <v>122</v>
      </c>
      <c r="N947" s="98"/>
      <c r="O947" s="98"/>
      <c r="P947" s="98" t="s">
        <v>57</v>
      </c>
      <c r="Q947" s="330" t="s">
        <v>123</v>
      </c>
      <c r="R947" s="330"/>
      <c r="S947" s="330"/>
      <c r="T947" s="98" t="s">
        <v>47</v>
      </c>
      <c r="U947" s="330"/>
      <c r="V947" s="330"/>
      <c r="W947" s="98" t="s">
        <v>53</v>
      </c>
      <c r="X947" s="98"/>
    </row>
    <row r="948" spans="1:24" ht="18.75" customHeight="1">
      <c r="A948" s="330" t="s">
        <v>81</v>
      </c>
      <c r="B948" s="330"/>
      <c r="C948" s="98"/>
      <c r="D948" s="98"/>
      <c r="E948" s="98"/>
      <c r="F948" s="98"/>
      <c r="G948" s="98"/>
      <c r="H948" s="98" t="s">
        <v>47</v>
      </c>
      <c r="I948" s="330"/>
      <c r="J948" s="330"/>
      <c r="K948" s="98" t="s">
        <v>53</v>
      </c>
      <c r="L948" s="98"/>
      <c r="M948" s="330" t="s">
        <v>81</v>
      </c>
      <c r="N948" s="330"/>
      <c r="O948" s="98"/>
      <c r="P948" s="98"/>
      <c r="Q948" s="98"/>
      <c r="R948" s="98"/>
      <c r="S948" s="98"/>
      <c r="T948" s="98" t="s">
        <v>47</v>
      </c>
      <c r="U948" s="330"/>
      <c r="V948" s="330"/>
      <c r="W948" s="98" t="s">
        <v>53</v>
      </c>
      <c r="X948" s="98"/>
    </row>
    <row r="949" spans="1:24" ht="18.75" customHeight="1">
      <c r="A949" s="98" t="s">
        <v>82</v>
      </c>
      <c r="B949" s="98" t="s">
        <v>47</v>
      </c>
      <c r="C949" s="98"/>
      <c r="D949" s="98"/>
      <c r="E949" s="98" t="s">
        <v>83</v>
      </c>
      <c r="F949" s="98"/>
      <c r="G949" s="98"/>
      <c r="H949" s="98" t="s">
        <v>47</v>
      </c>
      <c r="I949" s="330" t="e">
        <f>L946</f>
        <v>#DIV/0!</v>
      </c>
      <c r="J949" s="330"/>
      <c r="K949" s="98" t="s">
        <v>53</v>
      </c>
      <c r="L949" s="98"/>
      <c r="M949" s="98" t="s">
        <v>82</v>
      </c>
      <c r="N949" s="98" t="s">
        <v>47</v>
      </c>
      <c r="O949" s="98"/>
      <c r="P949" s="98"/>
      <c r="Q949" s="98" t="s">
        <v>83</v>
      </c>
      <c r="R949" s="98"/>
      <c r="S949" s="98"/>
      <c r="T949" s="98" t="s">
        <v>47</v>
      </c>
      <c r="U949" s="330" t="e">
        <f>X946</f>
        <v>#DIV/0!</v>
      </c>
      <c r="V949" s="330"/>
      <c r="W949" s="98" t="s">
        <v>53</v>
      </c>
      <c r="X949" s="98"/>
    </row>
    <row r="950" spans="1:24" ht="18.75" customHeight="1">
      <c r="A950" s="330" t="s">
        <v>84</v>
      </c>
      <c r="B950" s="330"/>
      <c r="C950" s="330"/>
      <c r="D950" s="330"/>
      <c r="E950" s="330"/>
      <c r="F950" s="330"/>
      <c r="G950" s="98" t="s">
        <v>47</v>
      </c>
      <c r="H950" s="330" t="e">
        <f>I937+I938+I939+I940+I941+I944+I948+I949</f>
        <v>#DIV/0!</v>
      </c>
      <c r="I950" s="330"/>
      <c r="J950" s="330"/>
      <c r="K950" s="98" t="s">
        <v>53</v>
      </c>
      <c r="M950" s="330" t="s">
        <v>84</v>
      </c>
      <c r="N950" s="330"/>
      <c r="O950" s="330"/>
      <c r="P950" s="330"/>
      <c r="Q950" s="330"/>
      <c r="R950" s="330"/>
      <c r="S950" s="98" t="s">
        <v>47</v>
      </c>
      <c r="T950" s="330" t="e">
        <f>U937+U938+U939+U940+U941+U944+U948+U949</f>
        <v>#DIV/0!</v>
      </c>
      <c r="U950" s="330"/>
      <c r="V950" s="330"/>
      <c r="W950" s="98" t="s">
        <v>53</v>
      </c>
    </row>
    <row r="951" spans="1:24" ht="18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</row>
    <row r="952" spans="1:24" ht="18.75" customHeight="1">
      <c r="A952" s="330" t="s">
        <v>85</v>
      </c>
      <c r="B952" s="330"/>
      <c r="C952" s="330"/>
      <c r="D952" s="330"/>
      <c r="E952" s="330"/>
      <c r="F952" s="330"/>
      <c r="G952" s="98"/>
      <c r="H952" s="98"/>
      <c r="I952" s="98"/>
      <c r="J952" s="98"/>
      <c r="K952" s="98"/>
      <c r="M952" s="330" t="s">
        <v>85</v>
      </c>
      <c r="N952" s="330"/>
      <c r="O952" s="330"/>
      <c r="P952" s="330"/>
      <c r="Q952" s="330"/>
      <c r="R952" s="330"/>
      <c r="S952" s="98"/>
      <c r="T952" s="98"/>
      <c r="U952" s="98"/>
      <c r="V952" s="98"/>
      <c r="W952" s="98"/>
    </row>
    <row r="953" spans="1:24" ht="18.75" customHeight="1">
      <c r="A953" s="330" t="s">
        <v>86</v>
      </c>
      <c r="B953" s="330"/>
      <c r="C953" s="330"/>
      <c r="D953" s="330"/>
      <c r="E953" s="330"/>
      <c r="F953" s="330"/>
      <c r="G953" s="98" t="s">
        <v>47</v>
      </c>
      <c r="H953" s="330">
        <f>IF(($L$1-(C937+C938+C939+C940))&gt;12,0,F934*8%)</f>
        <v>0</v>
      </c>
      <c r="I953" s="330"/>
      <c r="J953" s="330"/>
      <c r="K953" s="98" t="s">
        <v>53</v>
      </c>
      <c r="M953" s="330" t="s">
        <v>86</v>
      </c>
      <c r="N953" s="330"/>
      <c r="O953" s="330"/>
      <c r="P953" s="330"/>
      <c r="Q953" s="330"/>
      <c r="R953" s="330"/>
      <c r="S953" s="98" t="s">
        <v>47</v>
      </c>
      <c r="T953" s="330">
        <f>IF(($L$1-(O937+O938+O939+O940))&gt;12,0,R934*8%)</f>
        <v>0</v>
      </c>
      <c r="U953" s="330"/>
      <c r="V953" s="330"/>
      <c r="W953" s="98" t="s">
        <v>53</v>
      </c>
    </row>
    <row r="954" spans="1:24" ht="18.75" customHeight="1">
      <c r="A954" s="330" t="s">
        <v>87</v>
      </c>
      <c r="B954" s="330"/>
      <c r="C954" s="330"/>
      <c r="D954" s="330"/>
      <c r="E954" s="330"/>
      <c r="F954" s="330"/>
      <c r="G954" s="98" t="s">
        <v>47</v>
      </c>
      <c r="H954" s="330">
        <f>IF(($L$1-(C937+C938+C939+C940))&gt;12,0,F934*1.5%)</f>
        <v>0</v>
      </c>
      <c r="I954" s="330"/>
      <c r="J954" s="330"/>
      <c r="K954" s="98" t="s">
        <v>53</v>
      </c>
      <c r="M954" s="330" t="s">
        <v>87</v>
      </c>
      <c r="N954" s="330"/>
      <c r="O954" s="330"/>
      <c r="P954" s="330"/>
      <c r="Q954" s="330"/>
      <c r="R954" s="330"/>
      <c r="S954" s="98" t="s">
        <v>47</v>
      </c>
      <c r="T954" s="330">
        <f>IF(($L$1-(O937+O938+O939+O940))&gt;12,0,R934*1.5%)</f>
        <v>0</v>
      </c>
      <c r="U954" s="330"/>
      <c r="V954" s="330"/>
      <c r="W954" s="98" t="s">
        <v>53</v>
      </c>
    </row>
    <row r="955" spans="1:24" ht="18.75" customHeight="1">
      <c r="A955" s="330" t="s">
        <v>88</v>
      </c>
      <c r="B955" s="330"/>
      <c r="C955" s="330"/>
      <c r="D955" s="330"/>
      <c r="E955" s="330"/>
      <c r="F955" s="330"/>
      <c r="G955" s="98" t="s">
        <v>47</v>
      </c>
      <c r="H955" s="330">
        <f>IF(($L$1-(C937+C938+C939+C940))&gt;12,0,F934*1%)</f>
        <v>0</v>
      </c>
      <c r="I955" s="330"/>
      <c r="J955" s="330"/>
      <c r="K955" s="98" t="s">
        <v>53</v>
      </c>
      <c r="M955" s="330" t="s">
        <v>88</v>
      </c>
      <c r="N955" s="330"/>
      <c r="O955" s="330"/>
      <c r="P955" s="330"/>
      <c r="Q955" s="330"/>
      <c r="R955" s="330"/>
      <c r="S955" s="98" t="s">
        <v>47</v>
      </c>
      <c r="T955" s="330">
        <f>IF(($L$1-(O937+O938+O939+O940))&gt;12,0,R934*1%)</f>
        <v>0</v>
      </c>
      <c r="U955" s="330"/>
      <c r="V955" s="330"/>
      <c r="W955" s="98" t="s">
        <v>53</v>
      </c>
    </row>
    <row r="956" spans="1:24" ht="18.75" customHeight="1">
      <c r="A956" s="330" t="s">
        <v>89</v>
      </c>
      <c r="B956" s="330"/>
      <c r="C956" s="330"/>
      <c r="D956" s="330"/>
      <c r="E956" s="330"/>
      <c r="F956" s="330"/>
      <c r="G956" s="98" t="s">
        <v>47</v>
      </c>
      <c r="H956" s="330">
        <v>0</v>
      </c>
      <c r="I956" s="330"/>
      <c r="J956" s="330"/>
      <c r="K956" s="98" t="s">
        <v>53</v>
      </c>
      <c r="M956" s="330" t="s">
        <v>89</v>
      </c>
      <c r="N956" s="330"/>
      <c r="O956" s="330"/>
      <c r="P956" s="330"/>
      <c r="Q956" s="330"/>
      <c r="R956" s="330"/>
      <c r="S956" s="98" t="s">
        <v>47</v>
      </c>
      <c r="T956" s="330">
        <v>0</v>
      </c>
      <c r="U956" s="330"/>
      <c r="V956" s="330"/>
      <c r="W956" s="98" t="s">
        <v>53</v>
      </c>
    </row>
    <row r="957" spans="1:24" ht="18.75" customHeight="1">
      <c r="A957" s="330" t="s">
        <v>90</v>
      </c>
      <c r="B957" s="330"/>
      <c r="C957" s="330"/>
      <c r="D957" s="330"/>
      <c r="E957" s="330"/>
      <c r="F957" s="330"/>
      <c r="G957" s="98" t="s">
        <v>47</v>
      </c>
      <c r="H957" s="330">
        <f>SUM(H953:J956)</f>
        <v>0</v>
      </c>
      <c r="I957" s="330"/>
      <c r="J957" s="330"/>
      <c r="K957" s="98" t="s">
        <v>53</v>
      </c>
      <c r="M957" s="330" t="s">
        <v>90</v>
      </c>
      <c r="N957" s="330"/>
      <c r="O957" s="330"/>
      <c r="P957" s="330"/>
      <c r="Q957" s="330"/>
      <c r="R957" s="330"/>
      <c r="S957" s="98" t="s">
        <v>47</v>
      </c>
      <c r="T957" s="330">
        <f>SUM(T953:V956)</f>
        <v>0</v>
      </c>
      <c r="U957" s="330"/>
      <c r="V957" s="330"/>
      <c r="W957" s="98" t="s">
        <v>53</v>
      </c>
    </row>
    <row r="958" spans="1:24" ht="18.75" customHeight="1">
      <c r="A958" s="330" t="s">
        <v>91</v>
      </c>
      <c r="B958" s="330"/>
      <c r="C958" s="330"/>
      <c r="D958" s="330"/>
      <c r="E958" s="330"/>
      <c r="F958" s="330"/>
      <c r="G958" s="98" t="s">
        <v>47</v>
      </c>
      <c r="H958" s="330" t="e">
        <f>ROUND(H950-H957,-2)</f>
        <v>#DIV/0!</v>
      </c>
      <c r="I958" s="330"/>
      <c r="J958" s="330"/>
      <c r="K958" s="98" t="s">
        <v>53</v>
      </c>
      <c r="M958" s="330" t="s">
        <v>91</v>
      </c>
      <c r="N958" s="330"/>
      <c r="O958" s="330"/>
      <c r="P958" s="330"/>
      <c r="Q958" s="330"/>
      <c r="R958" s="330"/>
      <c r="S958" s="98" t="s">
        <v>47</v>
      </c>
      <c r="T958" s="330" t="e">
        <f>ROUND(T950-T957,-2)</f>
        <v>#DIV/0!</v>
      </c>
      <c r="U958" s="330"/>
      <c r="V958" s="330"/>
      <c r="W958" s="98" t="s">
        <v>53</v>
      </c>
    </row>
    <row r="959" spans="1:24" ht="18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</row>
    <row r="960" spans="1:24" ht="18.75" customHeight="1">
      <c r="A960" s="98"/>
      <c r="B960" s="98"/>
      <c r="C960" s="98"/>
      <c r="D960" s="98"/>
      <c r="E960" s="98"/>
      <c r="F960" s="98"/>
      <c r="G960" s="98"/>
      <c r="H960" s="98"/>
      <c r="I960" s="330" t="s">
        <v>92</v>
      </c>
      <c r="J960" s="330"/>
      <c r="K960" s="330"/>
      <c r="M960" s="98"/>
      <c r="N960" s="98"/>
      <c r="O960" s="98"/>
      <c r="P960" s="98"/>
      <c r="Q960" s="98"/>
      <c r="R960" s="98"/>
      <c r="S960" s="98"/>
      <c r="T960" s="98"/>
      <c r="U960" s="330" t="s">
        <v>92</v>
      </c>
      <c r="V960" s="330"/>
      <c r="W960" s="330"/>
    </row>
    <row r="961" spans="1:24" ht="18.75" customHeight="1">
      <c r="A961" s="98"/>
      <c r="B961" s="330"/>
      <c r="C961" s="330"/>
      <c r="D961" s="330"/>
      <c r="E961" s="330"/>
      <c r="F961" s="98"/>
      <c r="G961" s="98"/>
      <c r="H961" s="98"/>
      <c r="I961" s="98"/>
      <c r="J961" s="98"/>
      <c r="K961" s="98"/>
      <c r="M961" s="98"/>
      <c r="N961" s="330"/>
      <c r="O961" s="330"/>
      <c r="P961" s="330"/>
      <c r="Q961" s="330"/>
      <c r="R961" s="98"/>
      <c r="S961" s="98"/>
      <c r="T961" s="98"/>
      <c r="U961" s="98"/>
      <c r="V961" s="98"/>
      <c r="W961" s="98"/>
    </row>
    <row r="962" spans="1:24" ht="18.75" customHeight="1">
      <c r="A962" s="98"/>
      <c r="B962" s="98"/>
      <c r="C962" s="98"/>
      <c r="D962" s="98"/>
      <c r="E962" s="98"/>
      <c r="F962" s="98"/>
      <c r="G962" s="98"/>
      <c r="H962" s="98"/>
      <c r="I962" s="330" t="s">
        <v>93</v>
      </c>
      <c r="J962" s="330"/>
      <c r="K962" s="330"/>
      <c r="M962" s="98"/>
      <c r="N962" s="98"/>
      <c r="O962" s="98"/>
      <c r="P962" s="98"/>
      <c r="Q962" s="98"/>
      <c r="R962" s="98"/>
      <c r="S962" s="98"/>
      <c r="T962" s="98"/>
      <c r="U962" s="330" t="s">
        <v>93</v>
      </c>
      <c r="V962" s="330"/>
      <c r="W962" s="330"/>
    </row>
    <row r="964" spans="1:24" ht="18.75" customHeight="1">
      <c r="A964" s="330" t="s">
        <v>41</v>
      </c>
      <c r="B964" s="330"/>
      <c r="C964" s="330"/>
      <c r="D964" s="330"/>
      <c r="E964" s="330"/>
      <c r="F964" s="330"/>
      <c r="G964" s="330"/>
      <c r="H964" s="330"/>
      <c r="I964" s="330"/>
      <c r="J964" s="330"/>
      <c r="K964" s="330"/>
      <c r="L964" s="98">
        <v>24</v>
      </c>
      <c r="M964" s="330" t="s">
        <v>41</v>
      </c>
      <c r="N964" s="330"/>
      <c r="O964" s="330"/>
      <c r="P964" s="330"/>
      <c r="Q964" s="330"/>
      <c r="R964" s="330"/>
      <c r="S964" s="330"/>
      <c r="T964" s="330"/>
      <c r="U964" s="330"/>
      <c r="V964" s="330"/>
      <c r="W964" s="330"/>
      <c r="X964" s="98">
        <v>24</v>
      </c>
    </row>
    <row r="965" spans="1:24" ht="18.75" customHeight="1">
      <c r="A965" s="98" t="s">
        <v>160</v>
      </c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M965" s="98" t="s">
        <v>161</v>
      </c>
      <c r="N965" s="98"/>
      <c r="O965" s="98"/>
      <c r="P965" s="98"/>
      <c r="Q965" s="98"/>
      <c r="R965" s="98"/>
      <c r="S965" s="98"/>
      <c r="T965" s="98"/>
      <c r="U965" s="98"/>
      <c r="V965" s="98"/>
      <c r="W965" s="98"/>
    </row>
    <row r="966" spans="1:24" ht="18.75" customHeight="1">
      <c r="A966" s="330" t="s">
        <v>45</v>
      </c>
      <c r="B966" s="330"/>
      <c r="C966" s="330"/>
      <c r="D966" s="330"/>
      <c r="E966" s="330"/>
      <c r="F966" s="330"/>
      <c r="G966" s="330"/>
      <c r="H966" s="330"/>
      <c r="I966" s="330"/>
      <c r="J966" s="330"/>
      <c r="K966" s="330"/>
      <c r="M966" s="330" t="s">
        <v>45</v>
      </c>
      <c r="N966" s="330"/>
      <c r="O966" s="330"/>
      <c r="P966" s="330"/>
      <c r="Q966" s="330"/>
      <c r="R966" s="330"/>
      <c r="S966" s="330"/>
      <c r="T966" s="330"/>
      <c r="U966" s="330"/>
      <c r="V966" s="330"/>
      <c r="W966" s="330"/>
    </row>
    <row r="967" spans="1:24" ht="18.75" customHeight="1">
      <c r="A967" s="330" t="s">
        <v>46</v>
      </c>
      <c r="B967" s="330"/>
      <c r="C967" s="330"/>
      <c r="D967" s="330"/>
      <c r="E967" s="98" t="s">
        <v>47</v>
      </c>
      <c r="F967" s="330"/>
      <c r="G967" s="330"/>
      <c r="H967" s="330"/>
      <c r="I967" s="330"/>
      <c r="J967" s="330"/>
      <c r="K967" s="330"/>
      <c r="M967" s="330" t="s">
        <v>46</v>
      </c>
      <c r="N967" s="330"/>
      <c r="O967" s="330"/>
      <c r="P967" s="330"/>
      <c r="Q967" s="98" t="s">
        <v>47</v>
      </c>
      <c r="R967" s="330"/>
      <c r="S967" s="330"/>
      <c r="T967" s="330"/>
      <c r="U967" s="330"/>
      <c r="V967" s="330"/>
      <c r="W967" s="330"/>
    </row>
    <row r="968" spans="1:24" ht="18.75" customHeight="1">
      <c r="A968" s="330" t="s">
        <v>49</v>
      </c>
      <c r="B968" s="330"/>
      <c r="C968" s="330"/>
      <c r="D968" s="330"/>
      <c r="E968" s="98" t="s">
        <v>47</v>
      </c>
      <c r="F968" s="330"/>
      <c r="G968" s="330"/>
      <c r="H968" s="330"/>
      <c r="I968" s="330"/>
      <c r="J968" s="330"/>
      <c r="K968" s="330"/>
      <c r="M968" s="330" t="s">
        <v>49</v>
      </c>
      <c r="N968" s="330"/>
      <c r="O968" s="330"/>
      <c r="P968" s="330"/>
      <c r="Q968" s="98" t="s">
        <v>47</v>
      </c>
      <c r="R968" s="330"/>
      <c r="S968" s="330"/>
      <c r="T968" s="330"/>
      <c r="U968" s="330"/>
      <c r="V968" s="330"/>
      <c r="W968" s="330"/>
    </row>
    <row r="969" spans="1:24" ht="18.75" customHeight="1">
      <c r="A969" s="330" t="s">
        <v>50</v>
      </c>
      <c r="B969" s="330"/>
      <c r="C969" s="330"/>
      <c r="D969" s="330"/>
      <c r="E969" s="98" t="s">
        <v>47</v>
      </c>
      <c r="F969" s="330" t="s">
        <v>121</v>
      </c>
      <c r="G969" s="330"/>
      <c r="H969" s="330"/>
      <c r="I969" s="330"/>
      <c r="J969" s="330"/>
      <c r="K969" s="330"/>
      <c r="M969" s="330" t="s">
        <v>50</v>
      </c>
      <c r="N969" s="330"/>
      <c r="O969" s="330"/>
      <c r="P969" s="330"/>
      <c r="Q969" s="98" t="s">
        <v>47</v>
      </c>
      <c r="R969" s="330" t="s">
        <v>121</v>
      </c>
      <c r="S969" s="330"/>
      <c r="T969" s="330"/>
      <c r="U969" s="330"/>
      <c r="V969" s="330"/>
      <c r="W969" s="330"/>
    </row>
    <row r="970" spans="1:24" ht="18.75" customHeight="1">
      <c r="A970" s="330" t="s">
        <v>51</v>
      </c>
      <c r="B970" s="330"/>
      <c r="C970" s="330"/>
      <c r="D970" s="330"/>
      <c r="E970" s="330"/>
      <c r="F970" s="330"/>
      <c r="G970" s="330"/>
      <c r="H970" s="330"/>
      <c r="I970" s="330"/>
      <c r="J970" s="330"/>
      <c r="K970" s="330"/>
      <c r="M970" s="330" t="s">
        <v>51</v>
      </c>
      <c r="N970" s="330"/>
      <c r="O970" s="330"/>
      <c r="P970" s="330"/>
      <c r="Q970" s="330"/>
      <c r="R970" s="330"/>
      <c r="S970" s="330"/>
      <c r="T970" s="330"/>
      <c r="U970" s="330"/>
      <c r="V970" s="330"/>
      <c r="W970" s="330"/>
    </row>
    <row r="971" spans="1:24" ht="18.75" customHeight="1">
      <c r="A971" s="330" t="s">
        <v>52</v>
      </c>
      <c r="B971" s="330"/>
      <c r="C971" s="330"/>
      <c r="D971" s="330"/>
      <c r="E971" s="98" t="s">
        <v>47</v>
      </c>
      <c r="F971" s="330">
        <v>2915400</v>
      </c>
      <c r="G971" s="330"/>
      <c r="H971" s="330"/>
      <c r="I971" s="330"/>
      <c r="J971" s="98" t="s">
        <v>53</v>
      </c>
      <c r="K971" s="98"/>
      <c r="M971" s="330" t="s">
        <v>52</v>
      </c>
      <c r="N971" s="330"/>
      <c r="O971" s="330"/>
      <c r="P971" s="330"/>
      <c r="Q971" s="98" t="s">
        <v>47</v>
      </c>
      <c r="R971" s="330">
        <v>2915400</v>
      </c>
      <c r="S971" s="330"/>
      <c r="T971" s="330"/>
      <c r="U971" s="330"/>
      <c r="V971" s="98" t="s">
        <v>53</v>
      </c>
      <c r="W971" s="98"/>
    </row>
    <row r="972" spans="1:24" ht="18.75" customHeight="1">
      <c r="A972" s="98" t="s">
        <v>54</v>
      </c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M972" s="98" t="s">
        <v>54</v>
      </c>
      <c r="N972" s="98"/>
      <c r="O972" s="98"/>
      <c r="P972" s="98"/>
      <c r="Q972" s="98"/>
      <c r="R972" s="98"/>
      <c r="S972" s="98"/>
      <c r="T972" s="98"/>
      <c r="U972" s="98"/>
      <c r="V972" s="98"/>
      <c r="W972" s="98"/>
    </row>
    <row r="973" spans="1:24" ht="18.75" customHeight="1">
      <c r="A973" s="98" t="s">
        <v>55</v>
      </c>
      <c r="B973" s="98"/>
      <c r="C973" s="98"/>
      <c r="D973" s="98"/>
      <c r="E973" s="98"/>
      <c r="F973" s="98"/>
      <c r="G973" s="98"/>
      <c r="H973" s="98"/>
      <c r="I973" s="98" t="e">
        <f>I974/C974/8</f>
        <v>#DIV/0!</v>
      </c>
      <c r="J973" s="98"/>
      <c r="K973" s="98"/>
      <c r="M973" s="98" t="s">
        <v>55</v>
      </c>
      <c r="N973" s="98"/>
      <c r="O973" s="98"/>
      <c r="P973" s="98"/>
      <c r="Q973" s="98"/>
      <c r="R973" s="98"/>
      <c r="S973" s="98"/>
      <c r="T973" s="98"/>
      <c r="U973" s="98" t="e">
        <f>U974/O974/8</f>
        <v>#DIV/0!</v>
      </c>
      <c r="V973" s="98"/>
      <c r="W973" s="98"/>
    </row>
    <row r="974" spans="1:24" ht="18.75" customHeight="1">
      <c r="A974" s="98" t="s">
        <v>56</v>
      </c>
      <c r="B974" s="98" t="s">
        <v>47</v>
      </c>
      <c r="C974" s="98"/>
      <c r="D974" s="98" t="s">
        <v>57</v>
      </c>
      <c r="E974" s="330" t="s">
        <v>58</v>
      </c>
      <c r="F974" s="330"/>
      <c r="G974" s="330"/>
      <c r="H974" s="98" t="s">
        <v>47</v>
      </c>
      <c r="I974" s="330" t="e">
        <f>I972*680/((C974-C981)*8+C981*7+C978)*((C974-C981)*8+C981*7)</f>
        <v>#DIV/0!</v>
      </c>
      <c r="J974" s="330"/>
      <c r="K974" s="98" t="s">
        <v>53</v>
      </c>
      <c r="L974" s="98">
        <f>F971/L964*C974</f>
        <v>0</v>
      </c>
      <c r="M974" s="98" t="s">
        <v>56</v>
      </c>
      <c r="N974" s="98" t="s">
        <v>47</v>
      </c>
      <c r="O974" s="98"/>
      <c r="P974" s="98" t="s">
        <v>57</v>
      </c>
      <c r="Q974" s="330" t="s">
        <v>58</v>
      </c>
      <c r="R974" s="330"/>
      <c r="S974" s="330"/>
      <c r="T974" s="98" t="s">
        <v>47</v>
      </c>
      <c r="U974" s="330" t="e">
        <f>U972*680/((O974-O981)*8+O981*7+O978)*((O974-O981)*8+O981*7)</f>
        <v>#DIV/0!</v>
      </c>
      <c r="V974" s="330"/>
      <c r="W974" s="98" t="s">
        <v>53</v>
      </c>
      <c r="X974" s="98">
        <f>R971/X964*O974</f>
        <v>0</v>
      </c>
    </row>
    <row r="975" spans="1:24" ht="18.75" customHeight="1">
      <c r="A975" s="98" t="s">
        <v>59</v>
      </c>
      <c r="B975" s="98" t="s">
        <v>47</v>
      </c>
      <c r="C975" s="98"/>
      <c r="D975" s="98" t="s">
        <v>57</v>
      </c>
      <c r="E975" s="330" t="s">
        <v>60</v>
      </c>
      <c r="F975" s="330"/>
      <c r="G975" s="330"/>
      <c r="H975" s="98" t="s">
        <v>47</v>
      </c>
      <c r="I975" s="330">
        <f>$F$8/$L$1*C975</f>
        <v>0</v>
      </c>
      <c r="J975" s="330"/>
      <c r="K975" s="98" t="s">
        <v>53</v>
      </c>
      <c r="L975" s="98"/>
      <c r="M975" s="98" t="s">
        <v>59</v>
      </c>
      <c r="N975" s="98" t="s">
        <v>47</v>
      </c>
      <c r="O975" s="98"/>
      <c r="P975" s="98" t="s">
        <v>57</v>
      </c>
      <c r="Q975" s="330" t="s">
        <v>60</v>
      </c>
      <c r="R975" s="330"/>
      <c r="S975" s="330"/>
      <c r="T975" s="98" t="s">
        <v>47</v>
      </c>
      <c r="U975" s="330">
        <f>$F$8/$L$1*O975</f>
        <v>0</v>
      </c>
      <c r="V975" s="330"/>
      <c r="W975" s="98" t="s">
        <v>53</v>
      </c>
      <c r="X975" s="98"/>
    </row>
    <row r="976" spans="1:24" ht="18.75" customHeight="1">
      <c r="A976" s="98" t="s">
        <v>61</v>
      </c>
      <c r="B976" s="98" t="s">
        <v>47</v>
      </c>
      <c r="C976" s="98"/>
      <c r="D976" s="98" t="s">
        <v>57</v>
      </c>
      <c r="E976" s="330" t="s">
        <v>62</v>
      </c>
      <c r="F976" s="330"/>
      <c r="G976" s="330"/>
      <c r="H976" s="98" t="s">
        <v>47</v>
      </c>
      <c r="I976" s="330">
        <f>$F$8/$L$1*C976</f>
        <v>0</v>
      </c>
      <c r="J976" s="330"/>
      <c r="K976" s="98" t="s">
        <v>53</v>
      </c>
      <c r="L976" s="98"/>
      <c r="M976" s="98" t="s">
        <v>61</v>
      </c>
      <c r="N976" s="98" t="s">
        <v>47</v>
      </c>
      <c r="O976" s="98"/>
      <c r="P976" s="98" t="s">
        <v>57</v>
      </c>
      <c r="Q976" s="330" t="s">
        <v>62</v>
      </c>
      <c r="R976" s="330"/>
      <c r="S976" s="330"/>
      <c r="T976" s="98" t="s">
        <v>47</v>
      </c>
      <c r="U976" s="330">
        <f>$F$8/$L$1*O976</f>
        <v>0</v>
      </c>
      <c r="V976" s="330"/>
      <c r="W976" s="98" t="s">
        <v>53</v>
      </c>
      <c r="X976" s="98"/>
    </row>
    <row r="977" spans="1:24" ht="18.75" customHeight="1">
      <c r="A977" s="98" t="s">
        <v>63</v>
      </c>
      <c r="B977" s="98" t="s">
        <v>47</v>
      </c>
      <c r="C977" s="98"/>
      <c r="D977" s="98" t="s">
        <v>57</v>
      </c>
      <c r="E977" s="330" t="s">
        <v>64</v>
      </c>
      <c r="F977" s="330"/>
      <c r="G977" s="330"/>
      <c r="H977" s="98" t="s">
        <v>47</v>
      </c>
      <c r="I977" s="330">
        <f>$F$8/$L$1*C977</f>
        <v>0</v>
      </c>
      <c r="J977" s="330"/>
      <c r="K977" s="98" t="s">
        <v>53</v>
      </c>
      <c r="L977" s="98"/>
      <c r="M977" s="98" t="s">
        <v>63</v>
      </c>
      <c r="N977" s="98" t="s">
        <v>47</v>
      </c>
      <c r="O977" s="98"/>
      <c r="P977" s="98" t="s">
        <v>57</v>
      </c>
      <c r="Q977" s="330" t="s">
        <v>64</v>
      </c>
      <c r="R977" s="330"/>
      <c r="S977" s="330"/>
      <c r="T977" s="98" t="s">
        <v>47</v>
      </c>
      <c r="U977" s="330">
        <f>$F$8/$L$1*O977</f>
        <v>0</v>
      </c>
      <c r="V977" s="330"/>
      <c r="W977" s="98" t="s">
        <v>53</v>
      </c>
      <c r="X977" s="98"/>
    </row>
    <row r="978" spans="1:24" ht="18.75" customHeight="1">
      <c r="A978" s="98" t="s">
        <v>65</v>
      </c>
      <c r="B978" s="98" t="s">
        <v>47</v>
      </c>
      <c r="C978" s="98"/>
      <c r="D978" s="98" t="s">
        <v>66</v>
      </c>
      <c r="E978" s="330" t="s">
        <v>67</v>
      </c>
      <c r="F978" s="330"/>
      <c r="G978" s="330"/>
      <c r="H978" s="98" t="s">
        <v>47</v>
      </c>
      <c r="I978" s="330" t="e">
        <f>I974/C974/8*C978</f>
        <v>#DIV/0!</v>
      </c>
      <c r="J978" s="330"/>
      <c r="K978" s="98" t="s">
        <v>53</v>
      </c>
      <c r="L978" s="98">
        <f>F971*C978/L964/8*1.5</f>
        <v>0</v>
      </c>
      <c r="M978" s="98" t="s">
        <v>65</v>
      </c>
      <c r="N978" s="98" t="s">
        <v>47</v>
      </c>
      <c r="O978" s="98"/>
      <c r="P978" s="98" t="s">
        <v>66</v>
      </c>
      <c r="Q978" s="330" t="s">
        <v>67</v>
      </c>
      <c r="R978" s="330"/>
      <c r="S978" s="330"/>
      <c r="T978" s="98" t="s">
        <v>47</v>
      </c>
      <c r="U978" s="330" t="e">
        <f>U974/O974/8*O978</f>
        <v>#DIV/0!</v>
      </c>
      <c r="V978" s="330"/>
      <c r="W978" s="98" t="s">
        <v>53</v>
      </c>
      <c r="X978" s="98">
        <f>R971*O978/X964/8*1.5</f>
        <v>0</v>
      </c>
    </row>
    <row r="979" spans="1:24" ht="18.75" customHeight="1">
      <c r="A979" s="330" t="s">
        <v>68</v>
      </c>
      <c r="B979" s="330"/>
      <c r="C979" s="98"/>
      <c r="D979" s="98" t="s">
        <v>57</v>
      </c>
      <c r="E979" s="330" t="s">
        <v>69</v>
      </c>
      <c r="F979" s="330"/>
      <c r="G979" s="330"/>
      <c r="H979" s="98" t="s">
        <v>47</v>
      </c>
      <c r="I979" s="330"/>
      <c r="J979" s="330"/>
      <c r="K979" s="98" t="s">
        <v>53</v>
      </c>
      <c r="L979" s="98"/>
      <c r="M979" s="330" t="s">
        <v>68</v>
      </c>
      <c r="N979" s="330"/>
      <c r="O979" s="98"/>
      <c r="P979" s="98" t="s">
        <v>57</v>
      </c>
      <c r="Q979" s="330" t="s">
        <v>69</v>
      </c>
      <c r="R979" s="330"/>
      <c r="S979" s="330"/>
      <c r="T979" s="98" t="s">
        <v>47</v>
      </c>
      <c r="U979" s="330"/>
      <c r="V979" s="330"/>
      <c r="W979" s="98" t="s">
        <v>53</v>
      </c>
      <c r="X979" s="98"/>
    </row>
    <row r="980" spans="1:24" ht="18.75" customHeight="1">
      <c r="A980" s="98" t="s">
        <v>70</v>
      </c>
      <c r="B980" s="98" t="s">
        <v>47</v>
      </c>
      <c r="C980" s="98"/>
      <c r="D980" s="98" t="s">
        <v>57</v>
      </c>
      <c r="E980" s="330" t="s">
        <v>71</v>
      </c>
      <c r="F980" s="330"/>
      <c r="G980" s="330"/>
      <c r="H980" s="98" t="s">
        <v>47</v>
      </c>
      <c r="I980" s="330"/>
      <c r="J980" s="330"/>
      <c r="K980" s="98" t="s">
        <v>53</v>
      </c>
      <c r="L980" s="98"/>
      <c r="M980" s="98" t="s">
        <v>70</v>
      </c>
      <c r="N980" s="98" t="s">
        <v>47</v>
      </c>
      <c r="O980" s="98"/>
      <c r="P980" s="98" t="s">
        <v>57</v>
      </c>
      <c r="Q980" s="330" t="s">
        <v>71</v>
      </c>
      <c r="R980" s="330"/>
      <c r="S980" s="330"/>
      <c r="T980" s="98" t="s">
        <v>47</v>
      </c>
      <c r="U980" s="330"/>
      <c r="V980" s="330"/>
      <c r="W980" s="98" t="s">
        <v>53</v>
      </c>
      <c r="X980" s="98"/>
    </row>
    <row r="981" spans="1:24" ht="18.75" customHeight="1">
      <c r="A981" s="98" t="s">
        <v>72</v>
      </c>
      <c r="B981" s="98"/>
      <c r="C981" s="98"/>
      <c r="D981" s="98" t="s">
        <v>66</v>
      </c>
      <c r="E981" s="330" t="s">
        <v>73</v>
      </c>
      <c r="F981" s="330"/>
      <c r="G981" s="330"/>
      <c r="H981" s="98" t="s">
        <v>47</v>
      </c>
      <c r="I981" s="330">
        <f>$F$8*C981/8/$L$1</f>
        <v>0</v>
      </c>
      <c r="J981" s="330"/>
      <c r="K981" s="98" t="s">
        <v>53</v>
      </c>
      <c r="L981" s="98"/>
      <c r="M981" s="98" t="s">
        <v>72</v>
      </c>
      <c r="N981" s="98"/>
      <c r="O981" s="98"/>
      <c r="P981" s="98" t="s">
        <v>66</v>
      </c>
      <c r="Q981" s="330" t="s">
        <v>73</v>
      </c>
      <c r="R981" s="330"/>
      <c r="S981" s="330"/>
      <c r="T981" s="98" t="s">
        <v>47</v>
      </c>
      <c r="U981" s="330">
        <f>$F$8*O981/8/$L$1</f>
        <v>0</v>
      </c>
      <c r="V981" s="330"/>
      <c r="W981" s="98" t="s">
        <v>53</v>
      </c>
      <c r="X981" s="98"/>
    </row>
    <row r="982" spans="1:24" ht="18.75" customHeight="1">
      <c r="A982" s="98" t="s">
        <v>74</v>
      </c>
      <c r="B982" s="98" t="s">
        <v>47</v>
      </c>
      <c r="C982" s="98"/>
      <c r="D982" s="98" t="s">
        <v>66</v>
      </c>
      <c r="E982" s="330" t="s">
        <v>98</v>
      </c>
      <c r="F982" s="330"/>
      <c r="G982" s="330"/>
      <c r="H982" s="98" t="s">
        <v>47</v>
      </c>
      <c r="I982" s="330"/>
      <c r="J982" s="330"/>
      <c r="K982" s="98" t="s">
        <v>53</v>
      </c>
      <c r="L982" s="98"/>
      <c r="M982" s="98" t="s">
        <v>74</v>
      </c>
      <c r="N982" s="98" t="s">
        <v>47</v>
      </c>
      <c r="O982" s="98"/>
      <c r="P982" s="98" t="s">
        <v>66</v>
      </c>
      <c r="Q982" s="330" t="s">
        <v>98</v>
      </c>
      <c r="R982" s="330"/>
      <c r="S982" s="330"/>
      <c r="T982" s="98" t="s">
        <v>47</v>
      </c>
      <c r="U982" s="330"/>
      <c r="V982" s="330"/>
      <c r="W982" s="98" t="s">
        <v>53</v>
      </c>
      <c r="X982" s="98"/>
    </row>
    <row r="983" spans="1:24" ht="18.75" customHeight="1">
      <c r="A983" s="98" t="s">
        <v>76</v>
      </c>
      <c r="B983" s="98" t="s">
        <v>47</v>
      </c>
      <c r="C983" s="98"/>
      <c r="D983" s="98" t="s">
        <v>77</v>
      </c>
      <c r="E983" s="98" t="s">
        <v>78</v>
      </c>
      <c r="F983" s="98"/>
      <c r="G983" s="98"/>
      <c r="H983" s="98" t="s">
        <v>47</v>
      </c>
      <c r="I983" s="330"/>
      <c r="J983" s="330"/>
      <c r="K983" s="98" t="s">
        <v>53</v>
      </c>
      <c r="L983" s="98" t="e">
        <f>+IF(L974-I974&lt;0,0,L974-I974)+IF(L978-I978&lt;0,0,L978-I978)</f>
        <v>#DIV/0!</v>
      </c>
      <c r="M983" s="98" t="s">
        <v>76</v>
      </c>
      <c r="N983" s="98" t="s">
        <v>47</v>
      </c>
      <c r="O983" s="98"/>
      <c r="P983" s="98" t="s">
        <v>77</v>
      </c>
      <c r="Q983" s="98" t="s">
        <v>78</v>
      </c>
      <c r="R983" s="98"/>
      <c r="S983" s="98"/>
      <c r="T983" s="98" t="s">
        <v>47</v>
      </c>
      <c r="U983" s="330"/>
      <c r="V983" s="330"/>
      <c r="W983" s="98" t="s">
        <v>53</v>
      </c>
      <c r="X983" s="98" t="e">
        <f>+IF(X974-U974&lt;0,0,X974-U974)+IF(X978-U978&lt;0,0,X978-U978)</f>
        <v>#DIV/0!</v>
      </c>
    </row>
    <row r="984" spans="1:24" ht="18.75" customHeight="1">
      <c r="A984" s="98" t="s">
        <v>122</v>
      </c>
      <c r="B984" s="98"/>
      <c r="C984" s="98"/>
      <c r="D984" s="98" t="s">
        <v>57</v>
      </c>
      <c r="E984" s="330" t="s">
        <v>123</v>
      </c>
      <c r="F984" s="330"/>
      <c r="G984" s="330"/>
      <c r="H984" s="98" t="s">
        <v>47</v>
      </c>
      <c r="I984" s="330"/>
      <c r="J984" s="330"/>
      <c r="K984" s="98" t="s">
        <v>53</v>
      </c>
      <c r="L984" s="98"/>
      <c r="M984" s="98" t="s">
        <v>122</v>
      </c>
      <c r="N984" s="98"/>
      <c r="O984" s="98"/>
      <c r="P984" s="98" t="s">
        <v>57</v>
      </c>
      <c r="Q984" s="330" t="s">
        <v>123</v>
      </c>
      <c r="R984" s="330"/>
      <c r="S984" s="330"/>
      <c r="T984" s="98" t="s">
        <v>47</v>
      </c>
      <c r="U984" s="330"/>
      <c r="V984" s="330"/>
      <c r="W984" s="98" t="s">
        <v>53</v>
      </c>
      <c r="X984" s="98"/>
    </row>
    <row r="985" spans="1:24" ht="18.75" customHeight="1">
      <c r="A985" s="330" t="s">
        <v>81</v>
      </c>
      <c r="B985" s="330"/>
      <c r="C985" s="98"/>
      <c r="D985" s="98"/>
      <c r="E985" s="98"/>
      <c r="F985" s="98"/>
      <c r="G985" s="98"/>
      <c r="H985" s="98" t="s">
        <v>47</v>
      </c>
      <c r="I985" s="330"/>
      <c r="J985" s="330"/>
      <c r="K985" s="98" t="s">
        <v>53</v>
      </c>
      <c r="L985" s="98"/>
      <c r="M985" s="330" t="s">
        <v>81</v>
      </c>
      <c r="N985" s="330"/>
      <c r="O985" s="98"/>
      <c r="P985" s="98"/>
      <c r="Q985" s="98"/>
      <c r="R985" s="98"/>
      <c r="S985" s="98"/>
      <c r="T985" s="98" t="s">
        <v>47</v>
      </c>
      <c r="U985" s="330"/>
      <c r="V985" s="330"/>
      <c r="W985" s="98" t="s">
        <v>53</v>
      </c>
      <c r="X985" s="98"/>
    </row>
    <row r="986" spans="1:24" ht="18.75" customHeight="1">
      <c r="A986" s="98" t="s">
        <v>82</v>
      </c>
      <c r="B986" s="98" t="s">
        <v>47</v>
      </c>
      <c r="C986" s="98"/>
      <c r="D986" s="98"/>
      <c r="E986" s="98" t="s">
        <v>83</v>
      </c>
      <c r="F986" s="98"/>
      <c r="G986" s="98"/>
      <c r="H986" s="98" t="s">
        <v>47</v>
      </c>
      <c r="I986" s="330" t="e">
        <f>L983</f>
        <v>#DIV/0!</v>
      </c>
      <c r="J986" s="330"/>
      <c r="K986" s="98" t="s">
        <v>53</v>
      </c>
      <c r="L986" s="98"/>
      <c r="M986" s="98" t="s">
        <v>82</v>
      </c>
      <c r="N986" s="98" t="s">
        <v>47</v>
      </c>
      <c r="O986" s="98"/>
      <c r="P986" s="98"/>
      <c r="Q986" s="98" t="s">
        <v>83</v>
      </c>
      <c r="R986" s="98"/>
      <c r="S986" s="98"/>
      <c r="T986" s="98" t="s">
        <v>47</v>
      </c>
      <c r="U986" s="330" t="e">
        <f>X983</f>
        <v>#DIV/0!</v>
      </c>
      <c r="V986" s="330"/>
      <c r="W986" s="98" t="s">
        <v>53</v>
      </c>
      <c r="X986" s="98"/>
    </row>
    <row r="987" spans="1:24" ht="18.75" customHeight="1">
      <c r="A987" s="330" t="s">
        <v>84</v>
      </c>
      <c r="B987" s="330"/>
      <c r="C987" s="330"/>
      <c r="D987" s="330"/>
      <c r="E987" s="330"/>
      <c r="F987" s="330"/>
      <c r="G987" s="98" t="s">
        <v>47</v>
      </c>
      <c r="H987" s="330" t="e">
        <f>I974+I975+I976+I977+I978+I981+I985+I986</f>
        <v>#DIV/0!</v>
      </c>
      <c r="I987" s="330"/>
      <c r="J987" s="330"/>
      <c r="K987" s="98" t="s">
        <v>53</v>
      </c>
      <c r="M987" s="330" t="s">
        <v>84</v>
      </c>
      <c r="N987" s="330"/>
      <c r="O987" s="330"/>
      <c r="P987" s="330"/>
      <c r="Q987" s="330"/>
      <c r="R987" s="330"/>
      <c r="S987" s="98" t="s">
        <v>47</v>
      </c>
      <c r="T987" s="330" t="e">
        <f>U974+U975+U976+U977+U978+U981+U985+U986</f>
        <v>#DIV/0!</v>
      </c>
      <c r="U987" s="330"/>
      <c r="V987" s="330"/>
      <c r="W987" s="98" t="s">
        <v>53</v>
      </c>
    </row>
    <row r="988" spans="1:24" ht="18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</row>
    <row r="989" spans="1:24" ht="18.75" customHeight="1">
      <c r="A989" s="330" t="s">
        <v>85</v>
      </c>
      <c r="B989" s="330"/>
      <c r="C989" s="330"/>
      <c r="D989" s="330"/>
      <c r="E989" s="330"/>
      <c r="F989" s="330"/>
      <c r="G989" s="98"/>
      <c r="H989" s="98"/>
      <c r="I989" s="98"/>
      <c r="J989" s="98"/>
      <c r="K989" s="98"/>
      <c r="M989" s="330" t="s">
        <v>85</v>
      </c>
      <c r="N989" s="330"/>
      <c r="O989" s="330"/>
      <c r="P989" s="330"/>
      <c r="Q989" s="330"/>
      <c r="R989" s="330"/>
      <c r="S989" s="98"/>
      <c r="T989" s="98"/>
      <c r="U989" s="98"/>
      <c r="V989" s="98"/>
      <c r="W989" s="98"/>
    </row>
    <row r="990" spans="1:24" ht="18.75" customHeight="1">
      <c r="A990" s="330" t="s">
        <v>86</v>
      </c>
      <c r="B990" s="330"/>
      <c r="C990" s="330"/>
      <c r="D990" s="330"/>
      <c r="E990" s="330"/>
      <c r="F990" s="330"/>
      <c r="G990" s="98" t="s">
        <v>47</v>
      </c>
      <c r="H990" s="330">
        <f>IF(($L$1-(C974+C975+C976+C977))&gt;12,0,F971*8%)</f>
        <v>0</v>
      </c>
      <c r="I990" s="330"/>
      <c r="J990" s="330"/>
      <c r="K990" s="98" t="s">
        <v>53</v>
      </c>
      <c r="M990" s="330" t="s">
        <v>86</v>
      </c>
      <c r="N990" s="330"/>
      <c r="O990" s="330"/>
      <c r="P990" s="330"/>
      <c r="Q990" s="330"/>
      <c r="R990" s="330"/>
      <c r="S990" s="98" t="s">
        <v>47</v>
      </c>
      <c r="T990" s="330">
        <f>IF(($L$1-(O974+O975+O976+O977))&gt;12,0,R971*8%)</f>
        <v>0</v>
      </c>
      <c r="U990" s="330"/>
      <c r="V990" s="330"/>
      <c r="W990" s="98" t="s">
        <v>53</v>
      </c>
    </row>
    <row r="991" spans="1:24" ht="18.75" customHeight="1">
      <c r="A991" s="330" t="s">
        <v>87</v>
      </c>
      <c r="B991" s="330"/>
      <c r="C991" s="330"/>
      <c r="D991" s="330"/>
      <c r="E991" s="330"/>
      <c r="F991" s="330"/>
      <c r="G991" s="98" t="s">
        <v>47</v>
      </c>
      <c r="H991" s="330">
        <f>IF(($L$1-(C974+C975+C976+C977))&gt;12,0,F971*1.5%)</f>
        <v>0</v>
      </c>
      <c r="I991" s="330"/>
      <c r="J991" s="330"/>
      <c r="K991" s="98" t="s">
        <v>53</v>
      </c>
      <c r="M991" s="330" t="s">
        <v>87</v>
      </c>
      <c r="N991" s="330"/>
      <c r="O991" s="330"/>
      <c r="P991" s="330"/>
      <c r="Q991" s="330"/>
      <c r="R991" s="330"/>
      <c r="S991" s="98" t="s">
        <v>47</v>
      </c>
      <c r="T991" s="330">
        <f>IF(($L$1-(O974+O975+O976+O977))&gt;12,0,R971*1.5%)</f>
        <v>0</v>
      </c>
      <c r="U991" s="330"/>
      <c r="V991" s="330"/>
      <c r="W991" s="98" t="s">
        <v>53</v>
      </c>
    </row>
    <row r="992" spans="1:24" ht="18.75" customHeight="1">
      <c r="A992" s="330" t="s">
        <v>88</v>
      </c>
      <c r="B992" s="330"/>
      <c r="C992" s="330"/>
      <c r="D992" s="330"/>
      <c r="E992" s="330"/>
      <c r="F992" s="330"/>
      <c r="G992" s="98" t="s">
        <v>47</v>
      </c>
      <c r="H992" s="330">
        <f>IF(($L$1-(C974+C975+C976+C977))&gt;12,0,F971*1%)</f>
        <v>0</v>
      </c>
      <c r="I992" s="330"/>
      <c r="J992" s="330"/>
      <c r="K992" s="98" t="s">
        <v>53</v>
      </c>
      <c r="M992" s="330" t="s">
        <v>88</v>
      </c>
      <c r="N992" s="330"/>
      <c r="O992" s="330"/>
      <c r="P992" s="330"/>
      <c r="Q992" s="330"/>
      <c r="R992" s="330"/>
      <c r="S992" s="98" t="s">
        <v>47</v>
      </c>
      <c r="T992" s="330">
        <f>IF(($L$1-(O974+O975+O976+O977))&gt;12,0,R971*1%)</f>
        <v>0</v>
      </c>
      <c r="U992" s="330"/>
      <c r="V992" s="330"/>
      <c r="W992" s="98" t="s">
        <v>53</v>
      </c>
    </row>
    <row r="993" spans="1:24" ht="18.75" customHeight="1">
      <c r="A993" s="330" t="s">
        <v>89</v>
      </c>
      <c r="B993" s="330"/>
      <c r="C993" s="330"/>
      <c r="D993" s="330"/>
      <c r="E993" s="330"/>
      <c r="F993" s="330"/>
      <c r="G993" s="98" t="s">
        <v>47</v>
      </c>
      <c r="H993" s="330">
        <v>0</v>
      </c>
      <c r="I993" s="330"/>
      <c r="J993" s="330"/>
      <c r="K993" s="98" t="s">
        <v>53</v>
      </c>
      <c r="M993" s="330" t="s">
        <v>89</v>
      </c>
      <c r="N993" s="330"/>
      <c r="O993" s="330"/>
      <c r="P993" s="330"/>
      <c r="Q993" s="330"/>
      <c r="R993" s="330"/>
      <c r="S993" s="98" t="s">
        <v>47</v>
      </c>
      <c r="T993" s="330">
        <v>0</v>
      </c>
      <c r="U993" s="330"/>
      <c r="V993" s="330"/>
      <c r="W993" s="98" t="s">
        <v>53</v>
      </c>
    </row>
    <row r="994" spans="1:24" ht="18.75" customHeight="1">
      <c r="A994" s="330" t="s">
        <v>90</v>
      </c>
      <c r="B994" s="330"/>
      <c r="C994" s="330"/>
      <c r="D994" s="330"/>
      <c r="E994" s="330"/>
      <c r="F994" s="330"/>
      <c r="G994" s="98" t="s">
        <v>47</v>
      </c>
      <c r="H994" s="330">
        <f>SUM(H990:J993)</f>
        <v>0</v>
      </c>
      <c r="I994" s="330"/>
      <c r="J994" s="330"/>
      <c r="K994" s="98" t="s">
        <v>53</v>
      </c>
      <c r="M994" s="330" t="s">
        <v>90</v>
      </c>
      <c r="N994" s="330"/>
      <c r="O994" s="330"/>
      <c r="P994" s="330"/>
      <c r="Q994" s="330"/>
      <c r="R994" s="330"/>
      <c r="S994" s="98" t="s">
        <v>47</v>
      </c>
      <c r="T994" s="330">
        <f>SUM(T990:V993)</f>
        <v>0</v>
      </c>
      <c r="U994" s="330"/>
      <c r="V994" s="330"/>
      <c r="W994" s="98" t="s">
        <v>53</v>
      </c>
    </row>
    <row r="995" spans="1:24" ht="18.75" customHeight="1">
      <c r="A995" s="330" t="s">
        <v>91</v>
      </c>
      <c r="B995" s="330"/>
      <c r="C995" s="330"/>
      <c r="D995" s="330"/>
      <c r="E995" s="330"/>
      <c r="F995" s="330"/>
      <c r="G995" s="98" t="s">
        <v>47</v>
      </c>
      <c r="H995" s="330" t="e">
        <f>ROUND(H987-H994,-2)</f>
        <v>#DIV/0!</v>
      </c>
      <c r="I995" s="330"/>
      <c r="J995" s="330"/>
      <c r="K995" s="98" t="s">
        <v>53</v>
      </c>
      <c r="M995" s="330" t="s">
        <v>91</v>
      </c>
      <c r="N995" s="330"/>
      <c r="O995" s="330"/>
      <c r="P995" s="330"/>
      <c r="Q995" s="330"/>
      <c r="R995" s="330"/>
      <c r="S995" s="98" t="s">
        <v>47</v>
      </c>
      <c r="T995" s="330" t="e">
        <f>ROUND(T987-T994,-2)</f>
        <v>#DIV/0!</v>
      </c>
      <c r="U995" s="330"/>
      <c r="V995" s="330"/>
      <c r="W995" s="98" t="s">
        <v>53</v>
      </c>
    </row>
    <row r="996" spans="1:24" ht="18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</row>
    <row r="997" spans="1:24" ht="18.75" customHeight="1">
      <c r="A997" s="98"/>
      <c r="B997" s="98"/>
      <c r="C997" s="98"/>
      <c r="D997" s="98"/>
      <c r="E997" s="98"/>
      <c r="F997" s="98"/>
      <c r="G997" s="98"/>
      <c r="H997" s="98"/>
      <c r="I997" s="330" t="s">
        <v>92</v>
      </c>
      <c r="J997" s="330"/>
      <c r="K997" s="330"/>
      <c r="M997" s="98"/>
      <c r="N997" s="98"/>
      <c r="O997" s="98"/>
      <c r="P997" s="98"/>
      <c r="Q997" s="98"/>
      <c r="R997" s="98"/>
      <c r="S997" s="98"/>
      <c r="T997" s="98"/>
      <c r="U997" s="330" t="s">
        <v>92</v>
      </c>
      <c r="V997" s="330"/>
      <c r="W997" s="330"/>
    </row>
    <row r="998" spans="1:24" ht="18.75" customHeight="1">
      <c r="A998" s="98"/>
      <c r="B998" s="330"/>
      <c r="C998" s="330"/>
      <c r="D998" s="330"/>
      <c r="E998" s="330"/>
      <c r="F998" s="98"/>
      <c r="G998" s="98"/>
      <c r="H998" s="98"/>
      <c r="I998" s="98"/>
      <c r="J998" s="98"/>
      <c r="K998" s="98"/>
      <c r="M998" s="98"/>
      <c r="N998" s="330"/>
      <c r="O998" s="330"/>
      <c r="P998" s="330"/>
      <c r="Q998" s="330"/>
      <c r="R998" s="98"/>
      <c r="S998" s="98"/>
      <c r="T998" s="98"/>
      <c r="U998" s="98"/>
      <c r="V998" s="98"/>
      <c r="W998" s="98"/>
    </row>
    <row r="999" spans="1:24" ht="18.75" customHeight="1">
      <c r="A999" s="98"/>
      <c r="B999" s="98"/>
      <c r="C999" s="98"/>
      <c r="D999" s="98"/>
      <c r="E999" s="98"/>
      <c r="F999" s="98"/>
      <c r="G999" s="98"/>
      <c r="H999" s="98"/>
      <c r="I999" s="330" t="s">
        <v>93</v>
      </c>
      <c r="J999" s="330"/>
      <c r="K999" s="330"/>
      <c r="M999" s="98"/>
      <c r="N999" s="98"/>
      <c r="O999" s="98"/>
      <c r="P999" s="98"/>
      <c r="Q999" s="98"/>
      <c r="R999" s="98"/>
      <c r="S999" s="98"/>
      <c r="T999" s="98"/>
      <c r="U999" s="330" t="s">
        <v>93</v>
      </c>
      <c r="V999" s="330"/>
      <c r="W999" s="330"/>
    </row>
    <row r="1001" spans="1:24" ht="18.75" customHeight="1">
      <c r="A1001" s="330" t="s">
        <v>41</v>
      </c>
      <c r="B1001" s="330"/>
      <c r="C1001" s="330"/>
      <c r="D1001" s="330"/>
      <c r="E1001" s="330"/>
      <c r="F1001" s="330"/>
      <c r="G1001" s="330"/>
      <c r="H1001" s="330"/>
      <c r="I1001" s="330"/>
      <c r="J1001" s="330"/>
      <c r="K1001" s="330"/>
      <c r="L1001" s="98">
        <v>24</v>
      </c>
      <c r="M1001" s="330" t="s">
        <v>41</v>
      </c>
      <c r="N1001" s="330"/>
      <c r="O1001" s="330"/>
      <c r="P1001" s="330"/>
      <c r="Q1001" s="330"/>
      <c r="R1001" s="330"/>
      <c r="S1001" s="330"/>
      <c r="T1001" s="330"/>
      <c r="U1001" s="330"/>
      <c r="V1001" s="330"/>
      <c r="W1001" s="330"/>
      <c r="X1001" s="98">
        <v>24</v>
      </c>
    </row>
    <row r="1002" spans="1:24" ht="18.75" customHeight="1">
      <c r="A1002" s="98" t="s">
        <v>162</v>
      </c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M1002" s="98" t="s">
        <v>163</v>
      </c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</row>
    <row r="1003" spans="1:24" ht="18.75" customHeight="1">
      <c r="A1003" s="330" t="s">
        <v>45</v>
      </c>
      <c r="B1003" s="330"/>
      <c r="C1003" s="330"/>
      <c r="D1003" s="330"/>
      <c r="E1003" s="330"/>
      <c r="F1003" s="330"/>
      <c r="G1003" s="330"/>
      <c r="H1003" s="330"/>
      <c r="I1003" s="330"/>
      <c r="J1003" s="330"/>
      <c r="K1003" s="330"/>
      <c r="M1003" s="330" t="s">
        <v>45</v>
      </c>
      <c r="N1003" s="330"/>
      <c r="O1003" s="330"/>
      <c r="P1003" s="330"/>
      <c r="Q1003" s="330"/>
      <c r="R1003" s="330"/>
      <c r="S1003" s="330"/>
      <c r="T1003" s="330"/>
      <c r="U1003" s="330"/>
      <c r="V1003" s="330"/>
      <c r="W1003" s="330"/>
    </row>
    <row r="1004" spans="1:24" ht="18.75" customHeight="1">
      <c r="A1004" s="330" t="s">
        <v>46</v>
      </c>
      <c r="B1004" s="330"/>
      <c r="C1004" s="330"/>
      <c r="D1004" s="330"/>
      <c r="E1004" s="98" t="s">
        <v>47</v>
      </c>
      <c r="F1004" s="330"/>
      <c r="G1004" s="330"/>
      <c r="H1004" s="330"/>
      <c r="I1004" s="330"/>
      <c r="J1004" s="330"/>
      <c r="K1004" s="330"/>
      <c r="M1004" s="330" t="s">
        <v>46</v>
      </c>
      <c r="N1004" s="330"/>
      <c r="O1004" s="330"/>
      <c r="P1004" s="330"/>
      <c r="Q1004" s="98" t="s">
        <v>47</v>
      </c>
      <c r="R1004" s="330"/>
      <c r="S1004" s="330"/>
      <c r="T1004" s="330"/>
      <c r="U1004" s="330"/>
      <c r="V1004" s="330"/>
      <c r="W1004" s="330"/>
    </row>
    <row r="1005" spans="1:24" ht="18.75" customHeight="1">
      <c r="A1005" s="330" t="s">
        <v>49</v>
      </c>
      <c r="B1005" s="330"/>
      <c r="C1005" s="330"/>
      <c r="D1005" s="330"/>
      <c r="E1005" s="98" t="s">
        <v>47</v>
      </c>
      <c r="F1005" s="330"/>
      <c r="G1005" s="330"/>
      <c r="H1005" s="330"/>
      <c r="I1005" s="330"/>
      <c r="J1005" s="330"/>
      <c r="K1005" s="330"/>
      <c r="M1005" s="330" t="s">
        <v>49</v>
      </c>
      <c r="N1005" s="330"/>
      <c r="O1005" s="330"/>
      <c r="P1005" s="330"/>
      <c r="Q1005" s="98" t="s">
        <v>47</v>
      </c>
      <c r="R1005" s="330"/>
      <c r="S1005" s="330"/>
      <c r="T1005" s="330"/>
      <c r="U1005" s="330"/>
      <c r="V1005" s="330"/>
      <c r="W1005" s="330"/>
    </row>
    <row r="1006" spans="1:24" ht="18.75" customHeight="1">
      <c r="A1006" s="330" t="s">
        <v>50</v>
      </c>
      <c r="B1006" s="330"/>
      <c r="C1006" s="330"/>
      <c r="D1006" s="330"/>
      <c r="E1006" s="98" t="s">
        <v>47</v>
      </c>
      <c r="F1006" s="330" t="s">
        <v>121</v>
      </c>
      <c r="G1006" s="330"/>
      <c r="H1006" s="330"/>
      <c r="I1006" s="330"/>
      <c r="J1006" s="330"/>
      <c r="K1006" s="330"/>
      <c r="M1006" s="330" t="s">
        <v>50</v>
      </c>
      <c r="N1006" s="330"/>
      <c r="O1006" s="330"/>
      <c r="P1006" s="330"/>
      <c r="Q1006" s="98" t="s">
        <v>47</v>
      </c>
      <c r="R1006" s="330" t="s">
        <v>121</v>
      </c>
      <c r="S1006" s="330"/>
      <c r="T1006" s="330"/>
      <c r="U1006" s="330"/>
      <c r="V1006" s="330"/>
      <c r="W1006" s="330"/>
    </row>
    <row r="1007" spans="1:24" ht="18.75" customHeight="1">
      <c r="A1007" s="330" t="s">
        <v>51</v>
      </c>
      <c r="B1007" s="330"/>
      <c r="C1007" s="330"/>
      <c r="D1007" s="330"/>
      <c r="E1007" s="330"/>
      <c r="F1007" s="330"/>
      <c r="G1007" s="330"/>
      <c r="H1007" s="330"/>
      <c r="I1007" s="330"/>
      <c r="J1007" s="330"/>
      <c r="K1007" s="330"/>
      <c r="M1007" s="330" t="s">
        <v>51</v>
      </c>
      <c r="N1007" s="330"/>
      <c r="O1007" s="330"/>
      <c r="P1007" s="330"/>
      <c r="Q1007" s="330"/>
      <c r="R1007" s="330"/>
      <c r="S1007" s="330"/>
      <c r="T1007" s="330"/>
      <c r="U1007" s="330"/>
      <c r="V1007" s="330"/>
      <c r="W1007" s="330"/>
    </row>
    <row r="1008" spans="1:24" ht="18.75" customHeight="1">
      <c r="A1008" s="330" t="s">
        <v>52</v>
      </c>
      <c r="B1008" s="330"/>
      <c r="C1008" s="330"/>
      <c r="D1008" s="330"/>
      <c r="E1008" s="98" t="s">
        <v>47</v>
      </c>
      <c r="F1008" s="330">
        <v>2915400</v>
      </c>
      <c r="G1008" s="330"/>
      <c r="H1008" s="330"/>
      <c r="I1008" s="330"/>
      <c r="J1008" s="98" t="s">
        <v>53</v>
      </c>
      <c r="K1008" s="98"/>
      <c r="M1008" s="330" t="s">
        <v>52</v>
      </c>
      <c r="N1008" s="330"/>
      <c r="O1008" s="330"/>
      <c r="P1008" s="330"/>
      <c r="Q1008" s="98" t="s">
        <v>47</v>
      </c>
      <c r="R1008" s="330">
        <v>2915400</v>
      </c>
      <c r="S1008" s="330"/>
      <c r="T1008" s="330"/>
      <c r="U1008" s="330"/>
      <c r="V1008" s="98" t="s">
        <v>53</v>
      </c>
      <c r="W1008" s="98"/>
    </row>
    <row r="1009" spans="1:24" ht="18.75" customHeight="1">
      <c r="A1009" s="98" t="s">
        <v>54</v>
      </c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M1009" s="98" t="s">
        <v>54</v>
      </c>
      <c r="N1009" s="98"/>
      <c r="O1009" s="98"/>
      <c r="P1009" s="98"/>
      <c r="Q1009" s="98"/>
      <c r="R1009" s="98"/>
      <c r="S1009" s="98"/>
      <c r="T1009" s="98"/>
      <c r="U1009" s="98"/>
      <c r="V1009" s="98"/>
      <c r="W1009" s="98"/>
    </row>
    <row r="1010" spans="1:24" ht="18.75" customHeight="1">
      <c r="A1010" s="98" t="s">
        <v>55</v>
      </c>
      <c r="B1010" s="98"/>
      <c r="C1010" s="98"/>
      <c r="D1010" s="98"/>
      <c r="E1010" s="98"/>
      <c r="F1010" s="98"/>
      <c r="G1010" s="98"/>
      <c r="H1010" s="98"/>
      <c r="I1010" s="98" t="e">
        <f>I1011/C1011/8</f>
        <v>#DIV/0!</v>
      </c>
      <c r="J1010" s="98"/>
      <c r="K1010" s="98"/>
      <c r="M1010" s="98" t="s">
        <v>55</v>
      </c>
      <c r="N1010" s="98"/>
      <c r="O1010" s="98"/>
      <c r="P1010" s="98"/>
      <c r="Q1010" s="98"/>
      <c r="R1010" s="98"/>
      <c r="S1010" s="98"/>
      <c r="T1010" s="98"/>
      <c r="U1010" s="98" t="e">
        <f>U1011/O1011/8</f>
        <v>#DIV/0!</v>
      </c>
      <c r="V1010" s="98"/>
      <c r="W1010" s="98"/>
    </row>
    <row r="1011" spans="1:24" ht="18.75" customHeight="1">
      <c r="A1011" s="98" t="s">
        <v>56</v>
      </c>
      <c r="B1011" s="98" t="s">
        <v>47</v>
      </c>
      <c r="C1011" s="98"/>
      <c r="D1011" s="98" t="s">
        <v>57</v>
      </c>
      <c r="E1011" s="330" t="s">
        <v>58</v>
      </c>
      <c r="F1011" s="330"/>
      <c r="G1011" s="330"/>
      <c r="H1011" s="98" t="s">
        <v>47</v>
      </c>
      <c r="I1011" s="330" t="e">
        <f>I1009*680/((C1011-C1018)*8+C1018*7+C1015)*((C1011-C1018)*8+C1018*7)</f>
        <v>#DIV/0!</v>
      </c>
      <c r="J1011" s="330"/>
      <c r="K1011" s="98" t="s">
        <v>53</v>
      </c>
      <c r="L1011" s="98">
        <f>F1008/L1001*C1011</f>
        <v>0</v>
      </c>
      <c r="M1011" s="98" t="s">
        <v>56</v>
      </c>
      <c r="N1011" s="98" t="s">
        <v>47</v>
      </c>
      <c r="O1011" s="98"/>
      <c r="P1011" s="98" t="s">
        <v>57</v>
      </c>
      <c r="Q1011" s="330" t="s">
        <v>58</v>
      </c>
      <c r="R1011" s="330"/>
      <c r="S1011" s="330"/>
      <c r="T1011" s="98" t="s">
        <v>47</v>
      </c>
      <c r="U1011" s="330" t="e">
        <f>U1009*680/((O1011-O1018)*8+O1018*7+O1015)*((O1011-O1018)*8+O1018*7)</f>
        <v>#DIV/0!</v>
      </c>
      <c r="V1011" s="330"/>
      <c r="W1011" s="98" t="s">
        <v>53</v>
      </c>
      <c r="X1011" s="98">
        <f>R1008/X1001*O1011</f>
        <v>0</v>
      </c>
    </row>
    <row r="1012" spans="1:24" ht="18.75" customHeight="1">
      <c r="A1012" s="98" t="s">
        <v>59</v>
      </c>
      <c r="B1012" s="98" t="s">
        <v>47</v>
      </c>
      <c r="C1012" s="98"/>
      <c r="D1012" s="98" t="s">
        <v>57</v>
      </c>
      <c r="E1012" s="330" t="s">
        <v>60</v>
      </c>
      <c r="F1012" s="330"/>
      <c r="G1012" s="330"/>
      <c r="H1012" s="98" t="s">
        <v>47</v>
      </c>
      <c r="I1012" s="330">
        <f>$F$8/$L$1*C1012</f>
        <v>0</v>
      </c>
      <c r="J1012" s="330"/>
      <c r="K1012" s="98" t="s">
        <v>53</v>
      </c>
      <c r="L1012" s="98"/>
      <c r="M1012" s="98" t="s">
        <v>59</v>
      </c>
      <c r="N1012" s="98" t="s">
        <v>47</v>
      </c>
      <c r="O1012" s="98"/>
      <c r="P1012" s="98" t="s">
        <v>57</v>
      </c>
      <c r="Q1012" s="330" t="s">
        <v>60</v>
      </c>
      <c r="R1012" s="330"/>
      <c r="S1012" s="330"/>
      <c r="T1012" s="98" t="s">
        <v>47</v>
      </c>
      <c r="U1012" s="330">
        <f>$F$8/$L$1*O1012</f>
        <v>0</v>
      </c>
      <c r="V1012" s="330"/>
      <c r="W1012" s="98" t="s">
        <v>53</v>
      </c>
      <c r="X1012" s="98"/>
    </row>
    <row r="1013" spans="1:24" ht="18.75" customHeight="1">
      <c r="A1013" s="98" t="s">
        <v>61</v>
      </c>
      <c r="B1013" s="98" t="s">
        <v>47</v>
      </c>
      <c r="C1013" s="98"/>
      <c r="D1013" s="98" t="s">
        <v>57</v>
      </c>
      <c r="E1013" s="330" t="s">
        <v>62</v>
      </c>
      <c r="F1013" s="330"/>
      <c r="G1013" s="330"/>
      <c r="H1013" s="98" t="s">
        <v>47</v>
      </c>
      <c r="I1013" s="330">
        <f>$F$8/$L$1*C1013</f>
        <v>0</v>
      </c>
      <c r="J1013" s="330"/>
      <c r="K1013" s="98" t="s">
        <v>53</v>
      </c>
      <c r="L1013" s="98"/>
      <c r="M1013" s="98" t="s">
        <v>61</v>
      </c>
      <c r="N1013" s="98" t="s">
        <v>47</v>
      </c>
      <c r="O1013" s="98"/>
      <c r="P1013" s="98" t="s">
        <v>57</v>
      </c>
      <c r="Q1013" s="330" t="s">
        <v>62</v>
      </c>
      <c r="R1013" s="330"/>
      <c r="S1013" s="330"/>
      <c r="T1013" s="98" t="s">
        <v>47</v>
      </c>
      <c r="U1013" s="330">
        <f>$F$8/$L$1*O1013</f>
        <v>0</v>
      </c>
      <c r="V1013" s="330"/>
      <c r="W1013" s="98" t="s">
        <v>53</v>
      </c>
      <c r="X1013" s="98"/>
    </row>
    <row r="1014" spans="1:24" ht="18.75" customHeight="1">
      <c r="A1014" s="98" t="s">
        <v>63</v>
      </c>
      <c r="B1014" s="98" t="s">
        <v>47</v>
      </c>
      <c r="C1014" s="98"/>
      <c r="D1014" s="98" t="s">
        <v>57</v>
      </c>
      <c r="E1014" s="330" t="s">
        <v>64</v>
      </c>
      <c r="F1014" s="330"/>
      <c r="G1014" s="330"/>
      <c r="H1014" s="98" t="s">
        <v>47</v>
      </c>
      <c r="I1014" s="330">
        <f>$F$8/$L$1*C1014</f>
        <v>0</v>
      </c>
      <c r="J1014" s="330"/>
      <c r="K1014" s="98" t="s">
        <v>53</v>
      </c>
      <c r="L1014" s="98"/>
      <c r="M1014" s="98" t="s">
        <v>63</v>
      </c>
      <c r="N1014" s="98" t="s">
        <v>47</v>
      </c>
      <c r="O1014" s="98"/>
      <c r="P1014" s="98" t="s">
        <v>57</v>
      </c>
      <c r="Q1014" s="330" t="s">
        <v>64</v>
      </c>
      <c r="R1014" s="330"/>
      <c r="S1014" s="330"/>
      <c r="T1014" s="98" t="s">
        <v>47</v>
      </c>
      <c r="U1014" s="330">
        <f>$F$8/$L$1*O1014</f>
        <v>0</v>
      </c>
      <c r="V1014" s="330"/>
      <c r="W1014" s="98" t="s">
        <v>53</v>
      </c>
      <c r="X1014" s="98"/>
    </row>
    <row r="1015" spans="1:24" ht="18.75" customHeight="1">
      <c r="A1015" s="98" t="s">
        <v>65</v>
      </c>
      <c r="B1015" s="98" t="s">
        <v>47</v>
      </c>
      <c r="C1015" s="98"/>
      <c r="D1015" s="98" t="s">
        <v>66</v>
      </c>
      <c r="E1015" s="330" t="s">
        <v>67</v>
      </c>
      <c r="F1015" s="330"/>
      <c r="G1015" s="330"/>
      <c r="H1015" s="98" t="s">
        <v>47</v>
      </c>
      <c r="I1015" s="330" t="e">
        <f>I1011/C1011/8*C1015</f>
        <v>#DIV/0!</v>
      </c>
      <c r="J1015" s="330"/>
      <c r="K1015" s="98" t="s">
        <v>53</v>
      </c>
      <c r="L1015" s="98">
        <f>F1008*C1015/L1001/8*1.5</f>
        <v>0</v>
      </c>
      <c r="M1015" s="98" t="s">
        <v>65</v>
      </c>
      <c r="N1015" s="98" t="s">
        <v>47</v>
      </c>
      <c r="O1015" s="98"/>
      <c r="P1015" s="98" t="s">
        <v>66</v>
      </c>
      <c r="Q1015" s="330" t="s">
        <v>67</v>
      </c>
      <c r="R1015" s="330"/>
      <c r="S1015" s="330"/>
      <c r="T1015" s="98" t="s">
        <v>47</v>
      </c>
      <c r="U1015" s="330" t="e">
        <f>U1011/O1011/8*O1015</f>
        <v>#DIV/0!</v>
      </c>
      <c r="V1015" s="330"/>
      <c r="W1015" s="98" t="s">
        <v>53</v>
      </c>
      <c r="X1015" s="98">
        <f>R1008*O1015/X1001/8*1.5</f>
        <v>0</v>
      </c>
    </row>
    <row r="1016" spans="1:24" ht="18.75" customHeight="1">
      <c r="A1016" s="330" t="s">
        <v>68</v>
      </c>
      <c r="B1016" s="330"/>
      <c r="C1016" s="98"/>
      <c r="D1016" s="98" t="s">
        <v>57</v>
      </c>
      <c r="E1016" s="330" t="s">
        <v>69</v>
      </c>
      <c r="F1016" s="330"/>
      <c r="G1016" s="330"/>
      <c r="H1016" s="98" t="s">
        <v>47</v>
      </c>
      <c r="I1016" s="330"/>
      <c r="J1016" s="330"/>
      <c r="K1016" s="98" t="s">
        <v>53</v>
      </c>
      <c r="L1016" s="98"/>
      <c r="M1016" s="330" t="s">
        <v>68</v>
      </c>
      <c r="N1016" s="330"/>
      <c r="O1016" s="98"/>
      <c r="P1016" s="98" t="s">
        <v>57</v>
      </c>
      <c r="Q1016" s="330" t="s">
        <v>69</v>
      </c>
      <c r="R1016" s="330"/>
      <c r="S1016" s="330"/>
      <c r="T1016" s="98" t="s">
        <v>47</v>
      </c>
      <c r="U1016" s="330"/>
      <c r="V1016" s="330"/>
      <c r="W1016" s="98" t="s">
        <v>53</v>
      </c>
      <c r="X1016" s="98"/>
    </row>
    <row r="1017" spans="1:24" ht="18.75" customHeight="1">
      <c r="A1017" s="98" t="s">
        <v>70</v>
      </c>
      <c r="B1017" s="98" t="s">
        <v>47</v>
      </c>
      <c r="C1017" s="98"/>
      <c r="D1017" s="98" t="s">
        <v>57</v>
      </c>
      <c r="E1017" s="330" t="s">
        <v>71</v>
      </c>
      <c r="F1017" s="330"/>
      <c r="G1017" s="330"/>
      <c r="H1017" s="98" t="s">
        <v>47</v>
      </c>
      <c r="I1017" s="330"/>
      <c r="J1017" s="330"/>
      <c r="K1017" s="98" t="s">
        <v>53</v>
      </c>
      <c r="L1017" s="98"/>
      <c r="M1017" s="98" t="s">
        <v>70</v>
      </c>
      <c r="N1017" s="98" t="s">
        <v>47</v>
      </c>
      <c r="O1017" s="98"/>
      <c r="P1017" s="98" t="s">
        <v>57</v>
      </c>
      <c r="Q1017" s="330" t="s">
        <v>71</v>
      </c>
      <c r="R1017" s="330"/>
      <c r="S1017" s="330"/>
      <c r="T1017" s="98" t="s">
        <v>47</v>
      </c>
      <c r="U1017" s="330"/>
      <c r="V1017" s="330"/>
      <c r="W1017" s="98" t="s">
        <v>53</v>
      </c>
      <c r="X1017" s="98"/>
    </row>
    <row r="1018" spans="1:24" ht="18.75" customHeight="1">
      <c r="A1018" s="98" t="s">
        <v>72</v>
      </c>
      <c r="B1018" s="98"/>
      <c r="C1018" s="98"/>
      <c r="D1018" s="98" t="s">
        <v>66</v>
      </c>
      <c r="E1018" s="330" t="s">
        <v>73</v>
      </c>
      <c r="F1018" s="330"/>
      <c r="G1018" s="330"/>
      <c r="H1018" s="98" t="s">
        <v>47</v>
      </c>
      <c r="I1018" s="330">
        <f>$F$8*C1018/8/$L$1</f>
        <v>0</v>
      </c>
      <c r="J1018" s="330"/>
      <c r="K1018" s="98" t="s">
        <v>53</v>
      </c>
      <c r="L1018" s="98"/>
      <c r="M1018" s="98" t="s">
        <v>72</v>
      </c>
      <c r="N1018" s="98"/>
      <c r="O1018" s="98"/>
      <c r="P1018" s="98" t="s">
        <v>66</v>
      </c>
      <c r="Q1018" s="330" t="s">
        <v>73</v>
      </c>
      <c r="R1018" s="330"/>
      <c r="S1018" s="330"/>
      <c r="T1018" s="98" t="s">
        <v>47</v>
      </c>
      <c r="U1018" s="330">
        <f>$F$8*O1018/8/$L$1</f>
        <v>0</v>
      </c>
      <c r="V1018" s="330"/>
      <c r="W1018" s="98" t="s">
        <v>53</v>
      </c>
      <c r="X1018" s="98"/>
    </row>
    <row r="1019" spans="1:24" ht="18.75" customHeight="1">
      <c r="A1019" s="98" t="s">
        <v>74</v>
      </c>
      <c r="B1019" s="98" t="s">
        <v>47</v>
      </c>
      <c r="C1019" s="98"/>
      <c r="D1019" s="98" t="s">
        <v>66</v>
      </c>
      <c r="E1019" s="330" t="s">
        <v>98</v>
      </c>
      <c r="F1019" s="330"/>
      <c r="G1019" s="330"/>
      <c r="H1019" s="98" t="s">
        <v>47</v>
      </c>
      <c r="I1019" s="330"/>
      <c r="J1019" s="330"/>
      <c r="K1019" s="98" t="s">
        <v>53</v>
      </c>
      <c r="L1019" s="98"/>
      <c r="M1019" s="98" t="s">
        <v>74</v>
      </c>
      <c r="N1019" s="98" t="s">
        <v>47</v>
      </c>
      <c r="O1019" s="98"/>
      <c r="P1019" s="98" t="s">
        <v>66</v>
      </c>
      <c r="Q1019" s="330" t="s">
        <v>98</v>
      </c>
      <c r="R1019" s="330"/>
      <c r="S1019" s="330"/>
      <c r="T1019" s="98" t="s">
        <v>47</v>
      </c>
      <c r="U1019" s="330"/>
      <c r="V1019" s="330"/>
      <c r="W1019" s="98" t="s">
        <v>53</v>
      </c>
      <c r="X1019" s="98"/>
    </row>
    <row r="1020" spans="1:24" ht="18.75" customHeight="1">
      <c r="A1020" s="98" t="s">
        <v>76</v>
      </c>
      <c r="B1020" s="98" t="s">
        <v>47</v>
      </c>
      <c r="C1020" s="98"/>
      <c r="D1020" s="98" t="s">
        <v>77</v>
      </c>
      <c r="E1020" s="98" t="s">
        <v>78</v>
      </c>
      <c r="F1020" s="98"/>
      <c r="G1020" s="98"/>
      <c r="H1020" s="98" t="s">
        <v>47</v>
      </c>
      <c r="I1020" s="330"/>
      <c r="J1020" s="330"/>
      <c r="K1020" s="98" t="s">
        <v>53</v>
      </c>
      <c r="L1020" s="98" t="e">
        <f>+IF(L1011-I1011&lt;0,0,L1011-I1011)+IF(L1015-I1015&lt;0,0,L1015-I1015)</f>
        <v>#DIV/0!</v>
      </c>
      <c r="M1020" s="98" t="s">
        <v>76</v>
      </c>
      <c r="N1020" s="98" t="s">
        <v>47</v>
      </c>
      <c r="O1020" s="98"/>
      <c r="P1020" s="98" t="s">
        <v>77</v>
      </c>
      <c r="Q1020" s="98" t="s">
        <v>78</v>
      </c>
      <c r="R1020" s="98"/>
      <c r="S1020" s="98"/>
      <c r="T1020" s="98" t="s">
        <v>47</v>
      </c>
      <c r="U1020" s="330"/>
      <c r="V1020" s="330"/>
      <c r="W1020" s="98" t="s">
        <v>53</v>
      </c>
      <c r="X1020" s="98" t="e">
        <f>+IF(X1011-U1011&lt;0,0,X1011-U1011)+IF(X1015-U1015&lt;0,0,X1015-U1015)</f>
        <v>#DIV/0!</v>
      </c>
    </row>
    <row r="1021" spans="1:24" ht="18.75" customHeight="1">
      <c r="A1021" s="98" t="s">
        <v>122</v>
      </c>
      <c r="B1021" s="98"/>
      <c r="C1021" s="98"/>
      <c r="D1021" s="98" t="s">
        <v>57</v>
      </c>
      <c r="E1021" s="330" t="s">
        <v>123</v>
      </c>
      <c r="F1021" s="330"/>
      <c r="G1021" s="330"/>
      <c r="H1021" s="98" t="s">
        <v>47</v>
      </c>
      <c r="I1021" s="330"/>
      <c r="J1021" s="330"/>
      <c r="K1021" s="98" t="s">
        <v>53</v>
      </c>
      <c r="L1021" s="98"/>
      <c r="M1021" s="98" t="s">
        <v>122</v>
      </c>
      <c r="N1021" s="98"/>
      <c r="O1021" s="98"/>
      <c r="P1021" s="98" t="s">
        <v>57</v>
      </c>
      <c r="Q1021" s="330" t="s">
        <v>123</v>
      </c>
      <c r="R1021" s="330"/>
      <c r="S1021" s="330"/>
      <c r="T1021" s="98" t="s">
        <v>47</v>
      </c>
      <c r="U1021" s="330"/>
      <c r="V1021" s="330"/>
      <c r="W1021" s="98" t="s">
        <v>53</v>
      </c>
      <c r="X1021" s="98"/>
    </row>
    <row r="1022" spans="1:24" ht="18.75" customHeight="1">
      <c r="A1022" s="330" t="s">
        <v>81</v>
      </c>
      <c r="B1022" s="330"/>
      <c r="C1022" s="98"/>
      <c r="D1022" s="98"/>
      <c r="E1022" s="98"/>
      <c r="F1022" s="98"/>
      <c r="G1022" s="98"/>
      <c r="H1022" s="98" t="s">
        <v>47</v>
      </c>
      <c r="I1022" s="330"/>
      <c r="J1022" s="330"/>
      <c r="K1022" s="98" t="s">
        <v>53</v>
      </c>
      <c r="L1022" s="98"/>
      <c r="M1022" s="330" t="s">
        <v>81</v>
      </c>
      <c r="N1022" s="330"/>
      <c r="O1022" s="98"/>
      <c r="P1022" s="98"/>
      <c r="Q1022" s="98"/>
      <c r="R1022" s="98"/>
      <c r="S1022" s="98"/>
      <c r="T1022" s="98" t="s">
        <v>47</v>
      </c>
      <c r="U1022" s="330"/>
      <c r="V1022" s="330"/>
      <c r="W1022" s="98" t="s">
        <v>53</v>
      </c>
      <c r="X1022" s="98"/>
    </row>
    <row r="1023" spans="1:24" ht="18.75" customHeight="1">
      <c r="A1023" s="98" t="s">
        <v>82</v>
      </c>
      <c r="B1023" s="98" t="s">
        <v>47</v>
      </c>
      <c r="C1023" s="98"/>
      <c r="D1023" s="98"/>
      <c r="E1023" s="98" t="s">
        <v>83</v>
      </c>
      <c r="F1023" s="98"/>
      <c r="G1023" s="98"/>
      <c r="H1023" s="98" t="s">
        <v>47</v>
      </c>
      <c r="I1023" s="330" t="e">
        <f>L1020</f>
        <v>#DIV/0!</v>
      </c>
      <c r="J1023" s="330"/>
      <c r="K1023" s="98" t="s">
        <v>53</v>
      </c>
      <c r="L1023" s="98"/>
      <c r="M1023" s="98" t="s">
        <v>82</v>
      </c>
      <c r="N1023" s="98" t="s">
        <v>47</v>
      </c>
      <c r="O1023" s="98"/>
      <c r="P1023" s="98"/>
      <c r="Q1023" s="98" t="s">
        <v>83</v>
      </c>
      <c r="R1023" s="98"/>
      <c r="S1023" s="98"/>
      <c r="T1023" s="98" t="s">
        <v>47</v>
      </c>
      <c r="U1023" s="330" t="e">
        <f>X1020</f>
        <v>#DIV/0!</v>
      </c>
      <c r="V1023" s="330"/>
      <c r="W1023" s="98" t="s">
        <v>53</v>
      </c>
      <c r="X1023" s="98"/>
    </row>
    <row r="1024" spans="1:24" ht="18.75" customHeight="1">
      <c r="A1024" s="330" t="s">
        <v>84</v>
      </c>
      <c r="B1024" s="330"/>
      <c r="C1024" s="330"/>
      <c r="D1024" s="330"/>
      <c r="E1024" s="330"/>
      <c r="F1024" s="330"/>
      <c r="G1024" s="98" t="s">
        <v>47</v>
      </c>
      <c r="H1024" s="330" t="e">
        <f>I1011+I1012+I1013+I1014+I1015+I1018+I1022+I1023</f>
        <v>#DIV/0!</v>
      </c>
      <c r="I1024" s="330"/>
      <c r="J1024" s="330"/>
      <c r="K1024" s="98" t="s">
        <v>53</v>
      </c>
      <c r="M1024" s="330" t="s">
        <v>84</v>
      </c>
      <c r="N1024" s="330"/>
      <c r="O1024" s="330"/>
      <c r="P1024" s="330"/>
      <c r="Q1024" s="330"/>
      <c r="R1024" s="330"/>
      <c r="S1024" s="98" t="s">
        <v>47</v>
      </c>
      <c r="T1024" s="330" t="e">
        <f>U1011+U1012+U1013+U1014+U1015+U1018+U1022+U1023</f>
        <v>#DIV/0!</v>
      </c>
      <c r="U1024" s="330"/>
      <c r="V1024" s="330"/>
      <c r="W1024" s="98" t="s">
        <v>53</v>
      </c>
    </row>
    <row r="1025" spans="1:24" ht="18.75" customHeight="1">
      <c r="A1025" s="98"/>
      <c r="B1025" s="98"/>
      <c r="C1025" s="98"/>
      <c r="D1025" s="98"/>
      <c r="E1025" s="98"/>
      <c r="F1025" s="98"/>
      <c r="G1025" s="98"/>
      <c r="H1025" s="98"/>
      <c r="I1025" s="98"/>
      <c r="J1025" s="98"/>
      <c r="K1025" s="98"/>
      <c r="M1025" s="98"/>
      <c r="N1025" s="98"/>
      <c r="O1025" s="98"/>
      <c r="P1025" s="98"/>
      <c r="Q1025" s="98"/>
      <c r="R1025" s="98"/>
      <c r="S1025" s="98"/>
      <c r="T1025" s="98"/>
      <c r="U1025" s="98"/>
      <c r="V1025" s="98"/>
      <c r="W1025" s="98"/>
    </row>
    <row r="1026" spans="1:24" ht="18.75" customHeight="1">
      <c r="A1026" s="330" t="s">
        <v>85</v>
      </c>
      <c r="B1026" s="330"/>
      <c r="C1026" s="330"/>
      <c r="D1026" s="330"/>
      <c r="E1026" s="330"/>
      <c r="F1026" s="330"/>
      <c r="G1026" s="98"/>
      <c r="H1026" s="98"/>
      <c r="I1026" s="98"/>
      <c r="J1026" s="98"/>
      <c r="K1026" s="98"/>
      <c r="M1026" s="330" t="s">
        <v>85</v>
      </c>
      <c r="N1026" s="330"/>
      <c r="O1026" s="330"/>
      <c r="P1026" s="330"/>
      <c r="Q1026" s="330"/>
      <c r="R1026" s="330"/>
      <c r="S1026" s="98"/>
      <c r="T1026" s="98"/>
      <c r="U1026" s="98"/>
      <c r="V1026" s="98"/>
      <c r="W1026" s="98"/>
    </row>
    <row r="1027" spans="1:24" ht="18.75" customHeight="1">
      <c r="A1027" s="330" t="s">
        <v>86</v>
      </c>
      <c r="B1027" s="330"/>
      <c r="C1027" s="330"/>
      <c r="D1027" s="330"/>
      <c r="E1027" s="330"/>
      <c r="F1027" s="330"/>
      <c r="G1027" s="98" t="s">
        <v>47</v>
      </c>
      <c r="H1027" s="330">
        <f>IF(($L$1-(C1011+C1012+C1013+C1014))&gt;12,0,F1008*8%)</f>
        <v>0</v>
      </c>
      <c r="I1027" s="330"/>
      <c r="J1027" s="330"/>
      <c r="K1027" s="98" t="s">
        <v>53</v>
      </c>
      <c r="M1027" s="330" t="s">
        <v>86</v>
      </c>
      <c r="N1027" s="330"/>
      <c r="O1027" s="330"/>
      <c r="P1027" s="330"/>
      <c r="Q1027" s="330"/>
      <c r="R1027" s="330"/>
      <c r="S1027" s="98" t="s">
        <v>47</v>
      </c>
      <c r="T1027" s="330">
        <f>IF(($L$1-(O1011+O1012+O1013+O1014))&gt;12,0,R1008*8%)</f>
        <v>0</v>
      </c>
      <c r="U1027" s="330"/>
      <c r="V1027" s="330"/>
      <c r="W1027" s="98" t="s">
        <v>53</v>
      </c>
    </row>
    <row r="1028" spans="1:24" ht="18.75" customHeight="1">
      <c r="A1028" s="330" t="s">
        <v>87</v>
      </c>
      <c r="B1028" s="330"/>
      <c r="C1028" s="330"/>
      <c r="D1028" s="330"/>
      <c r="E1028" s="330"/>
      <c r="F1028" s="330"/>
      <c r="G1028" s="98" t="s">
        <v>47</v>
      </c>
      <c r="H1028" s="330">
        <f>IF(($L$1-(C1011+C1012+C1013+C1014))&gt;12,0,F1008*1.5%)</f>
        <v>0</v>
      </c>
      <c r="I1028" s="330"/>
      <c r="J1028" s="330"/>
      <c r="K1028" s="98" t="s">
        <v>53</v>
      </c>
      <c r="M1028" s="330" t="s">
        <v>87</v>
      </c>
      <c r="N1028" s="330"/>
      <c r="O1028" s="330"/>
      <c r="P1028" s="330"/>
      <c r="Q1028" s="330"/>
      <c r="R1028" s="330"/>
      <c r="S1028" s="98" t="s">
        <v>47</v>
      </c>
      <c r="T1028" s="330">
        <f>IF(($L$1-(O1011+O1012+O1013+O1014))&gt;12,0,R1008*1.5%)</f>
        <v>0</v>
      </c>
      <c r="U1028" s="330"/>
      <c r="V1028" s="330"/>
      <c r="W1028" s="98" t="s">
        <v>53</v>
      </c>
    </row>
    <row r="1029" spans="1:24" ht="18.75" customHeight="1">
      <c r="A1029" s="330" t="s">
        <v>88</v>
      </c>
      <c r="B1029" s="330"/>
      <c r="C1029" s="330"/>
      <c r="D1029" s="330"/>
      <c r="E1029" s="330"/>
      <c r="F1029" s="330"/>
      <c r="G1029" s="98" t="s">
        <v>47</v>
      </c>
      <c r="H1029" s="330">
        <f>IF(($L$1-(C1011+C1012+C1013+C1014))&gt;12,0,F1008*1%)</f>
        <v>0</v>
      </c>
      <c r="I1029" s="330"/>
      <c r="J1029" s="330"/>
      <c r="K1029" s="98" t="s">
        <v>53</v>
      </c>
      <c r="M1029" s="330" t="s">
        <v>88</v>
      </c>
      <c r="N1029" s="330"/>
      <c r="O1029" s="330"/>
      <c r="P1029" s="330"/>
      <c r="Q1029" s="330"/>
      <c r="R1029" s="330"/>
      <c r="S1029" s="98" t="s">
        <v>47</v>
      </c>
      <c r="T1029" s="330">
        <f>IF(($L$1-(O1011+O1012+O1013+O1014))&gt;12,0,R1008*1%)</f>
        <v>0</v>
      </c>
      <c r="U1029" s="330"/>
      <c r="V1029" s="330"/>
      <c r="W1029" s="98" t="s">
        <v>53</v>
      </c>
    </row>
    <row r="1030" spans="1:24" ht="18.75" customHeight="1">
      <c r="A1030" s="330" t="s">
        <v>89</v>
      </c>
      <c r="B1030" s="330"/>
      <c r="C1030" s="330"/>
      <c r="D1030" s="330"/>
      <c r="E1030" s="330"/>
      <c r="F1030" s="330"/>
      <c r="G1030" s="98" t="s">
        <v>47</v>
      </c>
      <c r="H1030" s="330">
        <v>0</v>
      </c>
      <c r="I1030" s="330"/>
      <c r="J1030" s="330"/>
      <c r="K1030" s="98" t="s">
        <v>53</v>
      </c>
      <c r="M1030" s="330" t="s">
        <v>89</v>
      </c>
      <c r="N1030" s="330"/>
      <c r="O1030" s="330"/>
      <c r="P1030" s="330"/>
      <c r="Q1030" s="330"/>
      <c r="R1030" s="330"/>
      <c r="S1030" s="98" t="s">
        <v>47</v>
      </c>
      <c r="T1030" s="330">
        <v>0</v>
      </c>
      <c r="U1030" s="330"/>
      <c r="V1030" s="330"/>
      <c r="W1030" s="98" t="s">
        <v>53</v>
      </c>
    </row>
    <row r="1031" spans="1:24" ht="18.75" customHeight="1">
      <c r="A1031" s="330" t="s">
        <v>90</v>
      </c>
      <c r="B1031" s="330"/>
      <c r="C1031" s="330"/>
      <c r="D1031" s="330"/>
      <c r="E1031" s="330"/>
      <c r="F1031" s="330"/>
      <c r="G1031" s="98" t="s">
        <v>47</v>
      </c>
      <c r="H1031" s="330">
        <f>SUM(H1027:J1030)</f>
        <v>0</v>
      </c>
      <c r="I1031" s="330"/>
      <c r="J1031" s="330"/>
      <c r="K1031" s="98" t="s">
        <v>53</v>
      </c>
      <c r="M1031" s="330" t="s">
        <v>90</v>
      </c>
      <c r="N1031" s="330"/>
      <c r="O1031" s="330"/>
      <c r="P1031" s="330"/>
      <c r="Q1031" s="330"/>
      <c r="R1031" s="330"/>
      <c r="S1031" s="98" t="s">
        <v>47</v>
      </c>
      <c r="T1031" s="330">
        <f>SUM(T1027:V1030)</f>
        <v>0</v>
      </c>
      <c r="U1031" s="330"/>
      <c r="V1031" s="330"/>
      <c r="W1031" s="98" t="s">
        <v>53</v>
      </c>
    </row>
    <row r="1032" spans="1:24" ht="18.75" customHeight="1">
      <c r="A1032" s="330" t="s">
        <v>91</v>
      </c>
      <c r="B1032" s="330"/>
      <c r="C1032" s="330"/>
      <c r="D1032" s="330"/>
      <c r="E1032" s="330"/>
      <c r="F1032" s="330"/>
      <c r="G1032" s="98" t="s">
        <v>47</v>
      </c>
      <c r="H1032" s="330" t="e">
        <f>ROUND(H1024-H1031,-2)</f>
        <v>#DIV/0!</v>
      </c>
      <c r="I1032" s="330"/>
      <c r="J1032" s="330"/>
      <c r="K1032" s="98" t="s">
        <v>53</v>
      </c>
      <c r="M1032" s="330" t="s">
        <v>91</v>
      </c>
      <c r="N1032" s="330"/>
      <c r="O1032" s="330"/>
      <c r="P1032" s="330"/>
      <c r="Q1032" s="330"/>
      <c r="R1032" s="330"/>
      <c r="S1032" s="98" t="s">
        <v>47</v>
      </c>
      <c r="T1032" s="330" t="e">
        <f>ROUND(T1024-T1031,-2)</f>
        <v>#DIV/0!</v>
      </c>
      <c r="U1032" s="330"/>
      <c r="V1032" s="330"/>
      <c r="W1032" s="98" t="s">
        <v>53</v>
      </c>
    </row>
    <row r="1033" spans="1:24" ht="18.75" customHeight="1">
      <c r="A1033" s="98"/>
      <c r="B1033" s="98"/>
      <c r="C1033" s="98"/>
      <c r="D1033" s="98"/>
      <c r="E1033" s="98"/>
      <c r="F1033" s="98"/>
      <c r="G1033" s="98"/>
      <c r="H1033" s="98"/>
      <c r="I1033" s="98"/>
      <c r="J1033" s="98"/>
      <c r="K1033" s="98"/>
      <c r="M1033" s="98"/>
      <c r="N1033" s="98"/>
      <c r="O1033" s="98"/>
      <c r="P1033" s="98"/>
      <c r="Q1033" s="98"/>
      <c r="R1033" s="98"/>
      <c r="S1033" s="98"/>
      <c r="T1033" s="98"/>
      <c r="U1033" s="98"/>
      <c r="V1033" s="98"/>
      <c r="W1033" s="98"/>
    </row>
    <row r="1034" spans="1:24" ht="18.75" customHeight="1">
      <c r="A1034" s="98"/>
      <c r="B1034" s="98"/>
      <c r="C1034" s="98"/>
      <c r="D1034" s="98"/>
      <c r="E1034" s="98"/>
      <c r="F1034" s="98"/>
      <c r="G1034" s="98"/>
      <c r="H1034" s="98"/>
      <c r="I1034" s="330" t="s">
        <v>92</v>
      </c>
      <c r="J1034" s="330"/>
      <c r="K1034" s="330"/>
      <c r="M1034" s="98"/>
      <c r="N1034" s="98"/>
      <c r="O1034" s="98"/>
      <c r="P1034" s="98"/>
      <c r="Q1034" s="98"/>
      <c r="R1034" s="98"/>
      <c r="S1034" s="98"/>
      <c r="T1034" s="98"/>
      <c r="U1034" s="330" t="s">
        <v>92</v>
      </c>
      <c r="V1034" s="330"/>
      <c r="W1034" s="330"/>
    </row>
    <row r="1035" spans="1:24" ht="18.75" customHeight="1">
      <c r="A1035" s="98"/>
      <c r="B1035" s="330"/>
      <c r="C1035" s="330"/>
      <c r="D1035" s="330"/>
      <c r="E1035" s="330"/>
      <c r="F1035" s="98"/>
      <c r="G1035" s="98"/>
      <c r="H1035" s="98"/>
      <c r="I1035" s="98"/>
      <c r="J1035" s="98"/>
      <c r="K1035" s="98"/>
      <c r="M1035" s="98"/>
      <c r="N1035" s="330"/>
      <c r="O1035" s="330"/>
      <c r="P1035" s="330"/>
      <c r="Q1035" s="330"/>
      <c r="R1035" s="98"/>
      <c r="S1035" s="98"/>
      <c r="T1035" s="98"/>
      <c r="U1035" s="98"/>
      <c r="V1035" s="98"/>
      <c r="W1035" s="98"/>
    </row>
    <row r="1036" spans="1:24" ht="18.75" customHeight="1">
      <c r="A1036" s="98"/>
      <c r="B1036" s="98"/>
      <c r="C1036" s="98"/>
      <c r="D1036" s="98"/>
      <c r="E1036" s="98"/>
      <c r="F1036" s="98"/>
      <c r="G1036" s="98"/>
      <c r="H1036" s="98"/>
      <c r="I1036" s="330" t="s">
        <v>93</v>
      </c>
      <c r="J1036" s="330"/>
      <c r="K1036" s="330"/>
      <c r="M1036" s="98"/>
      <c r="N1036" s="98"/>
      <c r="O1036" s="98"/>
      <c r="P1036" s="98"/>
      <c r="Q1036" s="98"/>
      <c r="R1036" s="98"/>
      <c r="S1036" s="98"/>
      <c r="T1036" s="98"/>
      <c r="U1036" s="330" t="s">
        <v>93</v>
      </c>
      <c r="V1036" s="330"/>
      <c r="W1036" s="330"/>
    </row>
    <row r="1038" spans="1:24" ht="18.75" customHeight="1">
      <c r="A1038" s="330" t="s">
        <v>41</v>
      </c>
      <c r="B1038" s="330"/>
      <c r="C1038" s="330"/>
      <c r="D1038" s="330"/>
      <c r="E1038" s="330"/>
      <c r="F1038" s="330"/>
      <c r="G1038" s="330"/>
      <c r="H1038" s="330"/>
      <c r="I1038" s="330"/>
      <c r="J1038" s="330"/>
      <c r="K1038" s="330"/>
      <c r="L1038" s="98">
        <v>24</v>
      </c>
      <c r="M1038" s="330" t="s">
        <v>41</v>
      </c>
      <c r="N1038" s="330"/>
      <c r="O1038" s="330"/>
      <c r="P1038" s="330"/>
      <c r="Q1038" s="330"/>
      <c r="R1038" s="330"/>
      <c r="S1038" s="330"/>
      <c r="T1038" s="330"/>
      <c r="U1038" s="330"/>
      <c r="V1038" s="330"/>
      <c r="W1038" s="330"/>
      <c r="X1038" s="98">
        <v>24</v>
      </c>
    </row>
    <row r="1039" spans="1:24" ht="18.75" customHeight="1">
      <c r="A1039" s="98" t="s">
        <v>164</v>
      </c>
      <c r="B1039" s="98"/>
      <c r="C1039" s="98"/>
      <c r="D1039" s="98"/>
      <c r="E1039" s="98"/>
      <c r="F1039" s="98"/>
      <c r="G1039" s="98"/>
      <c r="H1039" s="98"/>
      <c r="I1039" s="98"/>
      <c r="J1039" s="98"/>
      <c r="K1039" s="98"/>
      <c r="M1039" s="98" t="s">
        <v>165</v>
      </c>
      <c r="N1039" s="98"/>
      <c r="O1039" s="98"/>
      <c r="P1039" s="98"/>
      <c r="Q1039" s="98"/>
      <c r="R1039" s="98"/>
      <c r="S1039" s="98"/>
      <c r="T1039" s="98"/>
      <c r="U1039" s="98"/>
      <c r="V1039" s="98"/>
      <c r="W1039" s="98"/>
    </row>
    <row r="1040" spans="1:24" ht="18.75" customHeight="1">
      <c r="A1040" s="330" t="s">
        <v>45</v>
      </c>
      <c r="B1040" s="330"/>
      <c r="C1040" s="330"/>
      <c r="D1040" s="330"/>
      <c r="E1040" s="330"/>
      <c r="F1040" s="330"/>
      <c r="G1040" s="330"/>
      <c r="H1040" s="330"/>
      <c r="I1040" s="330"/>
      <c r="J1040" s="330"/>
      <c r="K1040" s="330"/>
      <c r="M1040" s="330" t="s">
        <v>45</v>
      </c>
      <c r="N1040" s="330"/>
      <c r="O1040" s="330"/>
      <c r="P1040" s="330"/>
      <c r="Q1040" s="330"/>
      <c r="R1040" s="330"/>
      <c r="S1040" s="330"/>
      <c r="T1040" s="330"/>
      <c r="U1040" s="330"/>
      <c r="V1040" s="330"/>
      <c r="W1040" s="330"/>
    </row>
    <row r="1041" spans="1:24" ht="18.75" customHeight="1">
      <c r="A1041" s="330" t="s">
        <v>46</v>
      </c>
      <c r="B1041" s="330"/>
      <c r="C1041" s="330"/>
      <c r="D1041" s="330"/>
      <c r="E1041" s="98" t="s">
        <v>47</v>
      </c>
      <c r="F1041" s="330"/>
      <c r="G1041" s="330"/>
      <c r="H1041" s="330"/>
      <c r="I1041" s="330"/>
      <c r="J1041" s="330"/>
      <c r="K1041" s="330"/>
      <c r="M1041" s="330" t="s">
        <v>46</v>
      </c>
      <c r="N1041" s="330"/>
      <c r="O1041" s="330"/>
      <c r="P1041" s="330"/>
      <c r="Q1041" s="98" t="s">
        <v>47</v>
      </c>
      <c r="R1041" s="330"/>
      <c r="S1041" s="330"/>
      <c r="T1041" s="330"/>
      <c r="U1041" s="330"/>
      <c r="V1041" s="330"/>
      <c r="W1041" s="330"/>
    </row>
    <row r="1042" spans="1:24" ht="18.75" customHeight="1">
      <c r="A1042" s="330" t="s">
        <v>49</v>
      </c>
      <c r="B1042" s="330"/>
      <c r="C1042" s="330"/>
      <c r="D1042" s="330"/>
      <c r="E1042" s="98" t="s">
        <v>47</v>
      </c>
      <c r="F1042" s="330"/>
      <c r="G1042" s="330"/>
      <c r="H1042" s="330"/>
      <c r="I1042" s="330"/>
      <c r="J1042" s="330"/>
      <c r="K1042" s="330"/>
      <c r="M1042" s="330" t="s">
        <v>49</v>
      </c>
      <c r="N1042" s="330"/>
      <c r="O1042" s="330"/>
      <c r="P1042" s="330"/>
      <c r="Q1042" s="98" t="s">
        <v>47</v>
      </c>
      <c r="R1042" s="330"/>
      <c r="S1042" s="330"/>
      <c r="T1042" s="330"/>
      <c r="U1042" s="330"/>
      <c r="V1042" s="330"/>
      <c r="W1042" s="330"/>
    </row>
    <row r="1043" spans="1:24" ht="18.75" customHeight="1">
      <c r="A1043" s="330" t="s">
        <v>50</v>
      </c>
      <c r="B1043" s="330"/>
      <c r="C1043" s="330"/>
      <c r="D1043" s="330"/>
      <c r="E1043" s="98" t="s">
        <v>47</v>
      </c>
      <c r="F1043" s="330" t="s">
        <v>121</v>
      </c>
      <c r="G1043" s="330"/>
      <c r="H1043" s="330"/>
      <c r="I1043" s="330"/>
      <c r="J1043" s="330"/>
      <c r="K1043" s="330"/>
      <c r="M1043" s="330" t="s">
        <v>50</v>
      </c>
      <c r="N1043" s="330"/>
      <c r="O1043" s="330"/>
      <c r="P1043" s="330"/>
      <c r="Q1043" s="98" t="s">
        <v>47</v>
      </c>
      <c r="R1043" s="330" t="s">
        <v>121</v>
      </c>
      <c r="S1043" s="330"/>
      <c r="T1043" s="330"/>
      <c r="U1043" s="330"/>
      <c r="V1043" s="330"/>
      <c r="W1043" s="330"/>
    </row>
    <row r="1044" spans="1:24" ht="18.75" customHeight="1">
      <c r="A1044" s="330" t="s">
        <v>51</v>
      </c>
      <c r="B1044" s="330"/>
      <c r="C1044" s="330"/>
      <c r="D1044" s="330"/>
      <c r="E1044" s="330"/>
      <c r="F1044" s="330"/>
      <c r="G1044" s="330"/>
      <c r="H1044" s="330"/>
      <c r="I1044" s="330"/>
      <c r="J1044" s="330"/>
      <c r="K1044" s="330"/>
      <c r="M1044" s="330" t="s">
        <v>51</v>
      </c>
      <c r="N1044" s="330"/>
      <c r="O1044" s="330"/>
      <c r="P1044" s="330"/>
      <c r="Q1044" s="330"/>
      <c r="R1044" s="330"/>
      <c r="S1044" s="330"/>
      <c r="T1044" s="330"/>
      <c r="U1044" s="330"/>
      <c r="V1044" s="330"/>
      <c r="W1044" s="330"/>
    </row>
    <row r="1045" spans="1:24" ht="18.75" customHeight="1">
      <c r="A1045" s="330" t="s">
        <v>52</v>
      </c>
      <c r="B1045" s="330"/>
      <c r="C1045" s="330"/>
      <c r="D1045" s="330"/>
      <c r="E1045" s="98" t="s">
        <v>47</v>
      </c>
      <c r="F1045" s="330">
        <v>2915400</v>
      </c>
      <c r="G1045" s="330"/>
      <c r="H1045" s="330"/>
      <c r="I1045" s="330"/>
      <c r="J1045" s="98" t="s">
        <v>53</v>
      </c>
      <c r="K1045" s="98"/>
      <c r="M1045" s="330" t="s">
        <v>52</v>
      </c>
      <c r="N1045" s="330"/>
      <c r="O1045" s="330"/>
      <c r="P1045" s="330"/>
      <c r="Q1045" s="98" t="s">
        <v>47</v>
      </c>
      <c r="R1045" s="330">
        <v>2915400</v>
      </c>
      <c r="S1045" s="330"/>
      <c r="T1045" s="330"/>
      <c r="U1045" s="330"/>
      <c r="V1045" s="98" t="s">
        <v>53</v>
      </c>
      <c r="W1045" s="98"/>
    </row>
    <row r="1046" spans="1:24" ht="18.75" customHeight="1">
      <c r="A1046" s="98" t="s">
        <v>54</v>
      </c>
      <c r="B1046" s="98"/>
      <c r="C1046" s="98"/>
      <c r="D1046" s="98"/>
      <c r="E1046" s="98"/>
      <c r="F1046" s="98"/>
      <c r="G1046" s="98"/>
      <c r="H1046" s="98"/>
      <c r="I1046" s="98"/>
      <c r="J1046" s="98"/>
      <c r="K1046" s="98"/>
      <c r="M1046" s="98" t="s">
        <v>54</v>
      </c>
      <c r="N1046" s="98"/>
      <c r="O1046" s="98"/>
      <c r="P1046" s="98"/>
      <c r="Q1046" s="98"/>
      <c r="R1046" s="98"/>
      <c r="S1046" s="98"/>
      <c r="T1046" s="98"/>
      <c r="U1046" s="98"/>
      <c r="V1046" s="98"/>
      <c r="W1046" s="98"/>
    </row>
    <row r="1047" spans="1:24" ht="18.75" customHeight="1">
      <c r="A1047" s="98" t="s">
        <v>55</v>
      </c>
      <c r="B1047" s="98"/>
      <c r="C1047" s="98"/>
      <c r="D1047" s="98"/>
      <c r="E1047" s="98"/>
      <c r="F1047" s="98"/>
      <c r="G1047" s="98"/>
      <c r="H1047" s="98"/>
      <c r="I1047" s="98" t="e">
        <f>I1048/C1048/8</f>
        <v>#DIV/0!</v>
      </c>
      <c r="J1047" s="98"/>
      <c r="K1047" s="98"/>
      <c r="M1047" s="98" t="s">
        <v>55</v>
      </c>
      <c r="N1047" s="98"/>
      <c r="O1047" s="98"/>
      <c r="P1047" s="98"/>
      <c r="Q1047" s="98"/>
      <c r="R1047" s="98"/>
      <c r="S1047" s="98"/>
      <c r="T1047" s="98"/>
      <c r="U1047" s="98" t="e">
        <f>U1048/O1048/8</f>
        <v>#DIV/0!</v>
      </c>
      <c r="V1047" s="98"/>
      <c r="W1047" s="98"/>
    </row>
    <row r="1048" spans="1:24" ht="18.75" customHeight="1">
      <c r="A1048" s="98" t="s">
        <v>56</v>
      </c>
      <c r="B1048" s="98" t="s">
        <v>47</v>
      </c>
      <c r="C1048" s="98"/>
      <c r="D1048" s="98" t="s">
        <v>57</v>
      </c>
      <c r="E1048" s="330" t="s">
        <v>58</v>
      </c>
      <c r="F1048" s="330"/>
      <c r="G1048" s="330"/>
      <c r="H1048" s="98" t="s">
        <v>47</v>
      </c>
      <c r="I1048" s="330" t="e">
        <f>I1046*680/((C1048-C1055)*8+C1055*7+C1052)*((C1048-C1055)*8+C1055*7)</f>
        <v>#DIV/0!</v>
      </c>
      <c r="J1048" s="330"/>
      <c r="K1048" s="98" t="s">
        <v>53</v>
      </c>
      <c r="L1048" s="98">
        <f>F1045/L1038*C1048</f>
        <v>0</v>
      </c>
      <c r="M1048" s="98" t="s">
        <v>56</v>
      </c>
      <c r="N1048" s="98" t="s">
        <v>47</v>
      </c>
      <c r="O1048" s="98"/>
      <c r="P1048" s="98" t="s">
        <v>57</v>
      </c>
      <c r="Q1048" s="330" t="s">
        <v>58</v>
      </c>
      <c r="R1048" s="330"/>
      <c r="S1048" s="330"/>
      <c r="T1048" s="98" t="s">
        <v>47</v>
      </c>
      <c r="U1048" s="330" t="e">
        <f>U1046*680/((O1048-O1055)*8+O1055*7+O1052)*((O1048-O1055)*8+O1055*7)</f>
        <v>#DIV/0!</v>
      </c>
      <c r="V1048" s="330"/>
      <c r="W1048" s="98" t="s">
        <v>53</v>
      </c>
      <c r="X1048" s="98">
        <f>R1045/X1038*O1048</f>
        <v>0</v>
      </c>
    </row>
    <row r="1049" spans="1:24" ht="18.75" customHeight="1">
      <c r="A1049" s="98" t="s">
        <v>59</v>
      </c>
      <c r="B1049" s="98" t="s">
        <v>47</v>
      </c>
      <c r="C1049" s="98"/>
      <c r="D1049" s="98" t="s">
        <v>57</v>
      </c>
      <c r="E1049" s="330" t="s">
        <v>60</v>
      </c>
      <c r="F1049" s="330"/>
      <c r="G1049" s="330"/>
      <c r="H1049" s="98" t="s">
        <v>47</v>
      </c>
      <c r="I1049" s="330">
        <f>$F$8/$L$1*C1049</f>
        <v>0</v>
      </c>
      <c r="J1049" s="330"/>
      <c r="K1049" s="98" t="s">
        <v>53</v>
      </c>
      <c r="L1049" s="98"/>
      <c r="M1049" s="98" t="s">
        <v>59</v>
      </c>
      <c r="N1049" s="98" t="s">
        <v>47</v>
      </c>
      <c r="O1049" s="98"/>
      <c r="P1049" s="98" t="s">
        <v>57</v>
      </c>
      <c r="Q1049" s="330" t="s">
        <v>60</v>
      </c>
      <c r="R1049" s="330"/>
      <c r="S1049" s="330"/>
      <c r="T1049" s="98" t="s">
        <v>47</v>
      </c>
      <c r="U1049" s="330">
        <f>$F$8/$L$1*O1049</f>
        <v>0</v>
      </c>
      <c r="V1049" s="330"/>
      <c r="W1049" s="98" t="s">
        <v>53</v>
      </c>
      <c r="X1049" s="98"/>
    </row>
    <row r="1050" spans="1:24" ht="18.75" customHeight="1">
      <c r="A1050" s="98" t="s">
        <v>61</v>
      </c>
      <c r="B1050" s="98" t="s">
        <v>47</v>
      </c>
      <c r="C1050" s="98"/>
      <c r="D1050" s="98" t="s">
        <v>57</v>
      </c>
      <c r="E1050" s="330" t="s">
        <v>62</v>
      </c>
      <c r="F1050" s="330"/>
      <c r="G1050" s="330"/>
      <c r="H1050" s="98" t="s">
        <v>47</v>
      </c>
      <c r="I1050" s="330">
        <f>$F$8/$L$1*C1050</f>
        <v>0</v>
      </c>
      <c r="J1050" s="330"/>
      <c r="K1050" s="98" t="s">
        <v>53</v>
      </c>
      <c r="L1050" s="98"/>
      <c r="M1050" s="98" t="s">
        <v>61</v>
      </c>
      <c r="N1050" s="98" t="s">
        <v>47</v>
      </c>
      <c r="O1050" s="98"/>
      <c r="P1050" s="98" t="s">
        <v>57</v>
      </c>
      <c r="Q1050" s="330" t="s">
        <v>62</v>
      </c>
      <c r="R1050" s="330"/>
      <c r="S1050" s="330"/>
      <c r="T1050" s="98" t="s">
        <v>47</v>
      </c>
      <c r="U1050" s="330">
        <f>$F$8/$L$1*O1050</f>
        <v>0</v>
      </c>
      <c r="V1050" s="330"/>
      <c r="W1050" s="98" t="s">
        <v>53</v>
      </c>
      <c r="X1050" s="98"/>
    </row>
    <row r="1051" spans="1:24" ht="18.75" customHeight="1">
      <c r="A1051" s="98" t="s">
        <v>63</v>
      </c>
      <c r="B1051" s="98" t="s">
        <v>47</v>
      </c>
      <c r="C1051" s="98"/>
      <c r="D1051" s="98" t="s">
        <v>57</v>
      </c>
      <c r="E1051" s="330" t="s">
        <v>64</v>
      </c>
      <c r="F1051" s="330"/>
      <c r="G1051" s="330"/>
      <c r="H1051" s="98" t="s">
        <v>47</v>
      </c>
      <c r="I1051" s="330">
        <f>$F$8/$L$1*C1051</f>
        <v>0</v>
      </c>
      <c r="J1051" s="330"/>
      <c r="K1051" s="98" t="s">
        <v>53</v>
      </c>
      <c r="L1051" s="98"/>
      <c r="M1051" s="98" t="s">
        <v>63</v>
      </c>
      <c r="N1051" s="98" t="s">
        <v>47</v>
      </c>
      <c r="O1051" s="98"/>
      <c r="P1051" s="98" t="s">
        <v>57</v>
      </c>
      <c r="Q1051" s="330" t="s">
        <v>64</v>
      </c>
      <c r="R1051" s="330"/>
      <c r="S1051" s="330"/>
      <c r="T1051" s="98" t="s">
        <v>47</v>
      </c>
      <c r="U1051" s="330">
        <f>$F$8/$L$1*O1051</f>
        <v>0</v>
      </c>
      <c r="V1051" s="330"/>
      <c r="W1051" s="98" t="s">
        <v>53</v>
      </c>
      <c r="X1051" s="98"/>
    </row>
    <row r="1052" spans="1:24" ht="18.75" customHeight="1">
      <c r="A1052" s="98" t="s">
        <v>65</v>
      </c>
      <c r="B1052" s="98" t="s">
        <v>47</v>
      </c>
      <c r="C1052" s="98"/>
      <c r="D1052" s="98" t="s">
        <v>66</v>
      </c>
      <c r="E1052" s="330" t="s">
        <v>67</v>
      </c>
      <c r="F1052" s="330"/>
      <c r="G1052" s="330"/>
      <c r="H1052" s="98" t="s">
        <v>47</v>
      </c>
      <c r="I1052" s="330" t="e">
        <f>I1048/C1048/8*C1052</f>
        <v>#DIV/0!</v>
      </c>
      <c r="J1052" s="330"/>
      <c r="K1052" s="98" t="s">
        <v>53</v>
      </c>
      <c r="L1052" s="98">
        <f>F1045*C1052/L1038/8*1.5</f>
        <v>0</v>
      </c>
      <c r="M1052" s="98" t="s">
        <v>65</v>
      </c>
      <c r="N1052" s="98" t="s">
        <v>47</v>
      </c>
      <c r="O1052" s="98"/>
      <c r="P1052" s="98" t="s">
        <v>66</v>
      </c>
      <c r="Q1052" s="330" t="s">
        <v>67</v>
      </c>
      <c r="R1052" s="330"/>
      <c r="S1052" s="330"/>
      <c r="T1052" s="98" t="s">
        <v>47</v>
      </c>
      <c r="U1052" s="330" t="e">
        <f>U1048/O1048/8*O1052</f>
        <v>#DIV/0!</v>
      </c>
      <c r="V1052" s="330"/>
      <c r="W1052" s="98" t="s">
        <v>53</v>
      </c>
      <c r="X1052" s="98">
        <f>R1045*O1052/X1038/8*1.5</f>
        <v>0</v>
      </c>
    </row>
    <row r="1053" spans="1:24" ht="18.75" customHeight="1">
      <c r="A1053" s="330" t="s">
        <v>68</v>
      </c>
      <c r="B1053" s="330"/>
      <c r="C1053" s="98"/>
      <c r="D1053" s="98" t="s">
        <v>57</v>
      </c>
      <c r="E1053" s="330" t="s">
        <v>69</v>
      </c>
      <c r="F1053" s="330"/>
      <c r="G1053" s="330"/>
      <c r="H1053" s="98" t="s">
        <v>47</v>
      </c>
      <c r="I1053" s="330"/>
      <c r="J1053" s="330"/>
      <c r="K1053" s="98" t="s">
        <v>53</v>
      </c>
      <c r="L1053" s="98"/>
      <c r="M1053" s="330" t="s">
        <v>68</v>
      </c>
      <c r="N1053" s="330"/>
      <c r="O1053" s="98"/>
      <c r="P1053" s="98" t="s">
        <v>57</v>
      </c>
      <c r="Q1053" s="330" t="s">
        <v>69</v>
      </c>
      <c r="R1053" s="330"/>
      <c r="S1053" s="330"/>
      <c r="T1053" s="98" t="s">
        <v>47</v>
      </c>
      <c r="U1053" s="330"/>
      <c r="V1053" s="330"/>
      <c r="W1053" s="98" t="s">
        <v>53</v>
      </c>
      <c r="X1053" s="98"/>
    </row>
    <row r="1054" spans="1:24" ht="18.75" customHeight="1">
      <c r="A1054" s="98" t="s">
        <v>70</v>
      </c>
      <c r="B1054" s="98" t="s">
        <v>47</v>
      </c>
      <c r="C1054" s="98"/>
      <c r="D1054" s="98" t="s">
        <v>57</v>
      </c>
      <c r="E1054" s="330" t="s">
        <v>71</v>
      </c>
      <c r="F1054" s="330"/>
      <c r="G1054" s="330"/>
      <c r="H1054" s="98" t="s">
        <v>47</v>
      </c>
      <c r="I1054" s="330"/>
      <c r="J1054" s="330"/>
      <c r="K1054" s="98" t="s">
        <v>53</v>
      </c>
      <c r="L1054" s="98"/>
      <c r="M1054" s="98" t="s">
        <v>70</v>
      </c>
      <c r="N1054" s="98" t="s">
        <v>47</v>
      </c>
      <c r="O1054" s="98"/>
      <c r="P1054" s="98" t="s">
        <v>57</v>
      </c>
      <c r="Q1054" s="330" t="s">
        <v>71</v>
      </c>
      <c r="R1054" s="330"/>
      <c r="S1054" s="330"/>
      <c r="T1054" s="98" t="s">
        <v>47</v>
      </c>
      <c r="U1054" s="330"/>
      <c r="V1054" s="330"/>
      <c r="W1054" s="98" t="s">
        <v>53</v>
      </c>
      <c r="X1054" s="98"/>
    </row>
    <row r="1055" spans="1:24" ht="18.75" customHeight="1">
      <c r="A1055" s="98" t="s">
        <v>72</v>
      </c>
      <c r="B1055" s="98"/>
      <c r="C1055" s="98"/>
      <c r="D1055" s="98" t="s">
        <v>66</v>
      </c>
      <c r="E1055" s="330" t="s">
        <v>73</v>
      </c>
      <c r="F1055" s="330"/>
      <c r="G1055" s="330"/>
      <c r="H1055" s="98" t="s">
        <v>47</v>
      </c>
      <c r="I1055" s="330">
        <f>$F$8*C1055/8/$L$1</f>
        <v>0</v>
      </c>
      <c r="J1055" s="330"/>
      <c r="K1055" s="98" t="s">
        <v>53</v>
      </c>
      <c r="L1055" s="98"/>
      <c r="M1055" s="98" t="s">
        <v>72</v>
      </c>
      <c r="N1055" s="98"/>
      <c r="O1055" s="98"/>
      <c r="P1055" s="98" t="s">
        <v>66</v>
      </c>
      <c r="Q1055" s="330" t="s">
        <v>73</v>
      </c>
      <c r="R1055" s="330"/>
      <c r="S1055" s="330"/>
      <c r="T1055" s="98" t="s">
        <v>47</v>
      </c>
      <c r="U1055" s="330">
        <f>$F$8*O1055/8/$L$1</f>
        <v>0</v>
      </c>
      <c r="V1055" s="330"/>
      <c r="W1055" s="98" t="s">
        <v>53</v>
      </c>
      <c r="X1055" s="98"/>
    </row>
    <row r="1056" spans="1:24" ht="18.75" customHeight="1">
      <c r="A1056" s="98" t="s">
        <v>74</v>
      </c>
      <c r="B1056" s="98" t="s">
        <v>47</v>
      </c>
      <c r="C1056" s="98"/>
      <c r="D1056" s="98" t="s">
        <v>66</v>
      </c>
      <c r="E1056" s="330" t="s">
        <v>98</v>
      </c>
      <c r="F1056" s="330"/>
      <c r="G1056" s="330"/>
      <c r="H1056" s="98" t="s">
        <v>47</v>
      </c>
      <c r="I1056" s="330"/>
      <c r="J1056" s="330"/>
      <c r="K1056" s="98" t="s">
        <v>53</v>
      </c>
      <c r="L1056" s="98"/>
      <c r="M1056" s="98" t="s">
        <v>74</v>
      </c>
      <c r="N1056" s="98" t="s">
        <v>47</v>
      </c>
      <c r="O1056" s="98"/>
      <c r="P1056" s="98" t="s">
        <v>66</v>
      </c>
      <c r="Q1056" s="330" t="s">
        <v>98</v>
      </c>
      <c r="R1056" s="330"/>
      <c r="S1056" s="330"/>
      <c r="T1056" s="98" t="s">
        <v>47</v>
      </c>
      <c r="U1056" s="330"/>
      <c r="V1056" s="330"/>
      <c r="W1056" s="98" t="s">
        <v>53</v>
      </c>
      <c r="X1056" s="98"/>
    </row>
    <row r="1057" spans="1:24" ht="18.75" customHeight="1">
      <c r="A1057" s="98" t="s">
        <v>76</v>
      </c>
      <c r="B1057" s="98" t="s">
        <v>47</v>
      </c>
      <c r="C1057" s="98"/>
      <c r="D1057" s="98" t="s">
        <v>77</v>
      </c>
      <c r="E1057" s="98" t="s">
        <v>78</v>
      </c>
      <c r="F1057" s="98"/>
      <c r="G1057" s="98"/>
      <c r="H1057" s="98" t="s">
        <v>47</v>
      </c>
      <c r="I1057" s="330"/>
      <c r="J1057" s="330"/>
      <c r="K1057" s="98" t="s">
        <v>53</v>
      </c>
      <c r="L1057" s="98" t="e">
        <f>+IF(L1048-I1048&lt;0,0,L1048-I1048)+IF(L1052-I1052&lt;0,0,L1052-I1052)</f>
        <v>#DIV/0!</v>
      </c>
      <c r="M1057" s="98" t="s">
        <v>76</v>
      </c>
      <c r="N1057" s="98" t="s">
        <v>47</v>
      </c>
      <c r="O1057" s="98"/>
      <c r="P1057" s="98" t="s">
        <v>77</v>
      </c>
      <c r="Q1057" s="98" t="s">
        <v>78</v>
      </c>
      <c r="R1057" s="98"/>
      <c r="S1057" s="98"/>
      <c r="T1057" s="98" t="s">
        <v>47</v>
      </c>
      <c r="U1057" s="330"/>
      <c r="V1057" s="330"/>
      <c r="W1057" s="98" t="s">
        <v>53</v>
      </c>
      <c r="X1057" s="98" t="e">
        <f>+IF(X1048-U1048&lt;0,0,X1048-U1048)+IF(X1052-U1052&lt;0,0,X1052-U1052)</f>
        <v>#DIV/0!</v>
      </c>
    </row>
    <row r="1058" spans="1:24" ht="18.75" customHeight="1">
      <c r="A1058" s="98" t="s">
        <v>122</v>
      </c>
      <c r="B1058" s="98"/>
      <c r="C1058" s="98"/>
      <c r="D1058" s="98" t="s">
        <v>57</v>
      </c>
      <c r="E1058" s="330" t="s">
        <v>123</v>
      </c>
      <c r="F1058" s="330"/>
      <c r="G1058" s="330"/>
      <c r="H1058" s="98" t="s">
        <v>47</v>
      </c>
      <c r="I1058" s="330"/>
      <c r="J1058" s="330"/>
      <c r="K1058" s="98" t="s">
        <v>53</v>
      </c>
      <c r="L1058" s="98"/>
      <c r="M1058" s="98" t="s">
        <v>122</v>
      </c>
      <c r="N1058" s="98"/>
      <c r="O1058" s="98"/>
      <c r="P1058" s="98" t="s">
        <v>57</v>
      </c>
      <c r="Q1058" s="330" t="s">
        <v>123</v>
      </c>
      <c r="R1058" s="330"/>
      <c r="S1058" s="330"/>
      <c r="T1058" s="98" t="s">
        <v>47</v>
      </c>
      <c r="U1058" s="330"/>
      <c r="V1058" s="330"/>
      <c r="W1058" s="98" t="s">
        <v>53</v>
      </c>
      <c r="X1058" s="98"/>
    </row>
    <row r="1059" spans="1:24" ht="18.75" customHeight="1">
      <c r="A1059" s="330" t="s">
        <v>81</v>
      </c>
      <c r="B1059" s="330"/>
      <c r="C1059" s="98"/>
      <c r="D1059" s="98"/>
      <c r="E1059" s="98"/>
      <c r="F1059" s="98"/>
      <c r="G1059" s="98"/>
      <c r="H1059" s="98" t="s">
        <v>47</v>
      </c>
      <c r="I1059" s="330"/>
      <c r="J1059" s="330"/>
      <c r="K1059" s="98" t="s">
        <v>53</v>
      </c>
      <c r="L1059" s="98"/>
      <c r="M1059" s="330" t="s">
        <v>81</v>
      </c>
      <c r="N1059" s="330"/>
      <c r="O1059" s="98"/>
      <c r="P1059" s="98"/>
      <c r="Q1059" s="98"/>
      <c r="R1059" s="98"/>
      <c r="S1059" s="98"/>
      <c r="T1059" s="98" t="s">
        <v>47</v>
      </c>
      <c r="U1059" s="330"/>
      <c r="V1059" s="330"/>
      <c r="W1059" s="98" t="s">
        <v>53</v>
      </c>
      <c r="X1059" s="98"/>
    </row>
    <row r="1060" spans="1:24" ht="18.75" customHeight="1">
      <c r="A1060" s="98" t="s">
        <v>82</v>
      </c>
      <c r="B1060" s="98" t="s">
        <v>47</v>
      </c>
      <c r="C1060" s="98"/>
      <c r="D1060" s="98"/>
      <c r="E1060" s="98" t="s">
        <v>83</v>
      </c>
      <c r="F1060" s="98"/>
      <c r="G1060" s="98"/>
      <c r="H1060" s="98" t="s">
        <v>47</v>
      </c>
      <c r="I1060" s="330" t="e">
        <f>L1057</f>
        <v>#DIV/0!</v>
      </c>
      <c r="J1060" s="330"/>
      <c r="K1060" s="98" t="s">
        <v>53</v>
      </c>
      <c r="L1060" s="98"/>
      <c r="M1060" s="98" t="s">
        <v>82</v>
      </c>
      <c r="N1060" s="98" t="s">
        <v>47</v>
      </c>
      <c r="O1060" s="98"/>
      <c r="P1060" s="98"/>
      <c r="Q1060" s="98" t="s">
        <v>83</v>
      </c>
      <c r="R1060" s="98"/>
      <c r="S1060" s="98"/>
      <c r="T1060" s="98" t="s">
        <v>47</v>
      </c>
      <c r="U1060" s="330" t="e">
        <f>X1057</f>
        <v>#DIV/0!</v>
      </c>
      <c r="V1060" s="330"/>
      <c r="W1060" s="98" t="s">
        <v>53</v>
      </c>
      <c r="X1060" s="98"/>
    </row>
    <row r="1061" spans="1:24" ht="18.75" customHeight="1">
      <c r="A1061" s="330" t="s">
        <v>84</v>
      </c>
      <c r="B1061" s="330"/>
      <c r="C1061" s="330"/>
      <c r="D1061" s="330"/>
      <c r="E1061" s="330"/>
      <c r="F1061" s="330"/>
      <c r="G1061" s="98" t="s">
        <v>47</v>
      </c>
      <c r="H1061" s="330" t="e">
        <f>I1048+I1049+I1050+I1051+I1052+I1055+I1059+I1060</f>
        <v>#DIV/0!</v>
      </c>
      <c r="I1061" s="330"/>
      <c r="J1061" s="330"/>
      <c r="K1061" s="98" t="s">
        <v>53</v>
      </c>
      <c r="M1061" s="330" t="s">
        <v>84</v>
      </c>
      <c r="N1061" s="330"/>
      <c r="O1061" s="330"/>
      <c r="P1061" s="330"/>
      <c r="Q1061" s="330"/>
      <c r="R1061" s="330"/>
      <c r="S1061" s="98" t="s">
        <v>47</v>
      </c>
      <c r="T1061" s="330" t="e">
        <f>U1048+U1049+U1050+U1051+U1052+U1055+U1059+U1060</f>
        <v>#DIV/0!</v>
      </c>
      <c r="U1061" s="330"/>
      <c r="V1061" s="330"/>
      <c r="W1061" s="98" t="s">
        <v>53</v>
      </c>
    </row>
    <row r="1062" spans="1:24" ht="18.75" customHeight="1">
      <c r="A1062" s="98"/>
      <c r="B1062" s="98"/>
      <c r="C1062" s="98"/>
      <c r="D1062" s="98"/>
      <c r="E1062" s="98"/>
      <c r="F1062" s="98"/>
      <c r="G1062" s="98"/>
      <c r="H1062" s="98"/>
      <c r="I1062" s="98"/>
      <c r="J1062" s="98"/>
      <c r="K1062" s="98"/>
      <c r="M1062" s="98"/>
      <c r="N1062" s="98"/>
      <c r="O1062" s="98"/>
      <c r="P1062" s="98"/>
      <c r="Q1062" s="98"/>
      <c r="R1062" s="98"/>
      <c r="S1062" s="98"/>
      <c r="T1062" s="98"/>
      <c r="U1062" s="98"/>
      <c r="V1062" s="98"/>
      <c r="W1062" s="98"/>
    </row>
    <row r="1063" spans="1:24" ht="18.75" customHeight="1">
      <c r="A1063" s="330" t="s">
        <v>85</v>
      </c>
      <c r="B1063" s="330"/>
      <c r="C1063" s="330"/>
      <c r="D1063" s="330"/>
      <c r="E1063" s="330"/>
      <c r="F1063" s="330"/>
      <c r="G1063" s="98"/>
      <c r="H1063" s="98"/>
      <c r="I1063" s="98"/>
      <c r="J1063" s="98"/>
      <c r="K1063" s="98"/>
      <c r="M1063" s="330" t="s">
        <v>85</v>
      </c>
      <c r="N1063" s="330"/>
      <c r="O1063" s="330"/>
      <c r="P1063" s="330"/>
      <c r="Q1063" s="330"/>
      <c r="R1063" s="330"/>
      <c r="S1063" s="98"/>
      <c r="T1063" s="98"/>
      <c r="U1063" s="98"/>
      <c r="V1063" s="98"/>
      <c r="W1063" s="98"/>
    </row>
    <row r="1064" spans="1:24" ht="18.75" customHeight="1">
      <c r="A1064" s="330" t="s">
        <v>86</v>
      </c>
      <c r="B1064" s="330"/>
      <c r="C1064" s="330"/>
      <c r="D1064" s="330"/>
      <c r="E1064" s="330"/>
      <c r="F1064" s="330"/>
      <c r="G1064" s="98" t="s">
        <v>47</v>
      </c>
      <c r="H1064" s="330">
        <f>IF(($L$1-(C1048+C1049+C1050+C1051))&gt;12,0,F1045*8%)</f>
        <v>0</v>
      </c>
      <c r="I1064" s="330"/>
      <c r="J1064" s="330"/>
      <c r="K1064" s="98" t="s">
        <v>53</v>
      </c>
      <c r="M1064" s="330" t="s">
        <v>86</v>
      </c>
      <c r="N1064" s="330"/>
      <c r="O1064" s="330"/>
      <c r="P1064" s="330"/>
      <c r="Q1064" s="330"/>
      <c r="R1064" s="330"/>
      <c r="S1064" s="98" t="s">
        <v>47</v>
      </c>
      <c r="T1064" s="330">
        <f>IF(($L$1-(O1048+O1049+O1050+O1051))&gt;12,0,R1045*8%)</f>
        <v>0</v>
      </c>
      <c r="U1064" s="330"/>
      <c r="V1064" s="330"/>
      <c r="W1064" s="98" t="s">
        <v>53</v>
      </c>
    </row>
    <row r="1065" spans="1:24" ht="18.75" customHeight="1">
      <c r="A1065" s="330" t="s">
        <v>87</v>
      </c>
      <c r="B1065" s="330"/>
      <c r="C1065" s="330"/>
      <c r="D1065" s="330"/>
      <c r="E1065" s="330"/>
      <c r="F1065" s="330"/>
      <c r="G1065" s="98" t="s">
        <v>47</v>
      </c>
      <c r="H1065" s="330">
        <f>IF(($L$1-(C1048+C1049+C1050+C1051))&gt;12,0,F1045*1.5%)</f>
        <v>0</v>
      </c>
      <c r="I1065" s="330"/>
      <c r="J1065" s="330"/>
      <c r="K1065" s="98" t="s">
        <v>53</v>
      </c>
      <c r="M1065" s="330" t="s">
        <v>87</v>
      </c>
      <c r="N1065" s="330"/>
      <c r="O1065" s="330"/>
      <c r="P1065" s="330"/>
      <c r="Q1065" s="330"/>
      <c r="R1065" s="330"/>
      <c r="S1065" s="98" t="s">
        <v>47</v>
      </c>
      <c r="T1065" s="330">
        <f>IF(($L$1-(O1048+O1049+O1050+O1051))&gt;12,0,R1045*1.5%)</f>
        <v>0</v>
      </c>
      <c r="U1065" s="330"/>
      <c r="V1065" s="330"/>
      <c r="W1065" s="98" t="s">
        <v>53</v>
      </c>
    </row>
    <row r="1066" spans="1:24" ht="18.75" customHeight="1">
      <c r="A1066" s="330" t="s">
        <v>88</v>
      </c>
      <c r="B1066" s="330"/>
      <c r="C1066" s="330"/>
      <c r="D1066" s="330"/>
      <c r="E1066" s="330"/>
      <c r="F1066" s="330"/>
      <c r="G1066" s="98" t="s">
        <v>47</v>
      </c>
      <c r="H1066" s="330">
        <f>IF(($L$1-(C1048+C1049+C1050+C1051))&gt;12,0,F1045*1%)</f>
        <v>0</v>
      </c>
      <c r="I1066" s="330"/>
      <c r="J1066" s="330"/>
      <c r="K1066" s="98" t="s">
        <v>53</v>
      </c>
      <c r="M1066" s="330" t="s">
        <v>88</v>
      </c>
      <c r="N1066" s="330"/>
      <c r="O1066" s="330"/>
      <c r="P1066" s="330"/>
      <c r="Q1066" s="330"/>
      <c r="R1066" s="330"/>
      <c r="S1066" s="98" t="s">
        <v>47</v>
      </c>
      <c r="T1066" s="330">
        <f>IF(($L$1-(O1048+O1049+O1050+O1051))&gt;12,0,R1045*1%)</f>
        <v>0</v>
      </c>
      <c r="U1066" s="330"/>
      <c r="V1066" s="330"/>
      <c r="W1066" s="98" t="s">
        <v>53</v>
      </c>
    </row>
    <row r="1067" spans="1:24" ht="18.75" customHeight="1">
      <c r="A1067" s="330" t="s">
        <v>89</v>
      </c>
      <c r="B1067" s="330"/>
      <c r="C1067" s="330"/>
      <c r="D1067" s="330"/>
      <c r="E1067" s="330"/>
      <c r="F1067" s="330"/>
      <c r="G1067" s="98" t="s">
        <v>47</v>
      </c>
      <c r="H1067" s="330">
        <v>0</v>
      </c>
      <c r="I1067" s="330"/>
      <c r="J1067" s="330"/>
      <c r="K1067" s="98" t="s">
        <v>53</v>
      </c>
      <c r="M1067" s="330" t="s">
        <v>89</v>
      </c>
      <c r="N1067" s="330"/>
      <c r="O1067" s="330"/>
      <c r="P1067" s="330"/>
      <c r="Q1067" s="330"/>
      <c r="R1067" s="330"/>
      <c r="S1067" s="98" t="s">
        <v>47</v>
      </c>
      <c r="T1067" s="330">
        <v>0</v>
      </c>
      <c r="U1067" s="330"/>
      <c r="V1067" s="330"/>
      <c r="W1067" s="98" t="s">
        <v>53</v>
      </c>
    </row>
    <row r="1068" spans="1:24" ht="18.75" customHeight="1">
      <c r="A1068" s="330" t="s">
        <v>90</v>
      </c>
      <c r="B1068" s="330"/>
      <c r="C1068" s="330"/>
      <c r="D1068" s="330"/>
      <c r="E1068" s="330"/>
      <c r="F1068" s="330"/>
      <c r="G1068" s="98" t="s">
        <v>47</v>
      </c>
      <c r="H1068" s="330">
        <f>SUM(H1064:J1067)</f>
        <v>0</v>
      </c>
      <c r="I1068" s="330"/>
      <c r="J1068" s="330"/>
      <c r="K1068" s="98" t="s">
        <v>53</v>
      </c>
      <c r="M1068" s="330" t="s">
        <v>90</v>
      </c>
      <c r="N1068" s="330"/>
      <c r="O1068" s="330"/>
      <c r="P1068" s="330"/>
      <c r="Q1068" s="330"/>
      <c r="R1068" s="330"/>
      <c r="S1068" s="98" t="s">
        <v>47</v>
      </c>
      <c r="T1068" s="330">
        <f>SUM(T1064:V1067)</f>
        <v>0</v>
      </c>
      <c r="U1068" s="330"/>
      <c r="V1068" s="330"/>
      <c r="W1068" s="98" t="s">
        <v>53</v>
      </c>
    </row>
    <row r="1069" spans="1:24" ht="18.75" customHeight="1">
      <c r="A1069" s="330" t="s">
        <v>91</v>
      </c>
      <c r="B1069" s="330"/>
      <c r="C1069" s="330"/>
      <c r="D1069" s="330"/>
      <c r="E1069" s="330"/>
      <c r="F1069" s="330"/>
      <c r="G1069" s="98" t="s">
        <v>47</v>
      </c>
      <c r="H1069" s="330" t="e">
        <f>ROUND(H1061-H1068,-2)</f>
        <v>#DIV/0!</v>
      </c>
      <c r="I1069" s="330"/>
      <c r="J1069" s="330"/>
      <c r="K1069" s="98" t="s">
        <v>53</v>
      </c>
      <c r="M1069" s="330" t="s">
        <v>91</v>
      </c>
      <c r="N1069" s="330"/>
      <c r="O1069" s="330"/>
      <c r="P1069" s="330"/>
      <c r="Q1069" s="330"/>
      <c r="R1069" s="330"/>
      <c r="S1069" s="98" t="s">
        <v>47</v>
      </c>
      <c r="T1069" s="330" t="e">
        <f>ROUND(T1061-T1068,-2)</f>
        <v>#DIV/0!</v>
      </c>
      <c r="U1069" s="330"/>
      <c r="V1069" s="330"/>
      <c r="W1069" s="98" t="s">
        <v>53</v>
      </c>
    </row>
    <row r="1070" spans="1:24" ht="18.75" customHeight="1">
      <c r="A1070" s="98"/>
      <c r="B1070" s="98"/>
      <c r="C1070" s="98"/>
      <c r="D1070" s="98"/>
      <c r="E1070" s="98"/>
      <c r="F1070" s="98"/>
      <c r="G1070" s="98"/>
      <c r="H1070" s="98"/>
      <c r="I1070" s="98"/>
      <c r="J1070" s="98"/>
      <c r="K1070" s="98"/>
      <c r="M1070" s="98"/>
      <c r="N1070" s="98"/>
      <c r="O1070" s="98"/>
      <c r="P1070" s="98"/>
      <c r="Q1070" s="98"/>
      <c r="R1070" s="98"/>
      <c r="S1070" s="98"/>
      <c r="T1070" s="98"/>
      <c r="U1070" s="98"/>
      <c r="V1070" s="98"/>
      <c r="W1070" s="98"/>
    </row>
    <row r="1071" spans="1:24" ht="18.75" customHeight="1">
      <c r="A1071" s="98"/>
      <c r="B1071" s="98"/>
      <c r="C1071" s="98"/>
      <c r="D1071" s="98"/>
      <c r="E1071" s="98"/>
      <c r="F1071" s="98"/>
      <c r="G1071" s="98"/>
      <c r="H1071" s="98"/>
      <c r="I1071" s="330" t="s">
        <v>92</v>
      </c>
      <c r="J1071" s="330"/>
      <c r="K1071" s="330"/>
      <c r="M1071" s="98"/>
      <c r="N1071" s="98"/>
      <c r="O1071" s="98"/>
      <c r="P1071" s="98"/>
      <c r="Q1071" s="98"/>
      <c r="R1071" s="98"/>
      <c r="S1071" s="98"/>
      <c r="T1071" s="98"/>
      <c r="U1071" s="330" t="s">
        <v>92</v>
      </c>
      <c r="V1071" s="330"/>
      <c r="W1071" s="330"/>
    </row>
    <row r="1072" spans="1:24" ht="18.75" customHeight="1">
      <c r="A1072" s="98"/>
      <c r="B1072" s="330"/>
      <c r="C1072" s="330"/>
      <c r="D1072" s="330"/>
      <c r="E1072" s="330"/>
      <c r="F1072" s="98"/>
      <c r="G1072" s="98"/>
      <c r="H1072" s="98"/>
      <c r="I1072" s="98"/>
      <c r="J1072" s="98"/>
      <c r="K1072" s="98"/>
      <c r="M1072" s="98"/>
      <c r="N1072" s="330"/>
      <c r="O1072" s="330"/>
      <c r="P1072" s="330"/>
      <c r="Q1072" s="330"/>
      <c r="R1072" s="98"/>
      <c r="S1072" s="98"/>
      <c r="T1072" s="98"/>
      <c r="U1072" s="98"/>
      <c r="V1072" s="98"/>
      <c r="W1072" s="98"/>
    </row>
    <row r="1073" spans="1:24" ht="18.75" customHeight="1">
      <c r="A1073" s="98"/>
      <c r="B1073" s="98"/>
      <c r="C1073" s="98"/>
      <c r="D1073" s="98"/>
      <c r="E1073" s="98"/>
      <c r="F1073" s="98"/>
      <c r="G1073" s="98"/>
      <c r="H1073" s="98"/>
      <c r="I1073" s="330" t="s">
        <v>93</v>
      </c>
      <c r="J1073" s="330"/>
      <c r="K1073" s="330"/>
      <c r="M1073" s="98"/>
      <c r="N1073" s="98"/>
      <c r="O1073" s="98"/>
      <c r="P1073" s="98"/>
      <c r="Q1073" s="98"/>
      <c r="R1073" s="98"/>
      <c r="S1073" s="98"/>
      <c r="T1073" s="98"/>
      <c r="U1073" s="330" t="s">
        <v>93</v>
      </c>
      <c r="V1073" s="330"/>
      <c r="W1073" s="330"/>
    </row>
    <row r="1075" spans="1:24" ht="18.75" customHeight="1">
      <c r="A1075" s="330" t="s">
        <v>41</v>
      </c>
      <c r="B1075" s="330"/>
      <c r="C1075" s="330"/>
      <c r="D1075" s="330"/>
      <c r="E1075" s="330"/>
      <c r="F1075" s="330"/>
      <c r="G1075" s="330"/>
      <c r="H1075" s="330"/>
      <c r="I1075" s="330"/>
      <c r="J1075" s="330"/>
      <c r="K1075" s="330"/>
      <c r="L1075" s="98">
        <v>24</v>
      </c>
      <c r="M1075" s="330" t="s">
        <v>41</v>
      </c>
      <c r="N1075" s="330"/>
      <c r="O1075" s="330"/>
      <c r="P1075" s="330"/>
      <c r="Q1075" s="330"/>
      <c r="R1075" s="330"/>
      <c r="S1075" s="330"/>
      <c r="T1075" s="330"/>
      <c r="U1075" s="330"/>
      <c r="V1075" s="330"/>
      <c r="W1075" s="330"/>
      <c r="X1075" s="98">
        <v>24</v>
      </c>
    </row>
    <row r="1076" spans="1:24" ht="18.75" customHeight="1">
      <c r="A1076" s="98" t="s">
        <v>166</v>
      </c>
      <c r="B1076" s="98"/>
      <c r="C1076" s="98"/>
      <c r="D1076" s="98"/>
      <c r="E1076" s="98"/>
      <c r="F1076" s="98"/>
      <c r="G1076" s="98"/>
      <c r="H1076" s="98"/>
      <c r="I1076" s="98"/>
      <c r="J1076" s="98"/>
      <c r="K1076" s="98"/>
      <c r="M1076" s="98" t="s">
        <v>167</v>
      </c>
      <c r="N1076" s="98"/>
      <c r="O1076" s="98"/>
      <c r="P1076" s="98"/>
      <c r="Q1076" s="98"/>
      <c r="R1076" s="98"/>
      <c r="S1076" s="98"/>
      <c r="T1076" s="98"/>
      <c r="U1076" s="98"/>
      <c r="V1076" s="98"/>
      <c r="W1076" s="98"/>
    </row>
    <row r="1077" spans="1:24" ht="18.75" customHeight="1">
      <c r="A1077" s="330" t="s">
        <v>45</v>
      </c>
      <c r="B1077" s="330"/>
      <c r="C1077" s="330"/>
      <c r="D1077" s="330"/>
      <c r="E1077" s="330"/>
      <c r="F1077" s="330"/>
      <c r="G1077" s="330"/>
      <c r="H1077" s="330"/>
      <c r="I1077" s="330"/>
      <c r="J1077" s="330"/>
      <c r="K1077" s="330"/>
      <c r="M1077" s="330" t="s">
        <v>45</v>
      </c>
      <c r="N1077" s="330"/>
      <c r="O1077" s="330"/>
      <c r="P1077" s="330"/>
      <c r="Q1077" s="330"/>
      <c r="R1077" s="330"/>
      <c r="S1077" s="330"/>
      <c r="T1077" s="330"/>
      <c r="U1077" s="330"/>
      <c r="V1077" s="330"/>
      <c r="W1077" s="330"/>
    </row>
    <row r="1078" spans="1:24" ht="18.75" customHeight="1">
      <c r="A1078" s="330" t="s">
        <v>46</v>
      </c>
      <c r="B1078" s="330"/>
      <c r="C1078" s="330"/>
      <c r="D1078" s="330"/>
      <c r="E1078" s="98" t="s">
        <v>47</v>
      </c>
      <c r="F1078" s="330"/>
      <c r="G1078" s="330"/>
      <c r="H1078" s="330"/>
      <c r="I1078" s="330"/>
      <c r="J1078" s="330"/>
      <c r="K1078" s="330"/>
      <c r="M1078" s="330" t="s">
        <v>46</v>
      </c>
      <c r="N1078" s="330"/>
      <c r="O1078" s="330"/>
      <c r="P1078" s="330"/>
      <c r="Q1078" s="98" t="s">
        <v>47</v>
      </c>
      <c r="R1078" s="330"/>
      <c r="S1078" s="330"/>
      <c r="T1078" s="330"/>
      <c r="U1078" s="330"/>
      <c r="V1078" s="330"/>
      <c r="W1078" s="330"/>
    </row>
    <row r="1079" spans="1:24" ht="18.75" customHeight="1">
      <c r="A1079" s="330" t="s">
        <v>49</v>
      </c>
      <c r="B1079" s="330"/>
      <c r="C1079" s="330"/>
      <c r="D1079" s="330"/>
      <c r="E1079" s="98" t="s">
        <v>47</v>
      </c>
      <c r="F1079" s="330"/>
      <c r="G1079" s="330"/>
      <c r="H1079" s="330"/>
      <c r="I1079" s="330"/>
      <c r="J1079" s="330"/>
      <c r="K1079" s="330"/>
      <c r="M1079" s="330" t="s">
        <v>49</v>
      </c>
      <c r="N1079" s="330"/>
      <c r="O1079" s="330"/>
      <c r="P1079" s="330"/>
      <c r="Q1079" s="98" t="s">
        <v>47</v>
      </c>
      <c r="R1079" s="330"/>
      <c r="S1079" s="330"/>
      <c r="T1079" s="330"/>
      <c r="U1079" s="330"/>
      <c r="V1079" s="330"/>
      <c r="W1079" s="330"/>
    </row>
    <row r="1080" spans="1:24" ht="18.75" customHeight="1">
      <c r="A1080" s="330" t="s">
        <v>50</v>
      </c>
      <c r="B1080" s="330"/>
      <c r="C1080" s="330"/>
      <c r="D1080" s="330"/>
      <c r="E1080" s="98" t="s">
        <v>47</v>
      </c>
      <c r="F1080" s="330" t="s">
        <v>121</v>
      </c>
      <c r="G1080" s="330"/>
      <c r="H1080" s="330"/>
      <c r="I1080" s="330"/>
      <c r="J1080" s="330"/>
      <c r="K1080" s="330"/>
      <c r="M1080" s="330" t="s">
        <v>50</v>
      </c>
      <c r="N1080" s="330"/>
      <c r="O1080" s="330"/>
      <c r="P1080" s="330"/>
      <c r="Q1080" s="98" t="s">
        <v>47</v>
      </c>
      <c r="R1080" s="330" t="s">
        <v>121</v>
      </c>
      <c r="S1080" s="330"/>
      <c r="T1080" s="330"/>
      <c r="U1080" s="330"/>
      <c r="V1080" s="330"/>
      <c r="W1080" s="330"/>
    </row>
    <row r="1081" spans="1:24" ht="18.75" customHeight="1">
      <c r="A1081" s="330" t="s">
        <v>51</v>
      </c>
      <c r="B1081" s="330"/>
      <c r="C1081" s="330"/>
      <c r="D1081" s="330"/>
      <c r="E1081" s="330"/>
      <c r="F1081" s="330"/>
      <c r="G1081" s="330"/>
      <c r="H1081" s="330"/>
      <c r="I1081" s="330"/>
      <c r="J1081" s="330"/>
      <c r="K1081" s="330"/>
      <c r="M1081" s="330" t="s">
        <v>51</v>
      </c>
      <c r="N1081" s="330"/>
      <c r="O1081" s="330"/>
      <c r="P1081" s="330"/>
      <c r="Q1081" s="330"/>
      <c r="R1081" s="330"/>
      <c r="S1081" s="330"/>
      <c r="T1081" s="330"/>
      <c r="U1081" s="330"/>
      <c r="V1081" s="330"/>
      <c r="W1081" s="330"/>
    </row>
    <row r="1082" spans="1:24" ht="18.75" customHeight="1">
      <c r="A1082" s="330" t="s">
        <v>52</v>
      </c>
      <c r="B1082" s="330"/>
      <c r="C1082" s="330"/>
      <c r="D1082" s="330"/>
      <c r="E1082" s="98" t="s">
        <v>47</v>
      </c>
      <c r="F1082" s="330">
        <v>2915400</v>
      </c>
      <c r="G1082" s="330"/>
      <c r="H1082" s="330"/>
      <c r="I1082" s="330"/>
      <c r="J1082" s="98" t="s">
        <v>53</v>
      </c>
      <c r="K1082" s="98"/>
      <c r="M1082" s="330" t="s">
        <v>52</v>
      </c>
      <c r="N1082" s="330"/>
      <c r="O1082" s="330"/>
      <c r="P1082" s="330"/>
      <c r="Q1082" s="98" t="s">
        <v>47</v>
      </c>
      <c r="R1082" s="330">
        <v>2915400</v>
      </c>
      <c r="S1082" s="330"/>
      <c r="T1082" s="330"/>
      <c r="U1082" s="330"/>
      <c r="V1082" s="98" t="s">
        <v>53</v>
      </c>
      <c r="W1082" s="98"/>
    </row>
    <row r="1083" spans="1:24" ht="18.75" customHeight="1">
      <c r="A1083" s="98" t="s">
        <v>54</v>
      </c>
      <c r="B1083" s="98"/>
      <c r="C1083" s="98"/>
      <c r="D1083" s="98"/>
      <c r="E1083" s="98"/>
      <c r="F1083" s="98"/>
      <c r="G1083" s="98"/>
      <c r="H1083" s="98"/>
      <c r="I1083" s="98"/>
      <c r="J1083" s="98"/>
      <c r="K1083" s="98"/>
      <c r="M1083" s="98" t="s">
        <v>54</v>
      </c>
      <c r="N1083" s="98"/>
      <c r="O1083" s="98"/>
      <c r="P1083" s="98"/>
      <c r="Q1083" s="98"/>
      <c r="R1083" s="98"/>
      <c r="S1083" s="98"/>
      <c r="T1083" s="98"/>
      <c r="U1083" s="98"/>
      <c r="V1083" s="98"/>
      <c r="W1083" s="98"/>
    </row>
    <row r="1084" spans="1:24" ht="18.75" customHeight="1">
      <c r="A1084" s="98" t="s">
        <v>55</v>
      </c>
      <c r="B1084" s="98"/>
      <c r="C1084" s="98"/>
      <c r="D1084" s="98"/>
      <c r="E1084" s="98"/>
      <c r="F1084" s="98"/>
      <c r="G1084" s="98"/>
      <c r="H1084" s="98"/>
      <c r="I1084" s="98" t="e">
        <f>I1085/C1085/8</f>
        <v>#DIV/0!</v>
      </c>
      <c r="J1084" s="98"/>
      <c r="K1084" s="98"/>
      <c r="M1084" s="98" t="s">
        <v>55</v>
      </c>
      <c r="N1084" s="98"/>
      <c r="O1084" s="98"/>
      <c r="P1084" s="98"/>
      <c r="Q1084" s="98"/>
      <c r="R1084" s="98"/>
      <c r="S1084" s="98"/>
      <c r="T1084" s="98"/>
      <c r="U1084" s="98" t="e">
        <f>U1085/O1085/8</f>
        <v>#DIV/0!</v>
      </c>
      <c r="V1084" s="98"/>
      <c r="W1084" s="98"/>
    </row>
    <row r="1085" spans="1:24" ht="18.75" customHeight="1">
      <c r="A1085" s="98" t="s">
        <v>56</v>
      </c>
      <c r="B1085" s="98" t="s">
        <v>47</v>
      </c>
      <c r="C1085" s="98"/>
      <c r="D1085" s="98" t="s">
        <v>57</v>
      </c>
      <c r="E1085" s="330" t="s">
        <v>58</v>
      </c>
      <c r="F1085" s="330"/>
      <c r="G1085" s="330"/>
      <c r="H1085" s="98" t="s">
        <v>47</v>
      </c>
      <c r="I1085" s="330" t="e">
        <f>I1083*680/((C1085-C1092)*8+C1092*7+C1089)*((C1085-C1092)*8+C1092*7)</f>
        <v>#DIV/0!</v>
      </c>
      <c r="J1085" s="330"/>
      <c r="K1085" s="98" t="s">
        <v>53</v>
      </c>
      <c r="L1085" s="98">
        <f>F1082/L1075*C1085</f>
        <v>0</v>
      </c>
      <c r="M1085" s="98" t="s">
        <v>56</v>
      </c>
      <c r="N1085" s="98" t="s">
        <v>47</v>
      </c>
      <c r="O1085" s="98"/>
      <c r="P1085" s="98" t="s">
        <v>57</v>
      </c>
      <c r="Q1085" s="330" t="s">
        <v>58</v>
      </c>
      <c r="R1085" s="330"/>
      <c r="S1085" s="330"/>
      <c r="T1085" s="98" t="s">
        <v>47</v>
      </c>
      <c r="U1085" s="330" t="e">
        <f>U1083*680/((O1085-O1092)*8+O1092*7+O1089)*((O1085-O1092)*8+O1092*7)</f>
        <v>#DIV/0!</v>
      </c>
      <c r="V1085" s="330"/>
      <c r="W1085" s="98" t="s">
        <v>53</v>
      </c>
      <c r="X1085" s="98">
        <f>R1082/X1075*O1085</f>
        <v>0</v>
      </c>
    </row>
    <row r="1086" spans="1:24" ht="18.75" customHeight="1">
      <c r="A1086" s="98" t="s">
        <v>59</v>
      </c>
      <c r="B1086" s="98" t="s">
        <v>47</v>
      </c>
      <c r="C1086" s="98"/>
      <c r="D1086" s="98" t="s">
        <v>57</v>
      </c>
      <c r="E1086" s="330" t="s">
        <v>60</v>
      </c>
      <c r="F1086" s="330"/>
      <c r="G1086" s="330"/>
      <c r="H1086" s="98" t="s">
        <v>47</v>
      </c>
      <c r="I1086" s="330">
        <f>$F$8/$L$1*C1086</f>
        <v>0</v>
      </c>
      <c r="J1086" s="330"/>
      <c r="K1086" s="98" t="s">
        <v>53</v>
      </c>
      <c r="L1086" s="98"/>
      <c r="M1086" s="98" t="s">
        <v>59</v>
      </c>
      <c r="N1086" s="98" t="s">
        <v>47</v>
      </c>
      <c r="O1086" s="98"/>
      <c r="P1086" s="98" t="s">
        <v>57</v>
      </c>
      <c r="Q1086" s="330" t="s">
        <v>60</v>
      </c>
      <c r="R1086" s="330"/>
      <c r="S1086" s="330"/>
      <c r="T1086" s="98" t="s">
        <v>47</v>
      </c>
      <c r="U1086" s="330">
        <f>$F$8/$L$1*O1086</f>
        <v>0</v>
      </c>
      <c r="V1086" s="330"/>
      <c r="W1086" s="98" t="s">
        <v>53</v>
      </c>
      <c r="X1086" s="98"/>
    </row>
    <row r="1087" spans="1:24" ht="18.75" customHeight="1">
      <c r="A1087" s="98" t="s">
        <v>61</v>
      </c>
      <c r="B1087" s="98" t="s">
        <v>47</v>
      </c>
      <c r="C1087" s="98"/>
      <c r="D1087" s="98" t="s">
        <v>57</v>
      </c>
      <c r="E1087" s="330" t="s">
        <v>62</v>
      </c>
      <c r="F1087" s="330"/>
      <c r="G1087" s="330"/>
      <c r="H1087" s="98" t="s">
        <v>47</v>
      </c>
      <c r="I1087" s="330">
        <f>$F$8/$L$1*C1087</f>
        <v>0</v>
      </c>
      <c r="J1087" s="330"/>
      <c r="K1087" s="98" t="s">
        <v>53</v>
      </c>
      <c r="L1087" s="98"/>
      <c r="M1087" s="98" t="s">
        <v>61</v>
      </c>
      <c r="N1087" s="98" t="s">
        <v>47</v>
      </c>
      <c r="O1087" s="98"/>
      <c r="P1087" s="98" t="s">
        <v>57</v>
      </c>
      <c r="Q1087" s="330" t="s">
        <v>62</v>
      </c>
      <c r="R1087" s="330"/>
      <c r="S1087" s="330"/>
      <c r="T1087" s="98" t="s">
        <v>47</v>
      </c>
      <c r="U1087" s="330">
        <f>$F$8/$L$1*O1087</f>
        <v>0</v>
      </c>
      <c r="V1087" s="330"/>
      <c r="W1087" s="98" t="s">
        <v>53</v>
      </c>
      <c r="X1087" s="98"/>
    </row>
    <row r="1088" spans="1:24" ht="18.75" customHeight="1">
      <c r="A1088" s="98" t="s">
        <v>63</v>
      </c>
      <c r="B1088" s="98" t="s">
        <v>47</v>
      </c>
      <c r="C1088" s="98"/>
      <c r="D1088" s="98" t="s">
        <v>57</v>
      </c>
      <c r="E1088" s="330" t="s">
        <v>64</v>
      </c>
      <c r="F1088" s="330"/>
      <c r="G1088" s="330"/>
      <c r="H1088" s="98" t="s">
        <v>47</v>
      </c>
      <c r="I1088" s="330">
        <f>$F$8/$L$1*C1088</f>
        <v>0</v>
      </c>
      <c r="J1088" s="330"/>
      <c r="K1088" s="98" t="s">
        <v>53</v>
      </c>
      <c r="L1088" s="98"/>
      <c r="M1088" s="98" t="s">
        <v>63</v>
      </c>
      <c r="N1088" s="98" t="s">
        <v>47</v>
      </c>
      <c r="O1088" s="98"/>
      <c r="P1088" s="98" t="s">
        <v>57</v>
      </c>
      <c r="Q1088" s="330" t="s">
        <v>64</v>
      </c>
      <c r="R1088" s="330"/>
      <c r="S1088" s="330"/>
      <c r="T1088" s="98" t="s">
        <v>47</v>
      </c>
      <c r="U1088" s="330">
        <f>$F$8/$L$1*O1088</f>
        <v>0</v>
      </c>
      <c r="V1088" s="330"/>
      <c r="W1088" s="98" t="s">
        <v>53</v>
      </c>
      <c r="X1088" s="98"/>
    </row>
    <row r="1089" spans="1:24" ht="18.75" customHeight="1">
      <c r="A1089" s="98" t="s">
        <v>65</v>
      </c>
      <c r="B1089" s="98" t="s">
        <v>47</v>
      </c>
      <c r="C1089" s="98"/>
      <c r="D1089" s="98" t="s">
        <v>66</v>
      </c>
      <c r="E1089" s="330" t="s">
        <v>67</v>
      </c>
      <c r="F1089" s="330"/>
      <c r="G1089" s="330"/>
      <c r="H1089" s="98" t="s">
        <v>47</v>
      </c>
      <c r="I1089" s="330" t="e">
        <f>I1085/C1085/8*C1089</f>
        <v>#DIV/0!</v>
      </c>
      <c r="J1089" s="330"/>
      <c r="K1089" s="98" t="s">
        <v>53</v>
      </c>
      <c r="L1089" s="98">
        <f>F1082*C1089/L1075/8*1.5</f>
        <v>0</v>
      </c>
      <c r="M1089" s="98" t="s">
        <v>65</v>
      </c>
      <c r="N1089" s="98" t="s">
        <v>47</v>
      </c>
      <c r="O1089" s="98"/>
      <c r="P1089" s="98" t="s">
        <v>66</v>
      </c>
      <c r="Q1089" s="330" t="s">
        <v>67</v>
      </c>
      <c r="R1089" s="330"/>
      <c r="S1089" s="330"/>
      <c r="T1089" s="98" t="s">
        <v>47</v>
      </c>
      <c r="U1089" s="330" t="e">
        <f>U1085/O1085/8*O1089</f>
        <v>#DIV/0!</v>
      </c>
      <c r="V1089" s="330"/>
      <c r="W1089" s="98" t="s">
        <v>53</v>
      </c>
      <c r="X1089" s="98">
        <f>R1082*O1089/X1075/8*1.5</f>
        <v>0</v>
      </c>
    </row>
    <row r="1090" spans="1:24" ht="18.75" customHeight="1">
      <c r="A1090" s="330" t="s">
        <v>68</v>
      </c>
      <c r="B1090" s="330"/>
      <c r="C1090" s="98"/>
      <c r="D1090" s="98" t="s">
        <v>57</v>
      </c>
      <c r="E1090" s="330" t="s">
        <v>69</v>
      </c>
      <c r="F1090" s="330"/>
      <c r="G1090" s="330"/>
      <c r="H1090" s="98" t="s">
        <v>47</v>
      </c>
      <c r="I1090" s="330"/>
      <c r="J1090" s="330"/>
      <c r="K1090" s="98" t="s">
        <v>53</v>
      </c>
      <c r="L1090" s="98"/>
      <c r="M1090" s="330" t="s">
        <v>68</v>
      </c>
      <c r="N1090" s="330"/>
      <c r="O1090" s="98"/>
      <c r="P1090" s="98" t="s">
        <v>57</v>
      </c>
      <c r="Q1090" s="330" t="s">
        <v>69</v>
      </c>
      <c r="R1090" s="330"/>
      <c r="S1090" s="330"/>
      <c r="T1090" s="98" t="s">
        <v>47</v>
      </c>
      <c r="U1090" s="330"/>
      <c r="V1090" s="330"/>
      <c r="W1090" s="98" t="s">
        <v>53</v>
      </c>
      <c r="X1090" s="98"/>
    </row>
    <row r="1091" spans="1:24" ht="18.75" customHeight="1">
      <c r="A1091" s="98" t="s">
        <v>70</v>
      </c>
      <c r="B1091" s="98" t="s">
        <v>47</v>
      </c>
      <c r="C1091" s="98"/>
      <c r="D1091" s="98" t="s">
        <v>57</v>
      </c>
      <c r="E1091" s="330" t="s">
        <v>71</v>
      </c>
      <c r="F1091" s="330"/>
      <c r="G1091" s="330"/>
      <c r="H1091" s="98" t="s">
        <v>47</v>
      </c>
      <c r="I1091" s="330"/>
      <c r="J1091" s="330"/>
      <c r="K1091" s="98" t="s">
        <v>53</v>
      </c>
      <c r="L1091" s="98"/>
      <c r="M1091" s="98" t="s">
        <v>70</v>
      </c>
      <c r="N1091" s="98" t="s">
        <v>47</v>
      </c>
      <c r="O1091" s="98"/>
      <c r="P1091" s="98" t="s">
        <v>57</v>
      </c>
      <c r="Q1091" s="330" t="s">
        <v>71</v>
      </c>
      <c r="R1091" s="330"/>
      <c r="S1091" s="330"/>
      <c r="T1091" s="98" t="s">
        <v>47</v>
      </c>
      <c r="U1091" s="330"/>
      <c r="V1091" s="330"/>
      <c r="W1091" s="98" t="s">
        <v>53</v>
      </c>
      <c r="X1091" s="98"/>
    </row>
    <row r="1092" spans="1:24" ht="18.75" customHeight="1">
      <c r="A1092" s="98" t="s">
        <v>72</v>
      </c>
      <c r="B1092" s="98"/>
      <c r="C1092" s="98"/>
      <c r="D1092" s="98" t="s">
        <v>66</v>
      </c>
      <c r="E1092" s="330" t="s">
        <v>73</v>
      </c>
      <c r="F1092" s="330"/>
      <c r="G1092" s="330"/>
      <c r="H1092" s="98" t="s">
        <v>47</v>
      </c>
      <c r="I1092" s="330">
        <f>$F$8*C1092/8/$L$1</f>
        <v>0</v>
      </c>
      <c r="J1092" s="330"/>
      <c r="K1092" s="98" t="s">
        <v>53</v>
      </c>
      <c r="L1092" s="98"/>
      <c r="M1092" s="98" t="s">
        <v>72</v>
      </c>
      <c r="N1092" s="98"/>
      <c r="O1092" s="98"/>
      <c r="P1092" s="98" t="s">
        <v>66</v>
      </c>
      <c r="Q1092" s="330" t="s">
        <v>73</v>
      </c>
      <c r="R1092" s="330"/>
      <c r="S1092" s="330"/>
      <c r="T1092" s="98" t="s">
        <v>47</v>
      </c>
      <c r="U1092" s="330">
        <f>$F$8*O1092/8/$L$1</f>
        <v>0</v>
      </c>
      <c r="V1092" s="330"/>
      <c r="W1092" s="98" t="s">
        <v>53</v>
      </c>
      <c r="X1092" s="98"/>
    </row>
    <row r="1093" spans="1:24" ht="18.75" customHeight="1">
      <c r="A1093" s="98" t="s">
        <v>74</v>
      </c>
      <c r="B1093" s="98" t="s">
        <v>47</v>
      </c>
      <c r="C1093" s="98"/>
      <c r="D1093" s="98" t="s">
        <v>66</v>
      </c>
      <c r="E1093" s="330" t="s">
        <v>98</v>
      </c>
      <c r="F1093" s="330"/>
      <c r="G1093" s="330"/>
      <c r="H1093" s="98" t="s">
        <v>47</v>
      </c>
      <c r="I1093" s="330"/>
      <c r="J1093" s="330"/>
      <c r="K1093" s="98" t="s">
        <v>53</v>
      </c>
      <c r="L1093" s="98"/>
      <c r="M1093" s="98" t="s">
        <v>74</v>
      </c>
      <c r="N1093" s="98" t="s">
        <v>47</v>
      </c>
      <c r="O1093" s="98"/>
      <c r="P1093" s="98" t="s">
        <v>66</v>
      </c>
      <c r="Q1093" s="330" t="s">
        <v>98</v>
      </c>
      <c r="R1093" s="330"/>
      <c r="S1093" s="330"/>
      <c r="T1093" s="98" t="s">
        <v>47</v>
      </c>
      <c r="U1093" s="330"/>
      <c r="V1093" s="330"/>
      <c r="W1093" s="98" t="s">
        <v>53</v>
      </c>
      <c r="X1093" s="98"/>
    </row>
    <row r="1094" spans="1:24" ht="18.75" customHeight="1">
      <c r="A1094" s="98" t="s">
        <v>76</v>
      </c>
      <c r="B1094" s="98" t="s">
        <v>47</v>
      </c>
      <c r="C1094" s="98"/>
      <c r="D1094" s="98" t="s">
        <v>77</v>
      </c>
      <c r="E1094" s="98" t="s">
        <v>78</v>
      </c>
      <c r="F1094" s="98"/>
      <c r="G1094" s="98"/>
      <c r="H1094" s="98" t="s">
        <v>47</v>
      </c>
      <c r="I1094" s="330"/>
      <c r="J1094" s="330"/>
      <c r="K1094" s="98" t="s">
        <v>53</v>
      </c>
      <c r="L1094" s="98" t="e">
        <f>+IF(L1085-I1085&lt;0,0,L1085-I1085)+IF(L1089-I1089&lt;0,0,L1089-I1089)</f>
        <v>#DIV/0!</v>
      </c>
      <c r="M1094" s="98" t="s">
        <v>76</v>
      </c>
      <c r="N1094" s="98" t="s">
        <v>47</v>
      </c>
      <c r="O1094" s="98"/>
      <c r="P1094" s="98" t="s">
        <v>77</v>
      </c>
      <c r="Q1094" s="98" t="s">
        <v>78</v>
      </c>
      <c r="R1094" s="98"/>
      <c r="S1094" s="98"/>
      <c r="T1094" s="98" t="s">
        <v>47</v>
      </c>
      <c r="U1094" s="330"/>
      <c r="V1094" s="330"/>
      <c r="W1094" s="98" t="s">
        <v>53</v>
      </c>
      <c r="X1094" s="98" t="e">
        <f>+IF(X1085-U1085&lt;0,0,X1085-U1085)+IF(X1089-U1089&lt;0,0,X1089-U1089)</f>
        <v>#DIV/0!</v>
      </c>
    </row>
    <row r="1095" spans="1:24" ht="18.75" customHeight="1">
      <c r="A1095" s="98" t="s">
        <v>122</v>
      </c>
      <c r="B1095" s="98"/>
      <c r="C1095" s="98"/>
      <c r="D1095" s="98" t="s">
        <v>57</v>
      </c>
      <c r="E1095" s="330" t="s">
        <v>123</v>
      </c>
      <c r="F1095" s="330"/>
      <c r="G1095" s="330"/>
      <c r="H1095" s="98" t="s">
        <v>47</v>
      </c>
      <c r="I1095" s="330"/>
      <c r="J1095" s="330"/>
      <c r="K1095" s="98" t="s">
        <v>53</v>
      </c>
      <c r="L1095" s="98"/>
      <c r="M1095" s="98" t="s">
        <v>122</v>
      </c>
      <c r="N1095" s="98"/>
      <c r="O1095" s="98"/>
      <c r="P1095" s="98" t="s">
        <v>57</v>
      </c>
      <c r="Q1095" s="330" t="s">
        <v>123</v>
      </c>
      <c r="R1095" s="330"/>
      <c r="S1095" s="330"/>
      <c r="T1095" s="98" t="s">
        <v>47</v>
      </c>
      <c r="U1095" s="330"/>
      <c r="V1095" s="330"/>
      <c r="W1095" s="98" t="s">
        <v>53</v>
      </c>
      <c r="X1095" s="98"/>
    </row>
    <row r="1096" spans="1:24" ht="18.75" customHeight="1">
      <c r="A1096" s="330" t="s">
        <v>81</v>
      </c>
      <c r="B1096" s="330"/>
      <c r="C1096" s="98"/>
      <c r="D1096" s="98"/>
      <c r="E1096" s="98"/>
      <c r="F1096" s="98"/>
      <c r="G1096" s="98"/>
      <c r="H1096" s="98" t="s">
        <v>47</v>
      </c>
      <c r="I1096" s="330"/>
      <c r="J1096" s="330"/>
      <c r="K1096" s="98" t="s">
        <v>53</v>
      </c>
      <c r="L1096" s="98"/>
      <c r="M1096" s="330" t="s">
        <v>81</v>
      </c>
      <c r="N1096" s="330"/>
      <c r="O1096" s="98"/>
      <c r="P1096" s="98"/>
      <c r="Q1096" s="98"/>
      <c r="R1096" s="98"/>
      <c r="S1096" s="98"/>
      <c r="T1096" s="98" t="s">
        <v>47</v>
      </c>
      <c r="U1096" s="330"/>
      <c r="V1096" s="330"/>
      <c r="W1096" s="98" t="s">
        <v>53</v>
      </c>
      <c r="X1096" s="98"/>
    </row>
    <row r="1097" spans="1:24" ht="18.75" customHeight="1">
      <c r="A1097" s="98" t="s">
        <v>82</v>
      </c>
      <c r="B1097" s="98" t="s">
        <v>47</v>
      </c>
      <c r="C1097" s="98"/>
      <c r="D1097" s="98"/>
      <c r="E1097" s="98" t="s">
        <v>83</v>
      </c>
      <c r="F1097" s="98"/>
      <c r="G1097" s="98"/>
      <c r="H1097" s="98" t="s">
        <v>47</v>
      </c>
      <c r="I1097" s="330" t="e">
        <f>L1094</f>
        <v>#DIV/0!</v>
      </c>
      <c r="J1097" s="330"/>
      <c r="K1097" s="98" t="s">
        <v>53</v>
      </c>
      <c r="L1097" s="98"/>
      <c r="M1097" s="98" t="s">
        <v>82</v>
      </c>
      <c r="N1097" s="98" t="s">
        <v>47</v>
      </c>
      <c r="O1097" s="98"/>
      <c r="P1097" s="98"/>
      <c r="Q1097" s="98" t="s">
        <v>83</v>
      </c>
      <c r="R1097" s="98"/>
      <c r="S1097" s="98"/>
      <c r="T1097" s="98" t="s">
        <v>47</v>
      </c>
      <c r="U1097" s="330" t="e">
        <f>X1094</f>
        <v>#DIV/0!</v>
      </c>
      <c r="V1097" s="330"/>
      <c r="W1097" s="98" t="s">
        <v>53</v>
      </c>
      <c r="X1097" s="98"/>
    </row>
    <row r="1098" spans="1:24" ht="18.75" customHeight="1">
      <c r="A1098" s="330" t="s">
        <v>84</v>
      </c>
      <c r="B1098" s="330"/>
      <c r="C1098" s="330"/>
      <c r="D1098" s="330"/>
      <c r="E1098" s="330"/>
      <c r="F1098" s="330"/>
      <c r="G1098" s="98" t="s">
        <v>47</v>
      </c>
      <c r="H1098" s="330" t="e">
        <f>I1085+I1086+I1087+I1088+I1089+I1092+I1096+I1097</f>
        <v>#DIV/0!</v>
      </c>
      <c r="I1098" s="330"/>
      <c r="J1098" s="330"/>
      <c r="K1098" s="98" t="s">
        <v>53</v>
      </c>
      <c r="M1098" s="330" t="s">
        <v>84</v>
      </c>
      <c r="N1098" s="330"/>
      <c r="O1098" s="330"/>
      <c r="P1098" s="330"/>
      <c r="Q1098" s="330"/>
      <c r="R1098" s="330"/>
      <c r="S1098" s="98" t="s">
        <v>47</v>
      </c>
      <c r="T1098" s="330" t="e">
        <f>U1085+U1086+U1087+U1088+U1089+U1092+U1096+U1097</f>
        <v>#DIV/0!</v>
      </c>
      <c r="U1098" s="330"/>
      <c r="V1098" s="330"/>
      <c r="W1098" s="98" t="s">
        <v>53</v>
      </c>
    </row>
    <row r="1099" spans="1:24" ht="18.75" customHeight="1">
      <c r="A1099" s="98"/>
      <c r="B1099" s="98"/>
      <c r="C1099" s="98"/>
      <c r="D1099" s="98"/>
      <c r="E1099" s="98"/>
      <c r="F1099" s="98"/>
      <c r="G1099" s="98"/>
      <c r="H1099" s="98"/>
      <c r="I1099" s="98"/>
      <c r="J1099" s="98"/>
      <c r="K1099" s="98"/>
      <c r="M1099" s="98"/>
      <c r="N1099" s="98"/>
      <c r="O1099" s="98"/>
      <c r="P1099" s="98"/>
      <c r="Q1099" s="98"/>
      <c r="R1099" s="98"/>
      <c r="S1099" s="98"/>
      <c r="T1099" s="98"/>
      <c r="U1099" s="98"/>
      <c r="V1099" s="98"/>
      <c r="W1099" s="98"/>
    </row>
    <row r="1100" spans="1:24" ht="18.75" customHeight="1">
      <c r="A1100" s="330" t="s">
        <v>85</v>
      </c>
      <c r="B1100" s="330"/>
      <c r="C1100" s="330"/>
      <c r="D1100" s="330"/>
      <c r="E1100" s="330"/>
      <c r="F1100" s="330"/>
      <c r="G1100" s="98"/>
      <c r="H1100" s="98"/>
      <c r="I1100" s="98"/>
      <c r="J1100" s="98"/>
      <c r="K1100" s="98"/>
      <c r="M1100" s="330" t="s">
        <v>85</v>
      </c>
      <c r="N1100" s="330"/>
      <c r="O1100" s="330"/>
      <c r="P1100" s="330"/>
      <c r="Q1100" s="330"/>
      <c r="R1100" s="330"/>
      <c r="S1100" s="98"/>
      <c r="T1100" s="98"/>
      <c r="U1100" s="98"/>
      <c r="V1100" s="98"/>
      <c r="W1100" s="98"/>
    </row>
    <row r="1101" spans="1:24" ht="18.75" customHeight="1">
      <c r="A1101" s="330" t="s">
        <v>86</v>
      </c>
      <c r="B1101" s="330"/>
      <c r="C1101" s="330"/>
      <c r="D1101" s="330"/>
      <c r="E1101" s="330"/>
      <c r="F1101" s="330"/>
      <c r="G1101" s="98" t="s">
        <v>47</v>
      </c>
      <c r="H1101" s="330">
        <f>IF(($L$1-(C1085+C1086+C1087+C1088))&gt;12,0,F1082*8%)</f>
        <v>0</v>
      </c>
      <c r="I1101" s="330"/>
      <c r="J1101" s="330"/>
      <c r="K1101" s="98" t="s">
        <v>53</v>
      </c>
      <c r="M1101" s="330" t="s">
        <v>86</v>
      </c>
      <c r="N1101" s="330"/>
      <c r="O1101" s="330"/>
      <c r="P1101" s="330"/>
      <c r="Q1101" s="330"/>
      <c r="R1101" s="330"/>
      <c r="S1101" s="98" t="s">
        <v>47</v>
      </c>
      <c r="T1101" s="330">
        <f>IF(($L$1-(O1085+O1086+O1087+O1088))&gt;12,0,R1082*8%)</f>
        <v>0</v>
      </c>
      <c r="U1101" s="330"/>
      <c r="V1101" s="330"/>
      <c r="W1101" s="98" t="s">
        <v>53</v>
      </c>
    </row>
    <row r="1102" spans="1:24" ht="18.75" customHeight="1">
      <c r="A1102" s="330" t="s">
        <v>87</v>
      </c>
      <c r="B1102" s="330"/>
      <c r="C1102" s="330"/>
      <c r="D1102" s="330"/>
      <c r="E1102" s="330"/>
      <c r="F1102" s="330"/>
      <c r="G1102" s="98" t="s">
        <v>47</v>
      </c>
      <c r="H1102" s="330">
        <f>IF(($L$1-(C1085+C1086+C1087+C1088))&gt;12,0,F1082*1.5%)</f>
        <v>0</v>
      </c>
      <c r="I1102" s="330"/>
      <c r="J1102" s="330"/>
      <c r="K1102" s="98" t="s">
        <v>53</v>
      </c>
      <c r="M1102" s="330" t="s">
        <v>87</v>
      </c>
      <c r="N1102" s="330"/>
      <c r="O1102" s="330"/>
      <c r="P1102" s="330"/>
      <c r="Q1102" s="330"/>
      <c r="R1102" s="330"/>
      <c r="S1102" s="98" t="s">
        <v>47</v>
      </c>
      <c r="T1102" s="330">
        <f>IF(($L$1-(O1085+O1086+O1087+O1088))&gt;12,0,R1082*1.5%)</f>
        <v>0</v>
      </c>
      <c r="U1102" s="330"/>
      <c r="V1102" s="330"/>
      <c r="W1102" s="98" t="s">
        <v>53</v>
      </c>
    </row>
    <row r="1103" spans="1:24" ht="18.75" customHeight="1">
      <c r="A1103" s="330" t="s">
        <v>88</v>
      </c>
      <c r="B1103" s="330"/>
      <c r="C1103" s="330"/>
      <c r="D1103" s="330"/>
      <c r="E1103" s="330"/>
      <c r="F1103" s="330"/>
      <c r="G1103" s="98" t="s">
        <v>47</v>
      </c>
      <c r="H1103" s="330">
        <f>IF(($L$1-(C1085+C1086+C1087+C1088))&gt;12,0,F1082*1%)</f>
        <v>0</v>
      </c>
      <c r="I1103" s="330"/>
      <c r="J1103" s="330"/>
      <c r="K1103" s="98" t="s">
        <v>53</v>
      </c>
      <c r="M1103" s="330" t="s">
        <v>88</v>
      </c>
      <c r="N1103" s="330"/>
      <c r="O1103" s="330"/>
      <c r="P1103" s="330"/>
      <c r="Q1103" s="330"/>
      <c r="R1103" s="330"/>
      <c r="S1103" s="98" t="s">
        <v>47</v>
      </c>
      <c r="T1103" s="330">
        <f>IF(($L$1-(O1085+O1086+O1087+O1088))&gt;12,0,R1082*1%)</f>
        <v>0</v>
      </c>
      <c r="U1103" s="330"/>
      <c r="V1103" s="330"/>
      <c r="W1103" s="98" t="s">
        <v>53</v>
      </c>
    </row>
    <row r="1104" spans="1:24" ht="18.75" customHeight="1">
      <c r="A1104" s="330" t="s">
        <v>89</v>
      </c>
      <c r="B1104" s="330"/>
      <c r="C1104" s="330"/>
      <c r="D1104" s="330"/>
      <c r="E1104" s="330"/>
      <c r="F1104" s="330"/>
      <c r="G1104" s="98" t="s">
        <v>47</v>
      </c>
      <c r="H1104" s="330">
        <v>0</v>
      </c>
      <c r="I1104" s="330"/>
      <c r="J1104" s="330"/>
      <c r="K1104" s="98" t="s">
        <v>53</v>
      </c>
      <c r="M1104" s="330" t="s">
        <v>89</v>
      </c>
      <c r="N1104" s="330"/>
      <c r="O1104" s="330"/>
      <c r="P1104" s="330"/>
      <c r="Q1104" s="330"/>
      <c r="R1104" s="330"/>
      <c r="S1104" s="98" t="s">
        <v>47</v>
      </c>
      <c r="T1104" s="330">
        <v>0</v>
      </c>
      <c r="U1104" s="330"/>
      <c r="V1104" s="330"/>
      <c r="W1104" s="98" t="s">
        <v>53</v>
      </c>
    </row>
    <row r="1105" spans="1:24" ht="18.75" customHeight="1">
      <c r="A1105" s="330" t="s">
        <v>90</v>
      </c>
      <c r="B1105" s="330"/>
      <c r="C1105" s="330"/>
      <c r="D1105" s="330"/>
      <c r="E1105" s="330"/>
      <c r="F1105" s="330"/>
      <c r="G1105" s="98" t="s">
        <v>47</v>
      </c>
      <c r="H1105" s="330">
        <f>SUM(H1101:J1104)</f>
        <v>0</v>
      </c>
      <c r="I1105" s="330"/>
      <c r="J1105" s="330"/>
      <c r="K1105" s="98" t="s">
        <v>53</v>
      </c>
      <c r="M1105" s="330" t="s">
        <v>90</v>
      </c>
      <c r="N1105" s="330"/>
      <c r="O1105" s="330"/>
      <c r="P1105" s="330"/>
      <c r="Q1105" s="330"/>
      <c r="R1105" s="330"/>
      <c r="S1105" s="98" t="s">
        <v>47</v>
      </c>
      <c r="T1105" s="330">
        <f>SUM(T1101:V1104)</f>
        <v>0</v>
      </c>
      <c r="U1105" s="330"/>
      <c r="V1105" s="330"/>
      <c r="W1105" s="98" t="s">
        <v>53</v>
      </c>
    </row>
    <row r="1106" spans="1:24" ht="18.75" customHeight="1">
      <c r="A1106" s="330" t="s">
        <v>91</v>
      </c>
      <c r="B1106" s="330"/>
      <c r="C1106" s="330"/>
      <c r="D1106" s="330"/>
      <c r="E1106" s="330"/>
      <c r="F1106" s="330"/>
      <c r="G1106" s="98" t="s">
        <v>47</v>
      </c>
      <c r="H1106" s="330" t="e">
        <f>ROUND(H1098-H1105,-2)</f>
        <v>#DIV/0!</v>
      </c>
      <c r="I1106" s="330"/>
      <c r="J1106" s="330"/>
      <c r="K1106" s="98" t="s">
        <v>53</v>
      </c>
      <c r="M1106" s="330" t="s">
        <v>91</v>
      </c>
      <c r="N1106" s="330"/>
      <c r="O1106" s="330"/>
      <c r="P1106" s="330"/>
      <c r="Q1106" s="330"/>
      <c r="R1106" s="330"/>
      <c r="S1106" s="98" t="s">
        <v>47</v>
      </c>
      <c r="T1106" s="330" t="e">
        <f>ROUND(T1098-T1105,-2)</f>
        <v>#DIV/0!</v>
      </c>
      <c r="U1106" s="330"/>
      <c r="V1106" s="330"/>
      <c r="W1106" s="98" t="s">
        <v>53</v>
      </c>
    </row>
    <row r="1107" spans="1:24" ht="18.75" customHeight="1">
      <c r="A1107" s="98"/>
      <c r="B1107" s="98"/>
      <c r="C1107" s="98"/>
      <c r="D1107" s="98"/>
      <c r="E1107" s="98"/>
      <c r="F1107" s="98"/>
      <c r="G1107" s="98"/>
      <c r="H1107" s="98"/>
      <c r="I1107" s="98"/>
      <c r="J1107" s="98"/>
      <c r="K1107" s="98"/>
      <c r="M1107" s="98"/>
      <c r="N1107" s="98"/>
      <c r="O1107" s="98"/>
      <c r="P1107" s="98"/>
      <c r="Q1107" s="98"/>
      <c r="R1107" s="98"/>
      <c r="S1107" s="98"/>
      <c r="T1107" s="98"/>
      <c r="U1107" s="98"/>
      <c r="V1107" s="98"/>
      <c r="W1107" s="98"/>
    </row>
    <row r="1108" spans="1:24" ht="18.75" customHeight="1">
      <c r="A1108" s="98"/>
      <c r="B1108" s="98"/>
      <c r="C1108" s="98"/>
      <c r="D1108" s="98"/>
      <c r="E1108" s="98"/>
      <c r="F1108" s="98"/>
      <c r="G1108" s="98"/>
      <c r="H1108" s="98"/>
      <c r="I1108" s="330" t="s">
        <v>92</v>
      </c>
      <c r="J1108" s="330"/>
      <c r="K1108" s="330"/>
      <c r="M1108" s="98"/>
      <c r="N1108" s="98"/>
      <c r="O1108" s="98"/>
      <c r="P1108" s="98"/>
      <c r="Q1108" s="98"/>
      <c r="R1108" s="98"/>
      <c r="S1108" s="98"/>
      <c r="T1108" s="98"/>
      <c r="U1108" s="330" t="s">
        <v>92</v>
      </c>
      <c r="V1108" s="330"/>
      <c r="W1108" s="330"/>
    </row>
    <row r="1109" spans="1:24" ht="18.75" customHeight="1">
      <c r="A1109" s="98"/>
      <c r="B1109" s="330"/>
      <c r="C1109" s="330"/>
      <c r="D1109" s="330"/>
      <c r="E1109" s="330"/>
      <c r="F1109" s="98"/>
      <c r="G1109" s="98"/>
      <c r="H1109" s="98"/>
      <c r="I1109" s="98"/>
      <c r="J1109" s="98"/>
      <c r="K1109" s="98"/>
      <c r="M1109" s="98"/>
      <c r="N1109" s="330"/>
      <c r="O1109" s="330"/>
      <c r="P1109" s="330"/>
      <c r="Q1109" s="330"/>
      <c r="R1109" s="98"/>
      <c r="S1109" s="98"/>
      <c r="T1109" s="98"/>
      <c r="U1109" s="98"/>
      <c r="V1109" s="98"/>
      <c r="W1109" s="98"/>
    </row>
    <row r="1110" spans="1:24" ht="18.75" customHeight="1">
      <c r="A1110" s="98"/>
      <c r="B1110" s="98"/>
      <c r="C1110" s="98"/>
      <c r="D1110" s="98"/>
      <c r="E1110" s="98"/>
      <c r="F1110" s="98"/>
      <c r="G1110" s="98"/>
      <c r="H1110" s="98"/>
      <c r="I1110" s="330" t="s">
        <v>93</v>
      </c>
      <c r="J1110" s="330"/>
      <c r="K1110" s="330"/>
      <c r="M1110" s="98"/>
      <c r="N1110" s="98"/>
      <c r="O1110" s="98"/>
      <c r="P1110" s="98"/>
      <c r="Q1110" s="98"/>
      <c r="R1110" s="98"/>
      <c r="S1110" s="98"/>
      <c r="T1110" s="98"/>
      <c r="U1110" s="330" t="s">
        <v>93</v>
      </c>
      <c r="V1110" s="330"/>
      <c r="W1110" s="330"/>
    </row>
    <row r="1112" spans="1:24" ht="18.75" customHeight="1">
      <c r="A1112" s="330" t="s">
        <v>41</v>
      </c>
      <c r="B1112" s="330"/>
      <c r="C1112" s="330"/>
      <c r="D1112" s="330"/>
      <c r="E1112" s="330"/>
      <c r="F1112" s="330"/>
      <c r="G1112" s="330"/>
      <c r="H1112" s="330"/>
      <c r="I1112" s="330"/>
      <c r="J1112" s="330"/>
      <c r="K1112" s="330"/>
      <c r="L1112" s="98">
        <v>24</v>
      </c>
      <c r="M1112" s="330" t="s">
        <v>41</v>
      </c>
      <c r="N1112" s="330"/>
      <c r="O1112" s="330"/>
      <c r="P1112" s="330"/>
      <c r="Q1112" s="330"/>
      <c r="R1112" s="330"/>
      <c r="S1112" s="330"/>
      <c r="T1112" s="330"/>
      <c r="U1112" s="330"/>
      <c r="V1112" s="330"/>
      <c r="W1112" s="330"/>
      <c r="X1112" s="98">
        <v>24</v>
      </c>
    </row>
    <row r="1113" spans="1:24" ht="18.75" customHeight="1">
      <c r="A1113" s="98" t="s">
        <v>168</v>
      </c>
      <c r="B1113" s="98"/>
      <c r="C1113" s="98"/>
      <c r="D1113" s="98"/>
      <c r="E1113" s="98"/>
      <c r="F1113" s="98"/>
      <c r="G1113" s="98"/>
      <c r="H1113" s="98"/>
      <c r="I1113" s="98"/>
      <c r="J1113" s="98"/>
      <c r="K1113" s="98"/>
      <c r="M1113" s="98" t="s">
        <v>169</v>
      </c>
      <c r="N1113" s="98"/>
      <c r="O1113" s="98"/>
      <c r="P1113" s="98"/>
      <c r="Q1113" s="98"/>
      <c r="R1113" s="98"/>
      <c r="S1113" s="98"/>
      <c r="T1113" s="98"/>
      <c r="U1113" s="98"/>
      <c r="V1113" s="98"/>
      <c r="W1113" s="98"/>
    </row>
    <row r="1114" spans="1:24" ht="18.75" customHeight="1">
      <c r="A1114" s="330" t="s">
        <v>45</v>
      </c>
      <c r="B1114" s="330"/>
      <c r="C1114" s="330"/>
      <c r="D1114" s="330"/>
      <c r="E1114" s="330"/>
      <c r="F1114" s="330"/>
      <c r="G1114" s="330"/>
      <c r="H1114" s="330"/>
      <c r="I1114" s="330"/>
      <c r="J1114" s="330"/>
      <c r="K1114" s="330"/>
      <c r="M1114" s="330" t="s">
        <v>45</v>
      </c>
      <c r="N1114" s="330"/>
      <c r="O1114" s="330"/>
      <c r="P1114" s="330"/>
      <c r="Q1114" s="330"/>
      <c r="R1114" s="330"/>
      <c r="S1114" s="330"/>
      <c r="T1114" s="330"/>
      <c r="U1114" s="330"/>
      <c r="V1114" s="330"/>
      <c r="W1114" s="330"/>
    </row>
    <row r="1115" spans="1:24" ht="18.75" customHeight="1">
      <c r="A1115" s="330" t="s">
        <v>46</v>
      </c>
      <c r="B1115" s="330"/>
      <c r="C1115" s="330"/>
      <c r="D1115" s="330"/>
      <c r="E1115" s="98" t="s">
        <v>47</v>
      </c>
      <c r="F1115" s="330"/>
      <c r="G1115" s="330"/>
      <c r="H1115" s="330"/>
      <c r="I1115" s="330"/>
      <c r="J1115" s="330"/>
      <c r="K1115" s="330"/>
      <c r="M1115" s="330" t="s">
        <v>46</v>
      </c>
      <c r="N1115" s="330"/>
      <c r="O1115" s="330"/>
      <c r="P1115" s="330"/>
      <c r="Q1115" s="98" t="s">
        <v>47</v>
      </c>
      <c r="R1115" s="330"/>
      <c r="S1115" s="330"/>
      <c r="T1115" s="330"/>
      <c r="U1115" s="330"/>
      <c r="V1115" s="330"/>
      <c r="W1115" s="330"/>
    </row>
    <row r="1116" spans="1:24" ht="18.75" customHeight="1">
      <c r="A1116" s="330" t="s">
        <v>49</v>
      </c>
      <c r="B1116" s="330"/>
      <c r="C1116" s="330"/>
      <c r="D1116" s="330"/>
      <c r="E1116" s="98" t="s">
        <v>47</v>
      </c>
      <c r="F1116" s="330"/>
      <c r="G1116" s="330"/>
      <c r="H1116" s="330"/>
      <c r="I1116" s="330"/>
      <c r="J1116" s="330"/>
      <c r="K1116" s="330"/>
      <c r="M1116" s="330" t="s">
        <v>49</v>
      </c>
      <c r="N1116" s="330"/>
      <c r="O1116" s="330"/>
      <c r="P1116" s="330"/>
      <c r="Q1116" s="98" t="s">
        <v>47</v>
      </c>
      <c r="R1116" s="330"/>
      <c r="S1116" s="330"/>
      <c r="T1116" s="330"/>
      <c r="U1116" s="330"/>
      <c r="V1116" s="330"/>
      <c r="W1116" s="330"/>
    </row>
    <row r="1117" spans="1:24" ht="18.75" customHeight="1">
      <c r="A1117" s="330" t="s">
        <v>50</v>
      </c>
      <c r="B1117" s="330"/>
      <c r="C1117" s="330"/>
      <c r="D1117" s="330"/>
      <c r="E1117" s="98" t="s">
        <v>47</v>
      </c>
      <c r="F1117" s="330" t="s">
        <v>121</v>
      </c>
      <c r="G1117" s="330"/>
      <c r="H1117" s="330"/>
      <c r="I1117" s="330"/>
      <c r="J1117" s="330"/>
      <c r="K1117" s="330"/>
      <c r="M1117" s="330" t="s">
        <v>50</v>
      </c>
      <c r="N1117" s="330"/>
      <c r="O1117" s="330"/>
      <c r="P1117" s="330"/>
      <c r="Q1117" s="98" t="s">
        <v>47</v>
      </c>
      <c r="R1117" s="330" t="s">
        <v>121</v>
      </c>
      <c r="S1117" s="330"/>
      <c r="T1117" s="330"/>
      <c r="U1117" s="330"/>
      <c r="V1117" s="330"/>
      <c r="W1117" s="330"/>
    </row>
    <row r="1118" spans="1:24" ht="18.75" customHeight="1">
      <c r="A1118" s="330" t="s">
        <v>51</v>
      </c>
      <c r="B1118" s="330"/>
      <c r="C1118" s="330"/>
      <c r="D1118" s="330"/>
      <c r="E1118" s="330"/>
      <c r="F1118" s="330"/>
      <c r="G1118" s="330"/>
      <c r="H1118" s="330"/>
      <c r="I1118" s="330"/>
      <c r="J1118" s="330"/>
      <c r="K1118" s="330"/>
      <c r="M1118" s="330" t="s">
        <v>51</v>
      </c>
      <c r="N1118" s="330"/>
      <c r="O1118" s="330"/>
      <c r="P1118" s="330"/>
      <c r="Q1118" s="330"/>
      <c r="R1118" s="330"/>
      <c r="S1118" s="330"/>
      <c r="T1118" s="330"/>
      <c r="U1118" s="330"/>
      <c r="V1118" s="330"/>
      <c r="W1118" s="330"/>
    </row>
    <row r="1119" spans="1:24" ht="18.75" customHeight="1">
      <c r="A1119" s="330" t="s">
        <v>52</v>
      </c>
      <c r="B1119" s="330"/>
      <c r="C1119" s="330"/>
      <c r="D1119" s="330"/>
      <c r="E1119" s="98" t="s">
        <v>47</v>
      </c>
      <c r="F1119" s="330">
        <v>2915400</v>
      </c>
      <c r="G1119" s="330"/>
      <c r="H1119" s="330"/>
      <c r="I1119" s="330"/>
      <c r="J1119" s="98" t="s">
        <v>53</v>
      </c>
      <c r="K1119" s="98"/>
      <c r="M1119" s="330" t="s">
        <v>52</v>
      </c>
      <c r="N1119" s="330"/>
      <c r="O1119" s="330"/>
      <c r="P1119" s="330"/>
      <c r="Q1119" s="98" t="s">
        <v>47</v>
      </c>
      <c r="R1119" s="330">
        <v>2915400</v>
      </c>
      <c r="S1119" s="330"/>
      <c r="T1119" s="330"/>
      <c r="U1119" s="330"/>
      <c r="V1119" s="98" t="s">
        <v>53</v>
      </c>
      <c r="W1119" s="98"/>
    </row>
    <row r="1120" spans="1:24" ht="18.75" customHeight="1">
      <c r="A1120" s="98" t="s">
        <v>54</v>
      </c>
      <c r="B1120" s="98"/>
      <c r="C1120" s="98"/>
      <c r="D1120" s="98"/>
      <c r="E1120" s="98"/>
      <c r="F1120" s="98"/>
      <c r="G1120" s="98"/>
      <c r="H1120" s="98"/>
      <c r="I1120" s="98"/>
      <c r="J1120" s="98"/>
      <c r="K1120" s="98"/>
      <c r="M1120" s="98" t="s">
        <v>54</v>
      </c>
      <c r="N1120" s="98"/>
      <c r="O1120" s="98"/>
      <c r="P1120" s="98"/>
      <c r="Q1120" s="98"/>
      <c r="R1120" s="98"/>
      <c r="S1120" s="98"/>
      <c r="T1120" s="98"/>
      <c r="U1120" s="98"/>
      <c r="V1120" s="98"/>
      <c r="W1120" s="98"/>
    </row>
    <row r="1121" spans="1:24" ht="18.75" customHeight="1">
      <c r="A1121" s="98" t="s">
        <v>55</v>
      </c>
      <c r="B1121" s="98"/>
      <c r="C1121" s="98"/>
      <c r="D1121" s="98"/>
      <c r="E1121" s="98"/>
      <c r="F1121" s="98"/>
      <c r="G1121" s="98"/>
      <c r="H1121" s="98"/>
      <c r="I1121" s="98" t="e">
        <f>I1122/C1122/8</f>
        <v>#DIV/0!</v>
      </c>
      <c r="J1121" s="98"/>
      <c r="K1121" s="98"/>
      <c r="M1121" s="98" t="s">
        <v>55</v>
      </c>
      <c r="N1121" s="98"/>
      <c r="O1121" s="98"/>
      <c r="P1121" s="98"/>
      <c r="Q1121" s="98"/>
      <c r="R1121" s="98"/>
      <c r="S1121" s="98"/>
      <c r="T1121" s="98"/>
      <c r="U1121" s="98" t="e">
        <f>U1122/O1122/8</f>
        <v>#DIV/0!</v>
      </c>
      <c r="V1121" s="98"/>
      <c r="W1121" s="98"/>
    </row>
    <row r="1122" spans="1:24" ht="18.75" customHeight="1">
      <c r="A1122" s="98" t="s">
        <v>56</v>
      </c>
      <c r="B1122" s="98" t="s">
        <v>47</v>
      </c>
      <c r="C1122" s="98"/>
      <c r="D1122" s="98" t="s">
        <v>57</v>
      </c>
      <c r="E1122" s="330" t="s">
        <v>58</v>
      </c>
      <c r="F1122" s="330"/>
      <c r="G1122" s="330"/>
      <c r="H1122" s="98" t="s">
        <v>47</v>
      </c>
      <c r="I1122" s="330" t="e">
        <f>I1120*680/((C1122-C1129)*8+C1129*7+C1126)*((C1122-C1129)*8+C1129*7)</f>
        <v>#DIV/0!</v>
      </c>
      <c r="J1122" s="330"/>
      <c r="K1122" s="98" t="s">
        <v>53</v>
      </c>
      <c r="L1122" s="98">
        <f>F1119/L1112*C1122</f>
        <v>0</v>
      </c>
      <c r="M1122" s="98" t="s">
        <v>56</v>
      </c>
      <c r="N1122" s="98" t="s">
        <v>47</v>
      </c>
      <c r="O1122" s="98"/>
      <c r="P1122" s="98" t="s">
        <v>57</v>
      </c>
      <c r="Q1122" s="330" t="s">
        <v>58</v>
      </c>
      <c r="R1122" s="330"/>
      <c r="S1122" s="330"/>
      <c r="T1122" s="98" t="s">
        <v>47</v>
      </c>
      <c r="U1122" s="330" t="e">
        <f>U1120*680/((O1122-O1129)*8+O1129*7+O1126)*((O1122-O1129)*8+O1129*7)</f>
        <v>#DIV/0!</v>
      </c>
      <c r="V1122" s="330"/>
      <c r="W1122" s="98" t="s">
        <v>53</v>
      </c>
      <c r="X1122" s="98">
        <f>R1119/X1112*O1122</f>
        <v>0</v>
      </c>
    </row>
    <row r="1123" spans="1:24" ht="18.75" customHeight="1">
      <c r="A1123" s="98" t="s">
        <v>59</v>
      </c>
      <c r="B1123" s="98" t="s">
        <v>47</v>
      </c>
      <c r="C1123" s="98"/>
      <c r="D1123" s="98" t="s">
        <v>57</v>
      </c>
      <c r="E1123" s="330" t="s">
        <v>60</v>
      </c>
      <c r="F1123" s="330"/>
      <c r="G1123" s="330"/>
      <c r="H1123" s="98" t="s">
        <v>47</v>
      </c>
      <c r="I1123" s="330">
        <f>$F$8/$L$1*C1123</f>
        <v>0</v>
      </c>
      <c r="J1123" s="330"/>
      <c r="K1123" s="98" t="s">
        <v>53</v>
      </c>
      <c r="L1123" s="98"/>
      <c r="M1123" s="98" t="s">
        <v>59</v>
      </c>
      <c r="N1123" s="98" t="s">
        <v>47</v>
      </c>
      <c r="O1123" s="98"/>
      <c r="P1123" s="98" t="s">
        <v>57</v>
      </c>
      <c r="Q1123" s="330" t="s">
        <v>60</v>
      </c>
      <c r="R1123" s="330"/>
      <c r="S1123" s="330"/>
      <c r="T1123" s="98" t="s">
        <v>47</v>
      </c>
      <c r="U1123" s="330">
        <f>$F$8/$L$1*O1123</f>
        <v>0</v>
      </c>
      <c r="V1123" s="330"/>
      <c r="W1123" s="98" t="s">
        <v>53</v>
      </c>
      <c r="X1123" s="98"/>
    </row>
    <row r="1124" spans="1:24" ht="18.75" customHeight="1">
      <c r="A1124" s="98" t="s">
        <v>61</v>
      </c>
      <c r="B1124" s="98" t="s">
        <v>47</v>
      </c>
      <c r="C1124" s="98"/>
      <c r="D1124" s="98" t="s">
        <v>57</v>
      </c>
      <c r="E1124" s="330" t="s">
        <v>62</v>
      </c>
      <c r="F1124" s="330"/>
      <c r="G1124" s="330"/>
      <c r="H1124" s="98" t="s">
        <v>47</v>
      </c>
      <c r="I1124" s="330">
        <f>$F$8/$L$1*C1124</f>
        <v>0</v>
      </c>
      <c r="J1124" s="330"/>
      <c r="K1124" s="98" t="s">
        <v>53</v>
      </c>
      <c r="L1124" s="98"/>
      <c r="M1124" s="98" t="s">
        <v>61</v>
      </c>
      <c r="N1124" s="98" t="s">
        <v>47</v>
      </c>
      <c r="O1124" s="98"/>
      <c r="P1124" s="98" t="s">
        <v>57</v>
      </c>
      <c r="Q1124" s="330" t="s">
        <v>62</v>
      </c>
      <c r="R1124" s="330"/>
      <c r="S1124" s="330"/>
      <c r="T1124" s="98" t="s">
        <v>47</v>
      </c>
      <c r="U1124" s="330">
        <f>$F$8/$L$1*O1124</f>
        <v>0</v>
      </c>
      <c r="V1124" s="330"/>
      <c r="W1124" s="98" t="s">
        <v>53</v>
      </c>
      <c r="X1124" s="98"/>
    </row>
    <row r="1125" spans="1:24" ht="18.75" customHeight="1">
      <c r="A1125" s="98" t="s">
        <v>63</v>
      </c>
      <c r="B1125" s="98" t="s">
        <v>47</v>
      </c>
      <c r="C1125" s="98"/>
      <c r="D1125" s="98" t="s">
        <v>57</v>
      </c>
      <c r="E1125" s="330" t="s">
        <v>64</v>
      </c>
      <c r="F1125" s="330"/>
      <c r="G1125" s="330"/>
      <c r="H1125" s="98" t="s">
        <v>47</v>
      </c>
      <c r="I1125" s="330">
        <f>$F$8/$L$1*C1125</f>
        <v>0</v>
      </c>
      <c r="J1125" s="330"/>
      <c r="K1125" s="98" t="s">
        <v>53</v>
      </c>
      <c r="L1125" s="98"/>
      <c r="M1125" s="98" t="s">
        <v>63</v>
      </c>
      <c r="N1125" s="98" t="s">
        <v>47</v>
      </c>
      <c r="O1125" s="98"/>
      <c r="P1125" s="98" t="s">
        <v>57</v>
      </c>
      <c r="Q1125" s="330" t="s">
        <v>64</v>
      </c>
      <c r="R1125" s="330"/>
      <c r="S1125" s="330"/>
      <c r="T1125" s="98" t="s">
        <v>47</v>
      </c>
      <c r="U1125" s="330">
        <f>$F$8/$L$1*O1125</f>
        <v>0</v>
      </c>
      <c r="V1125" s="330"/>
      <c r="W1125" s="98" t="s">
        <v>53</v>
      </c>
      <c r="X1125" s="98"/>
    </row>
    <row r="1126" spans="1:24" ht="18.75" customHeight="1">
      <c r="A1126" s="98" t="s">
        <v>65</v>
      </c>
      <c r="B1126" s="98" t="s">
        <v>47</v>
      </c>
      <c r="C1126" s="98"/>
      <c r="D1126" s="98" t="s">
        <v>66</v>
      </c>
      <c r="E1126" s="330" t="s">
        <v>67</v>
      </c>
      <c r="F1126" s="330"/>
      <c r="G1126" s="330"/>
      <c r="H1126" s="98" t="s">
        <v>47</v>
      </c>
      <c r="I1126" s="330" t="e">
        <f>I1122/C1122/8*C1126</f>
        <v>#DIV/0!</v>
      </c>
      <c r="J1126" s="330"/>
      <c r="K1126" s="98" t="s">
        <v>53</v>
      </c>
      <c r="L1126" s="98">
        <f>F1119*C1126/L1112/8*1.5</f>
        <v>0</v>
      </c>
      <c r="M1126" s="98" t="s">
        <v>65</v>
      </c>
      <c r="N1126" s="98" t="s">
        <v>47</v>
      </c>
      <c r="O1126" s="98"/>
      <c r="P1126" s="98" t="s">
        <v>66</v>
      </c>
      <c r="Q1126" s="330" t="s">
        <v>67</v>
      </c>
      <c r="R1126" s="330"/>
      <c r="S1126" s="330"/>
      <c r="T1126" s="98" t="s">
        <v>47</v>
      </c>
      <c r="U1126" s="330" t="e">
        <f>U1122/O1122/8*O1126</f>
        <v>#DIV/0!</v>
      </c>
      <c r="V1126" s="330"/>
      <c r="W1126" s="98" t="s">
        <v>53</v>
      </c>
      <c r="X1126" s="98">
        <f>R1119*O1126/X1112/8*1.5</f>
        <v>0</v>
      </c>
    </row>
    <row r="1127" spans="1:24" ht="18.75" customHeight="1">
      <c r="A1127" s="330" t="s">
        <v>68</v>
      </c>
      <c r="B1127" s="330"/>
      <c r="C1127" s="98"/>
      <c r="D1127" s="98" t="s">
        <v>57</v>
      </c>
      <c r="E1127" s="330" t="s">
        <v>69</v>
      </c>
      <c r="F1127" s="330"/>
      <c r="G1127" s="330"/>
      <c r="H1127" s="98" t="s">
        <v>47</v>
      </c>
      <c r="I1127" s="330"/>
      <c r="J1127" s="330"/>
      <c r="K1127" s="98" t="s">
        <v>53</v>
      </c>
      <c r="L1127" s="98"/>
      <c r="M1127" s="330" t="s">
        <v>68</v>
      </c>
      <c r="N1127" s="330"/>
      <c r="O1127" s="98"/>
      <c r="P1127" s="98" t="s">
        <v>57</v>
      </c>
      <c r="Q1127" s="330" t="s">
        <v>69</v>
      </c>
      <c r="R1127" s="330"/>
      <c r="S1127" s="330"/>
      <c r="T1127" s="98" t="s">
        <v>47</v>
      </c>
      <c r="U1127" s="330"/>
      <c r="V1127" s="330"/>
      <c r="W1127" s="98" t="s">
        <v>53</v>
      </c>
      <c r="X1127" s="98"/>
    </row>
    <row r="1128" spans="1:24" ht="18.75" customHeight="1">
      <c r="A1128" s="98" t="s">
        <v>70</v>
      </c>
      <c r="B1128" s="98" t="s">
        <v>47</v>
      </c>
      <c r="C1128" s="98"/>
      <c r="D1128" s="98" t="s">
        <v>57</v>
      </c>
      <c r="E1128" s="330" t="s">
        <v>71</v>
      </c>
      <c r="F1128" s="330"/>
      <c r="G1128" s="330"/>
      <c r="H1128" s="98" t="s">
        <v>47</v>
      </c>
      <c r="I1128" s="330"/>
      <c r="J1128" s="330"/>
      <c r="K1128" s="98" t="s">
        <v>53</v>
      </c>
      <c r="L1128" s="98"/>
      <c r="M1128" s="98" t="s">
        <v>70</v>
      </c>
      <c r="N1128" s="98" t="s">
        <v>47</v>
      </c>
      <c r="O1128" s="98"/>
      <c r="P1128" s="98" t="s">
        <v>57</v>
      </c>
      <c r="Q1128" s="330" t="s">
        <v>71</v>
      </c>
      <c r="R1128" s="330"/>
      <c r="S1128" s="330"/>
      <c r="T1128" s="98" t="s">
        <v>47</v>
      </c>
      <c r="U1128" s="330"/>
      <c r="V1128" s="330"/>
      <c r="W1128" s="98" t="s">
        <v>53</v>
      </c>
      <c r="X1128" s="98"/>
    </row>
    <row r="1129" spans="1:24" ht="18.75" customHeight="1">
      <c r="A1129" s="98" t="s">
        <v>72</v>
      </c>
      <c r="B1129" s="98"/>
      <c r="C1129" s="98"/>
      <c r="D1129" s="98" t="s">
        <v>66</v>
      </c>
      <c r="E1129" s="330" t="s">
        <v>73</v>
      </c>
      <c r="F1129" s="330"/>
      <c r="G1129" s="330"/>
      <c r="H1129" s="98" t="s">
        <v>47</v>
      </c>
      <c r="I1129" s="330">
        <f>$F$8*C1129/8/$L$1</f>
        <v>0</v>
      </c>
      <c r="J1129" s="330"/>
      <c r="K1129" s="98" t="s">
        <v>53</v>
      </c>
      <c r="L1129" s="98"/>
      <c r="M1129" s="98" t="s">
        <v>72</v>
      </c>
      <c r="N1129" s="98"/>
      <c r="O1129" s="98"/>
      <c r="P1129" s="98" t="s">
        <v>66</v>
      </c>
      <c r="Q1129" s="330" t="s">
        <v>73</v>
      </c>
      <c r="R1129" s="330"/>
      <c r="S1129" s="330"/>
      <c r="T1129" s="98" t="s">
        <v>47</v>
      </c>
      <c r="U1129" s="330">
        <f>$F$8*O1129/8/$L$1</f>
        <v>0</v>
      </c>
      <c r="V1129" s="330"/>
      <c r="W1129" s="98" t="s">
        <v>53</v>
      </c>
      <c r="X1129" s="98"/>
    </row>
    <row r="1130" spans="1:24" ht="18.75" customHeight="1">
      <c r="A1130" s="98" t="s">
        <v>74</v>
      </c>
      <c r="B1130" s="98" t="s">
        <v>47</v>
      </c>
      <c r="C1130" s="98"/>
      <c r="D1130" s="98" t="s">
        <v>66</v>
      </c>
      <c r="E1130" s="330" t="s">
        <v>98</v>
      </c>
      <c r="F1130" s="330"/>
      <c r="G1130" s="330"/>
      <c r="H1130" s="98" t="s">
        <v>47</v>
      </c>
      <c r="I1130" s="330"/>
      <c r="J1130" s="330"/>
      <c r="K1130" s="98" t="s">
        <v>53</v>
      </c>
      <c r="L1130" s="98"/>
      <c r="M1130" s="98" t="s">
        <v>74</v>
      </c>
      <c r="N1130" s="98" t="s">
        <v>47</v>
      </c>
      <c r="O1130" s="98"/>
      <c r="P1130" s="98" t="s">
        <v>66</v>
      </c>
      <c r="Q1130" s="330" t="s">
        <v>98</v>
      </c>
      <c r="R1130" s="330"/>
      <c r="S1130" s="330"/>
      <c r="T1130" s="98" t="s">
        <v>47</v>
      </c>
      <c r="U1130" s="330"/>
      <c r="V1130" s="330"/>
      <c r="W1130" s="98" t="s">
        <v>53</v>
      </c>
      <c r="X1130" s="98"/>
    </row>
    <row r="1131" spans="1:24" ht="18.75" customHeight="1">
      <c r="A1131" s="98" t="s">
        <v>76</v>
      </c>
      <c r="B1131" s="98" t="s">
        <v>47</v>
      </c>
      <c r="C1131" s="98"/>
      <c r="D1131" s="98" t="s">
        <v>77</v>
      </c>
      <c r="E1131" s="98" t="s">
        <v>78</v>
      </c>
      <c r="F1131" s="98"/>
      <c r="G1131" s="98"/>
      <c r="H1131" s="98" t="s">
        <v>47</v>
      </c>
      <c r="I1131" s="330"/>
      <c r="J1131" s="330"/>
      <c r="K1131" s="98" t="s">
        <v>53</v>
      </c>
      <c r="L1131" s="98" t="e">
        <f>+IF(L1122-I1122&lt;0,0,L1122-I1122)+IF(L1126-I1126&lt;0,0,L1126-I1126)</f>
        <v>#DIV/0!</v>
      </c>
      <c r="M1131" s="98" t="s">
        <v>76</v>
      </c>
      <c r="N1131" s="98" t="s">
        <v>47</v>
      </c>
      <c r="O1131" s="98"/>
      <c r="P1131" s="98" t="s">
        <v>77</v>
      </c>
      <c r="Q1131" s="98" t="s">
        <v>78</v>
      </c>
      <c r="R1131" s="98"/>
      <c r="S1131" s="98"/>
      <c r="T1131" s="98" t="s">
        <v>47</v>
      </c>
      <c r="U1131" s="330"/>
      <c r="V1131" s="330"/>
      <c r="W1131" s="98" t="s">
        <v>53</v>
      </c>
      <c r="X1131" s="98" t="e">
        <f>+IF(X1122-U1122&lt;0,0,X1122-U1122)+IF(X1126-U1126&lt;0,0,X1126-U1126)</f>
        <v>#DIV/0!</v>
      </c>
    </row>
    <row r="1132" spans="1:24" ht="18.75" customHeight="1">
      <c r="A1132" s="98" t="s">
        <v>122</v>
      </c>
      <c r="B1132" s="98"/>
      <c r="C1132" s="98"/>
      <c r="D1132" s="98" t="s">
        <v>57</v>
      </c>
      <c r="E1132" s="330" t="s">
        <v>123</v>
      </c>
      <c r="F1132" s="330"/>
      <c r="G1132" s="330"/>
      <c r="H1132" s="98" t="s">
        <v>47</v>
      </c>
      <c r="I1132" s="330"/>
      <c r="J1132" s="330"/>
      <c r="K1132" s="98" t="s">
        <v>53</v>
      </c>
      <c r="L1132" s="98"/>
      <c r="M1132" s="98" t="s">
        <v>122</v>
      </c>
      <c r="N1132" s="98"/>
      <c r="O1132" s="98"/>
      <c r="P1132" s="98" t="s">
        <v>57</v>
      </c>
      <c r="Q1132" s="330" t="s">
        <v>123</v>
      </c>
      <c r="R1132" s="330"/>
      <c r="S1132" s="330"/>
      <c r="T1132" s="98" t="s">
        <v>47</v>
      </c>
      <c r="U1132" s="330"/>
      <c r="V1132" s="330"/>
      <c r="W1132" s="98" t="s">
        <v>53</v>
      </c>
      <c r="X1132" s="98"/>
    </row>
    <row r="1133" spans="1:24" ht="18.75" customHeight="1">
      <c r="A1133" s="330" t="s">
        <v>81</v>
      </c>
      <c r="B1133" s="330"/>
      <c r="C1133" s="98"/>
      <c r="D1133" s="98"/>
      <c r="E1133" s="98"/>
      <c r="F1133" s="98"/>
      <c r="G1133" s="98"/>
      <c r="H1133" s="98" t="s">
        <v>47</v>
      </c>
      <c r="I1133" s="330"/>
      <c r="J1133" s="330"/>
      <c r="K1133" s="98" t="s">
        <v>53</v>
      </c>
      <c r="L1133" s="98"/>
      <c r="M1133" s="330" t="s">
        <v>81</v>
      </c>
      <c r="N1133" s="330"/>
      <c r="O1133" s="98"/>
      <c r="P1133" s="98"/>
      <c r="Q1133" s="98"/>
      <c r="R1133" s="98"/>
      <c r="S1133" s="98"/>
      <c r="T1133" s="98" t="s">
        <v>47</v>
      </c>
      <c r="U1133" s="330"/>
      <c r="V1133" s="330"/>
      <c r="W1133" s="98" t="s">
        <v>53</v>
      </c>
      <c r="X1133" s="98"/>
    </row>
    <row r="1134" spans="1:24" ht="18.75" customHeight="1">
      <c r="A1134" s="98" t="s">
        <v>82</v>
      </c>
      <c r="B1134" s="98" t="s">
        <v>47</v>
      </c>
      <c r="C1134" s="98"/>
      <c r="D1134" s="98"/>
      <c r="E1134" s="98" t="s">
        <v>83</v>
      </c>
      <c r="F1134" s="98"/>
      <c r="G1134" s="98"/>
      <c r="H1134" s="98" t="s">
        <v>47</v>
      </c>
      <c r="I1134" s="330" t="e">
        <f>L1131</f>
        <v>#DIV/0!</v>
      </c>
      <c r="J1134" s="330"/>
      <c r="K1134" s="98" t="s">
        <v>53</v>
      </c>
      <c r="L1134" s="98"/>
      <c r="M1134" s="98" t="s">
        <v>82</v>
      </c>
      <c r="N1134" s="98" t="s">
        <v>47</v>
      </c>
      <c r="O1134" s="98"/>
      <c r="P1134" s="98"/>
      <c r="Q1134" s="98" t="s">
        <v>83</v>
      </c>
      <c r="R1134" s="98"/>
      <c r="S1134" s="98"/>
      <c r="T1134" s="98" t="s">
        <v>47</v>
      </c>
      <c r="U1134" s="330" t="e">
        <f>X1131</f>
        <v>#DIV/0!</v>
      </c>
      <c r="V1134" s="330"/>
      <c r="W1134" s="98" t="s">
        <v>53</v>
      </c>
      <c r="X1134" s="98"/>
    </row>
    <row r="1135" spans="1:24" ht="18.75" customHeight="1">
      <c r="A1135" s="330" t="s">
        <v>84</v>
      </c>
      <c r="B1135" s="330"/>
      <c r="C1135" s="330"/>
      <c r="D1135" s="330"/>
      <c r="E1135" s="330"/>
      <c r="F1135" s="330"/>
      <c r="G1135" s="98" t="s">
        <v>47</v>
      </c>
      <c r="H1135" s="330" t="e">
        <f>I1122+I1123+I1124+I1125+I1126+I1129+I1133+I1134</f>
        <v>#DIV/0!</v>
      </c>
      <c r="I1135" s="330"/>
      <c r="J1135" s="330"/>
      <c r="K1135" s="98" t="s">
        <v>53</v>
      </c>
      <c r="M1135" s="330" t="s">
        <v>84</v>
      </c>
      <c r="N1135" s="330"/>
      <c r="O1135" s="330"/>
      <c r="P1135" s="330"/>
      <c r="Q1135" s="330"/>
      <c r="R1135" s="330"/>
      <c r="S1135" s="98" t="s">
        <v>47</v>
      </c>
      <c r="T1135" s="330" t="e">
        <f>U1122+U1123+U1124+U1125+U1126+U1129+U1133+U1134</f>
        <v>#DIV/0!</v>
      </c>
      <c r="U1135" s="330"/>
      <c r="V1135" s="330"/>
      <c r="W1135" s="98" t="s">
        <v>53</v>
      </c>
    </row>
    <row r="1136" spans="1:24" ht="18.75" customHeight="1">
      <c r="A1136" s="98"/>
      <c r="B1136" s="98"/>
      <c r="C1136" s="98"/>
      <c r="D1136" s="98"/>
      <c r="E1136" s="98"/>
      <c r="F1136" s="98"/>
      <c r="G1136" s="98"/>
      <c r="H1136" s="98"/>
      <c r="I1136" s="98"/>
      <c r="J1136" s="98"/>
      <c r="K1136" s="98"/>
      <c r="M1136" s="98"/>
      <c r="N1136" s="98"/>
      <c r="O1136" s="98"/>
      <c r="P1136" s="98"/>
      <c r="Q1136" s="98"/>
      <c r="R1136" s="98"/>
      <c r="S1136" s="98"/>
      <c r="T1136" s="98"/>
      <c r="U1136" s="98"/>
      <c r="V1136" s="98"/>
      <c r="W1136" s="98"/>
    </row>
    <row r="1137" spans="1:24" ht="18.75" customHeight="1">
      <c r="A1137" s="330" t="s">
        <v>85</v>
      </c>
      <c r="B1137" s="330"/>
      <c r="C1137" s="330"/>
      <c r="D1137" s="330"/>
      <c r="E1137" s="330"/>
      <c r="F1137" s="330"/>
      <c r="G1137" s="98"/>
      <c r="H1137" s="98"/>
      <c r="I1137" s="98"/>
      <c r="J1137" s="98"/>
      <c r="K1137" s="98"/>
      <c r="M1137" s="330" t="s">
        <v>85</v>
      </c>
      <c r="N1137" s="330"/>
      <c r="O1137" s="330"/>
      <c r="P1137" s="330"/>
      <c r="Q1137" s="330"/>
      <c r="R1137" s="330"/>
      <c r="S1137" s="98"/>
      <c r="T1137" s="98"/>
      <c r="U1137" s="98"/>
      <c r="V1137" s="98"/>
      <c r="W1137" s="98"/>
    </row>
    <row r="1138" spans="1:24" ht="18.75" customHeight="1">
      <c r="A1138" s="330" t="s">
        <v>86</v>
      </c>
      <c r="B1138" s="330"/>
      <c r="C1138" s="330"/>
      <c r="D1138" s="330"/>
      <c r="E1138" s="330"/>
      <c r="F1138" s="330"/>
      <c r="G1138" s="98" t="s">
        <v>47</v>
      </c>
      <c r="H1138" s="330">
        <f>IF(($L$1-(C1122+C1123+C1124+C1125))&gt;12,0,F1119*8%)</f>
        <v>0</v>
      </c>
      <c r="I1138" s="330"/>
      <c r="J1138" s="330"/>
      <c r="K1138" s="98" t="s">
        <v>53</v>
      </c>
      <c r="M1138" s="330" t="s">
        <v>86</v>
      </c>
      <c r="N1138" s="330"/>
      <c r="O1138" s="330"/>
      <c r="P1138" s="330"/>
      <c r="Q1138" s="330"/>
      <c r="R1138" s="330"/>
      <c r="S1138" s="98" t="s">
        <v>47</v>
      </c>
      <c r="T1138" s="330">
        <f>IF(($L$1-(O1122+O1123+O1124+O1125))&gt;12,0,R1119*8%)</f>
        <v>0</v>
      </c>
      <c r="U1138" s="330"/>
      <c r="V1138" s="330"/>
      <c r="W1138" s="98" t="s">
        <v>53</v>
      </c>
    </row>
    <row r="1139" spans="1:24" ht="18.75" customHeight="1">
      <c r="A1139" s="330" t="s">
        <v>87</v>
      </c>
      <c r="B1139" s="330"/>
      <c r="C1139" s="330"/>
      <c r="D1139" s="330"/>
      <c r="E1139" s="330"/>
      <c r="F1139" s="330"/>
      <c r="G1139" s="98" t="s">
        <v>47</v>
      </c>
      <c r="H1139" s="330">
        <f>IF(($L$1-(C1122+C1123+C1124+C1125))&gt;12,0,F1119*1.5%)</f>
        <v>0</v>
      </c>
      <c r="I1139" s="330"/>
      <c r="J1139" s="330"/>
      <c r="K1139" s="98" t="s">
        <v>53</v>
      </c>
      <c r="M1139" s="330" t="s">
        <v>87</v>
      </c>
      <c r="N1139" s="330"/>
      <c r="O1139" s="330"/>
      <c r="P1139" s="330"/>
      <c r="Q1139" s="330"/>
      <c r="R1139" s="330"/>
      <c r="S1139" s="98" t="s">
        <v>47</v>
      </c>
      <c r="T1139" s="330">
        <f>IF(($L$1-(O1122+O1123+O1124+O1125))&gt;12,0,R1119*1.5%)</f>
        <v>0</v>
      </c>
      <c r="U1139" s="330"/>
      <c r="V1139" s="330"/>
      <c r="W1139" s="98" t="s">
        <v>53</v>
      </c>
    </row>
    <row r="1140" spans="1:24" ht="18.75" customHeight="1">
      <c r="A1140" s="330" t="s">
        <v>88</v>
      </c>
      <c r="B1140" s="330"/>
      <c r="C1140" s="330"/>
      <c r="D1140" s="330"/>
      <c r="E1140" s="330"/>
      <c r="F1140" s="330"/>
      <c r="G1140" s="98" t="s">
        <v>47</v>
      </c>
      <c r="H1140" s="330">
        <f>IF(($L$1-(C1122+C1123+C1124+C1125))&gt;12,0,F1119*1%)</f>
        <v>0</v>
      </c>
      <c r="I1140" s="330"/>
      <c r="J1140" s="330"/>
      <c r="K1140" s="98" t="s">
        <v>53</v>
      </c>
      <c r="M1140" s="330" t="s">
        <v>88</v>
      </c>
      <c r="N1140" s="330"/>
      <c r="O1140" s="330"/>
      <c r="P1140" s="330"/>
      <c r="Q1140" s="330"/>
      <c r="R1140" s="330"/>
      <c r="S1140" s="98" t="s">
        <v>47</v>
      </c>
      <c r="T1140" s="330">
        <f>IF(($L$1-(O1122+O1123+O1124+O1125))&gt;12,0,R1119*1%)</f>
        <v>0</v>
      </c>
      <c r="U1140" s="330"/>
      <c r="V1140" s="330"/>
      <c r="W1140" s="98" t="s">
        <v>53</v>
      </c>
    </row>
    <row r="1141" spans="1:24" ht="18.75" customHeight="1">
      <c r="A1141" s="330" t="s">
        <v>89</v>
      </c>
      <c r="B1141" s="330"/>
      <c r="C1141" s="330"/>
      <c r="D1141" s="330"/>
      <c r="E1141" s="330"/>
      <c r="F1141" s="330"/>
      <c r="G1141" s="98" t="s">
        <v>47</v>
      </c>
      <c r="H1141" s="330">
        <v>0</v>
      </c>
      <c r="I1141" s="330"/>
      <c r="J1141" s="330"/>
      <c r="K1141" s="98" t="s">
        <v>53</v>
      </c>
      <c r="M1141" s="330" t="s">
        <v>89</v>
      </c>
      <c r="N1141" s="330"/>
      <c r="O1141" s="330"/>
      <c r="P1141" s="330"/>
      <c r="Q1141" s="330"/>
      <c r="R1141" s="330"/>
      <c r="S1141" s="98" t="s">
        <v>47</v>
      </c>
      <c r="T1141" s="330">
        <v>0</v>
      </c>
      <c r="U1141" s="330"/>
      <c r="V1141" s="330"/>
      <c r="W1141" s="98" t="s">
        <v>53</v>
      </c>
    </row>
    <row r="1142" spans="1:24" ht="18.75" customHeight="1">
      <c r="A1142" s="330" t="s">
        <v>90</v>
      </c>
      <c r="B1142" s="330"/>
      <c r="C1142" s="330"/>
      <c r="D1142" s="330"/>
      <c r="E1142" s="330"/>
      <c r="F1142" s="330"/>
      <c r="G1142" s="98" t="s">
        <v>47</v>
      </c>
      <c r="H1142" s="330">
        <f>SUM(H1138:J1141)</f>
        <v>0</v>
      </c>
      <c r="I1142" s="330"/>
      <c r="J1142" s="330"/>
      <c r="K1142" s="98" t="s">
        <v>53</v>
      </c>
      <c r="M1142" s="330" t="s">
        <v>90</v>
      </c>
      <c r="N1142" s="330"/>
      <c r="O1142" s="330"/>
      <c r="P1142" s="330"/>
      <c r="Q1142" s="330"/>
      <c r="R1142" s="330"/>
      <c r="S1142" s="98" t="s">
        <v>47</v>
      </c>
      <c r="T1142" s="330">
        <f>SUM(T1138:V1141)</f>
        <v>0</v>
      </c>
      <c r="U1142" s="330"/>
      <c r="V1142" s="330"/>
      <c r="W1142" s="98" t="s">
        <v>53</v>
      </c>
    </row>
    <row r="1143" spans="1:24" ht="18.75" customHeight="1">
      <c r="A1143" s="330" t="s">
        <v>91</v>
      </c>
      <c r="B1143" s="330"/>
      <c r="C1143" s="330"/>
      <c r="D1143" s="330"/>
      <c r="E1143" s="330"/>
      <c r="F1143" s="330"/>
      <c r="G1143" s="98" t="s">
        <v>47</v>
      </c>
      <c r="H1143" s="330" t="e">
        <f>ROUND(H1135-H1142,-2)</f>
        <v>#DIV/0!</v>
      </c>
      <c r="I1143" s="330"/>
      <c r="J1143" s="330"/>
      <c r="K1143" s="98" t="s">
        <v>53</v>
      </c>
      <c r="M1143" s="330" t="s">
        <v>91</v>
      </c>
      <c r="N1143" s="330"/>
      <c r="O1143" s="330"/>
      <c r="P1143" s="330"/>
      <c r="Q1143" s="330"/>
      <c r="R1143" s="330"/>
      <c r="S1143" s="98" t="s">
        <v>47</v>
      </c>
      <c r="T1143" s="330" t="e">
        <f>ROUND(T1135-T1142,-2)</f>
        <v>#DIV/0!</v>
      </c>
      <c r="U1143" s="330"/>
      <c r="V1143" s="330"/>
      <c r="W1143" s="98" t="s">
        <v>53</v>
      </c>
    </row>
    <row r="1144" spans="1:24" ht="18.75" customHeight="1">
      <c r="A1144" s="98"/>
      <c r="B1144" s="98"/>
      <c r="C1144" s="98"/>
      <c r="D1144" s="98"/>
      <c r="E1144" s="98"/>
      <c r="F1144" s="98"/>
      <c r="G1144" s="98"/>
      <c r="H1144" s="98"/>
      <c r="I1144" s="98"/>
      <c r="J1144" s="98"/>
      <c r="K1144" s="98"/>
      <c r="M1144" s="98"/>
      <c r="N1144" s="98"/>
      <c r="O1144" s="98"/>
      <c r="P1144" s="98"/>
      <c r="Q1144" s="98"/>
      <c r="R1144" s="98"/>
      <c r="S1144" s="98"/>
      <c r="T1144" s="98"/>
      <c r="U1144" s="98"/>
      <c r="V1144" s="98"/>
      <c r="W1144" s="98"/>
    </row>
    <row r="1145" spans="1:24" ht="18.75" customHeight="1">
      <c r="A1145" s="98"/>
      <c r="B1145" s="98"/>
      <c r="C1145" s="98"/>
      <c r="D1145" s="98"/>
      <c r="E1145" s="98"/>
      <c r="F1145" s="98"/>
      <c r="G1145" s="98"/>
      <c r="H1145" s="98"/>
      <c r="I1145" s="330" t="s">
        <v>92</v>
      </c>
      <c r="J1145" s="330"/>
      <c r="K1145" s="330"/>
      <c r="M1145" s="98"/>
      <c r="N1145" s="98"/>
      <c r="O1145" s="98"/>
      <c r="P1145" s="98"/>
      <c r="Q1145" s="98"/>
      <c r="R1145" s="98"/>
      <c r="S1145" s="98"/>
      <c r="T1145" s="98"/>
      <c r="U1145" s="330" t="s">
        <v>92</v>
      </c>
      <c r="V1145" s="330"/>
      <c r="W1145" s="330"/>
    </row>
    <row r="1146" spans="1:24" ht="18.75" customHeight="1">
      <c r="A1146" s="98"/>
      <c r="B1146" s="330"/>
      <c r="C1146" s="330"/>
      <c r="D1146" s="330"/>
      <c r="E1146" s="330"/>
      <c r="F1146" s="98"/>
      <c r="G1146" s="98"/>
      <c r="H1146" s="98"/>
      <c r="I1146" s="98"/>
      <c r="J1146" s="98"/>
      <c r="K1146" s="98"/>
      <c r="M1146" s="98"/>
      <c r="N1146" s="330"/>
      <c r="O1146" s="330"/>
      <c r="P1146" s="330"/>
      <c r="Q1146" s="330"/>
      <c r="R1146" s="98"/>
      <c r="S1146" s="98"/>
      <c r="T1146" s="98"/>
      <c r="U1146" s="98"/>
      <c r="V1146" s="98"/>
      <c r="W1146" s="98"/>
    </row>
    <row r="1147" spans="1:24" ht="18.75" customHeight="1">
      <c r="A1147" s="98"/>
      <c r="B1147" s="98"/>
      <c r="C1147" s="98"/>
      <c r="D1147" s="98"/>
      <c r="E1147" s="98"/>
      <c r="F1147" s="98"/>
      <c r="G1147" s="98"/>
      <c r="H1147" s="98"/>
      <c r="I1147" s="330" t="s">
        <v>93</v>
      </c>
      <c r="J1147" s="330"/>
      <c r="K1147" s="330"/>
      <c r="M1147" s="98"/>
      <c r="N1147" s="98"/>
      <c r="O1147" s="98"/>
      <c r="P1147" s="98"/>
      <c r="Q1147" s="98"/>
      <c r="R1147" s="98"/>
      <c r="S1147" s="98"/>
      <c r="T1147" s="98"/>
      <c r="U1147" s="330" t="s">
        <v>93</v>
      </c>
      <c r="V1147" s="330"/>
      <c r="W1147" s="330"/>
    </row>
    <row r="1149" spans="1:24" ht="18.75" customHeight="1">
      <c r="A1149" s="330" t="s">
        <v>41</v>
      </c>
      <c r="B1149" s="330"/>
      <c r="C1149" s="330"/>
      <c r="D1149" s="330"/>
      <c r="E1149" s="330"/>
      <c r="F1149" s="330"/>
      <c r="G1149" s="330"/>
      <c r="H1149" s="330"/>
      <c r="I1149" s="330"/>
      <c r="J1149" s="330"/>
      <c r="K1149" s="330"/>
      <c r="L1149" s="98">
        <v>24</v>
      </c>
      <c r="M1149" s="330" t="s">
        <v>41</v>
      </c>
      <c r="N1149" s="330"/>
      <c r="O1149" s="330"/>
      <c r="P1149" s="330"/>
      <c r="Q1149" s="330"/>
      <c r="R1149" s="330"/>
      <c r="S1149" s="330"/>
      <c r="T1149" s="330"/>
      <c r="U1149" s="330"/>
      <c r="V1149" s="330"/>
      <c r="W1149" s="330"/>
      <c r="X1149" s="98">
        <v>24</v>
      </c>
    </row>
    <row r="1150" spans="1:24" ht="18.75" customHeight="1">
      <c r="A1150" s="98" t="s">
        <v>170</v>
      </c>
      <c r="B1150" s="98"/>
      <c r="C1150" s="98"/>
      <c r="D1150" s="98"/>
      <c r="E1150" s="98"/>
      <c r="F1150" s="98"/>
      <c r="G1150" s="98"/>
      <c r="H1150" s="98"/>
      <c r="I1150" s="98"/>
      <c r="J1150" s="98"/>
      <c r="K1150" s="98"/>
      <c r="M1150" s="98" t="s">
        <v>171</v>
      </c>
      <c r="N1150" s="98"/>
      <c r="O1150" s="98"/>
      <c r="P1150" s="98"/>
      <c r="Q1150" s="98"/>
      <c r="R1150" s="98"/>
      <c r="S1150" s="98"/>
      <c r="T1150" s="98"/>
      <c r="U1150" s="98"/>
      <c r="V1150" s="98"/>
      <c r="W1150" s="98"/>
    </row>
    <row r="1151" spans="1:24" ht="18.75" customHeight="1">
      <c r="A1151" s="330" t="s">
        <v>45</v>
      </c>
      <c r="B1151" s="330"/>
      <c r="C1151" s="330"/>
      <c r="D1151" s="330"/>
      <c r="E1151" s="330"/>
      <c r="F1151" s="330"/>
      <c r="G1151" s="330"/>
      <c r="H1151" s="330"/>
      <c r="I1151" s="330"/>
      <c r="J1151" s="330"/>
      <c r="K1151" s="330"/>
      <c r="M1151" s="330" t="s">
        <v>45</v>
      </c>
      <c r="N1151" s="330"/>
      <c r="O1151" s="330"/>
      <c r="P1151" s="330"/>
      <c r="Q1151" s="330"/>
      <c r="R1151" s="330"/>
      <c r="S1151" s="330"/>
      <c r="T1151" s="330"/>
      <c r="U1151" s="330"/>
      <c r="V1151" s="330"/>
      <c r="W1151" s="330"/>
    </row>
    <row r="1152" spans="1:24" ht="18.75" customHeight="1">
      <c r="A1152" s="330" t="s">
        <v>46</v>
      </c>
      <c r="B1152" s="330"/>
      <c r="C1152" s="330"/>
      <c r="D1152" s="330"/>
      <c r="E1152" s="98" t="s">
        <v>47</v>
      </c>
      <c r="F1152" s="330"/>
      <c r="G1152" s="330"/>
      <c r="H1152" s="330"/>
      <c r="I1152" s="330"/>
      <c r="J1152" s="330"/>
      <c r="K1152" s="330"/>
      <c r="M1152" s="330" t="s">
        <v>46</v>
      </c>
      <c r="N1152" s="330"/>
      <c r="O1152" s="330"/>
      <c r="P1152" s="330"/>
      <c r="Q1152" s="98" t="s">
        <v>47</v>
      </c>
      <c r="R1152" s="330"/>
      <c r="S1152" s="330"/>
      <c r="T1152" s="330"/>
      <c r="U1152" s="330"/>
      <c r="V1152" s="330"/>
      <c r="W1152" s="330"/>
    </row>
    <row r="1153" spans="1:24" ht="18.75" customHeight="1">
      <c r="A1153" s="330" t="s">
        <v>49</v>
      </c>
      <c r="B1153" s="330"/>
      <c r="C1153" s="330"/>
      <c r="D1153" s="330"/>
      <c r="E1153" s="98" t="s">
        <v>47</v>
      </c>
      <c r="F1153" s="330"/>
      <c r="G1153" s="330"/>
      <c r="H1153" s="330"/>
      <c r="I1153" s="330"/>
      <c r="J1153" s="330"/>
      <c r="K1153" s="330"/>
      <c r="M1153" s="330" t="s">
        <v>49</v>
      </c>
      <c r="N1153" s="330"/>
      <c r="O1153" s="330"/>
      <c r="P1153" s="330"/>
      <c r="Q1153" s="98" t="s">
        <v>47</v>
      </c>
      <c r="R1153" s="330"/>
      <c r="S1153" s="330"/>
      <c r="T1153" s="330"/>
      <c r="U1153" s="330"/>
      <c r="V1153" s="330"/>
      <c r="W1153" s="330"/>
    </row>
    <row r="1154" spans="1:24" ht="18.75" customHeight="1">
      <c r="A1154" s="330" t="s">
        <v>50</v>
      </c>
      <c r="B1154" s="330"/>
      <c r="C1154" s="330"/>
      <c r="D1154" s="330"/>
      <c r="E1154" s="98" t="s">
        <v>47</v>
      </c>
      <c r="F1154" s="330" t="s">
        <v>121</v>
      </c>
      <c r="G1154" s="330"/>
      <c r="H1154" s="330"/>
      <c r="I1154" s="330"/>
      <c r="J1154" s="330"/>
      <c r="K1154" s="330"/>
      <c r="M1154" s="330" t="s">
        <v>50</v>
      </c>
      <c r="N1154" s="330"/>
      <c r="O1154" s="330"/>
      <c r="P1154" s="330"/>
      <c r="Q1154" s="98" t="s">
        <v>47</v>
      </c>
      <c r="R1154" s="330" t="s">
        <v>121</v>
      </c>
      <c r="S1154" s="330"/>
      <c r="T1154" s="330"/>
      <c r="U1154" s="330"/>
      <c r="V1154" s="330"/>
      <c r="W1154" s="330"/>
    </row>
    <row r="1155" spans="1:24" ht="18.75" customHeight="1">
      <c r="A1155" s="330" t="s">
        <v>51</v>
      </c>
      <c r="B1155" s="330"/>
      <c r="C1155" s="330"/>
      <c r="D1155" s="330"/>
      <c r="E1155" s="330"/>
      <c r="F1155" s="330"/>
      <c r="G1155" s="330"/>
      <c r="H1155" s="330"/>
      <c r="I1155" s="330"/>
      <c r="J1155" s="330"/>
      <c r="K1155" s="330"/>
      <c r="M1155" s="330" t="s">
        <v>51</v>
      </c>
      <c r="N1155" s="330"/>
      <c r="O1155" s="330"/>
      <c r="P1155" s="330"/>
      <c r="Q1155" s="330"/>
      <c r="R1155" s="330"/>
      <c r="S1155" s="330"/>
      <c r="T1155" s="330"/>
      <c r="U1155" s="330"/>
      <c r="V1155" s="330"/>
      <c r="W1155" s="330"/>
    </row>
    <row r="1156" spans="1:24" ht="18.75" customHeight="1">
      <c r="A1156" s="330" t="s">
        <v>52</v>
      </c>
      <c r="B1156" s="330"/>
      <c r="C1156" s="330"/>
      <c r="D1156" s="330"/>
      <c r="E1156" s="98" t="s">
        <v>47</v>
      </c>
      <c r="F1156" s="330">
        <v>2915400</v>
      </c>
      <c r="G1156" s="330"/>
      <c r="H1156" s="330"/>
      <c r="I1156" s="330"/>
      <c r="J1156" s="98" t="s">
        <v>53</v>
      </c>
      <c r="K1156" s="98"/>
      <c r="M1156" s="330" t="s">
        <v>52</v>
      </c>
      <c r="N1156" s="330"/>
      <c r="O1156" s="330"/>
      <c r="P1156" s="330"/>
      <c r="Q1156" s="98" t="s">
        <v>47</v>
      </c>
      <c r="R1156" s="330">
        <v>2915400</v>
      </c>
      <c r="S1156" s="330"/>
      <c r="T1156" s="330"/>
      <c r="U1156" s="330"/>
      <c r="V1156" s="98" t="s">
        <v>53</v>
      </c>
      <c r="W1156" s="98"/>
    </row>
    <row r="1157" spans="1:24" ht="18.75" customHeight="1">
      <c r="A1157" s="98" t="s">
        <v>54</v>
      </c>
      <c r="B1157" s="98"/>
      <c r="C1157" s="98"/>
      <c r="D1157" s="98"/>
      <c r="E1157" s="98"/>
      <c r="F1157" s="98"/>
      <c r="G1157" s="98"/>
      <c r="H1157" s="98"/>
      <c r="I1157" s="98"/>
      <c r="J1157" s="98"/>
      <c r="K1157" s="98"/>
      <c r="M1157" s="98" t="s">
        <v>54</v>
      </c>
      <c r="N1157" s="98"/>
      <c r="O1157" s="98"/>
      <c r="P1157" s="98"/>
      <c r="Q1157" s="98"/>
      <c r="R1157" s="98"/>
      <c r="S1157" s="98"/>
      <c r="T1157" s="98"/>
      <c r="U1157" s="98"/>
      <c r="V1157" s="98"/>
      <c r="W1157" s="98"/>
    </row>
    <row r="1158" spans="1:24" ht="18.75" customHeight="1">
      <c r="A1158" s="98" t="s">
        <v>55</v>
      </c>
      <c r="B1158" s="98"/>
      <c r="C1158" s="98"/>
      <c r="D1158" s="98"/>
      <c r="E1158" s="98"/>
      <c r="F1158" s="98"/>
      <c r="G1158" s="98"/>
      <c r="H1158" s="98"/>
      <c r="I1158" s="98" t="e">
        <f>I1159/C1159/8</f>
        <v>#DIV/0!</v>
      </c>
      <c r="J1158" s="98"/>
      <c r="K1158" s="98"/>
      <c r="M1158" s="98" t="s">
        <v>55</v>
      </c>
      <c r="N1158" s="98"/>
      <c r="O1158" s="98"/>
      <c r="P1158" s="98"/>
      <c r="Q1158" s="98"/>
      <c r="R1158" s="98"/>
      <c r="S1158" s="98"/>
      <c r="T1158" s="98"/>
      <c r="U1158" s="98" t="e">
        <f>U1159/O1159/8</f>
        <v>#DIV/0!</v>
      </c>
      <c r="V1158" s="98"/>
      <c r="W1158" s="98"/>
    </row>
    <row r="1159" spans="1:24" ht="18.75" customHeight="1">
      <c r="A1159" s="98" t="s">
        <v>56</v>
      </c>
      <c r="B1159" s="98" t="s">
        <v>47</v>
      </c>
      <c r="C1159" s="98"/>
      <c r="D1159" s="98" t="s">
        <v>57</v>
      </c>
      <c r="E1159" s="330" t="s">
        <v>58</v>
      </c>
      <c r="F1159" s="330"/>
      <c r="G1159" s="330"/>
      <c r="H1159" s="98" t="s">
        <v>47</v>
      </c>
      <c r="I1159" s="330" t="e">
        <f>I1157*680/((C1159-C1166)*8+C1166*7+C1163)*((C1159-C1166)*8+C1166*7)</f>
        <v>#DIV/0!</v>
      </c>
      <c r="J1159" s="330"/>
      <c r="K1159" s="98" t="s">
        <v>53</v>
      </c>
      <c r="L1159" s="98">
        <f>F1156/L1149*C1159</f>
        <v>0</v>
      </c>
      <c r="M1159" s="98" t="s">
        <v>56</v>
      </c>
      <c r="N1159" s="98" t="s">
        <v>47</v>
      </c>
      <c r="O1159" s="98"/>
      <c r="P1159" s="98" t="s">
        <v>57</v>
      </c>
      <c r="Q1159" s="330" t="s">
        <v>58</v>
      </c>
      <c r="R1159" s="330"/>
      <c r="S1159" s="330"/>
      <c r="T1159" s="98" t="s">
        <v>47</v>
      </c>
      <c r="U1159" s="330" t="e">
        <f>U1157*680/((O1159-O1166)*8+O1166*7+O1163)*((O1159-O1166)*8+O1166*7)</f>
        <v>#DIV/0!</v>
      </c>
      <c r="V1159" s="330"/>
      <c r="W1159" s="98" t="s">
        <v>53</v>
      </c>
      <c r="X1159" s="98">
        <f>R1156/X1149*O1159</f>
        <v>0</v>
      </c>
    </row>
    <row r="1160" spans="1:24" ht="18.75" customHeight="1">
      <c r="A1160" s="98" t="s">
        <v>59</v>
      </c>
      <c r="B1160" s="98" t="s">
        <v>47</v>
      </c>
      <c r="C1160" s="98"/>
      <c r="D1160" s="98" t="s">
        <v>57</v>
      </c>
      <c r="E1160" s="330" t="s">
        <v>60</v>
      </c>
      <c r="F1160" s="330"/>
      <c r="G1160" s="330"/>
      <c r="H1160" s="98" t="s">
        <v>47</v>
      </c>
      <c r="I1160" s="330">
        <f>$F$8/$L$1*C1160</f>
        <v>0</v>
      </c>
      <c r="J1160" s="330"/>
      <c r="K1160" s="98" t="s">
        <v>53</v>
      </c>
      <c r="L1160" s="98"/>
      <c r="M1160" s="98" t="s">
        <v>59</v>
      </c>
      <c r="N1160" s="98" t="s">
        <v>47</v>
      </c>
      <c r="O1160" s="98"/>
      <c r="P1160" s="98" t="s">
        <v>57</v>
      </c>
      <c r="Q1160" s="330" t="s">
        <v>60</v>
      </c>
      <c r="R1160" s="330"/>
      <c r="S1160" s="330"/>
      <c r="T1160" s="98" t="s">
        <v>47</v>
      </c>
      <c r="U1160" s="330">
        <f>$F$8/$L$1*O1160</f>
        <v>0</v>
      </c>
      <c r="V1160" s="330"/>
      <c r="W1160" s="98" t="s">
        <v>53</v>
      </c>
      <c r="X1160" s="98"/>
    </row>
    <row r="1161" spans="1:24" ht="18.75" customHeight="1">
      <c r="A1161" s="98" t="s">
        <v>61</v>
      </c>
      <c r="B1161" s="98" t="s">
        <v>47</v>
      </c>
      <c r="C1161" s="98"/>
      <c r="D1161" s="98" t="s">
        <v>57</v>
      </c>
      <c r="E1161" s="330" t="s">
        <v>62</v>
      </c>
      <c r="F1161" s="330"/>
      <c r="G1161" s="330"/>
      <c r="H1161" s="98" t="s">
        <v>47</v>
      </c>
      <c r="I1161" s="330">
        <f>$F$8/$L$1*C1161</f>
        <v>0</v>
      </c>
      <c r="J1161" s="330"/>
      <c r="K1161" s="98" t="s">
        <v>53</v>
      </c>
      <c r="L1161" s="98"/>
      <c r="M1161" s="98" t="s">
        <v>61</v>
      </c>
      <c r="N1161" s="98" t="s">
        <v>47</v>
      </c>
      <c r="O1161" s="98"/>
      <c r="P1161" s="98" t="s">
        <v>57</v>
      </c>
      <c r="Q1161" s="330" t="s">
        <v>62</v>
      </c>
      <c r="R1161" s="330"/>
      <c r="S1161" s="330"/>
      <c r="T1161" s="98" t="s">
        <v>47</v>
      </c>
      <c r="U1161" s="330">
        <f>$F$8/$L$1*O1161</f>
        <v>0</v>
      </c>
      <c r="V1161" s="330"/>
      <c r="W1161" s="98" t="s">
        <v>53</v>
      </c>
      <c r="X1161" s="98"/>
    </row>
    <row r="1162" spans="1:24" ht="18.75" customHeight="1">
      <c r="A1162" s="98" t="s">
        <v>63</v>
      </c>
      <c r="B1162" s="98" t="s">
        <v>47</v>
      </c>
      <c r="C1162" s="98"/>
      <c r="D1162" s="98" t="s">
        <v>57</v>
      </c>
      <c r="E1162" s="330" t="s">
        <v>64</v>
      </c>
      <c r="F1162" s="330"/>
      <c r="G1162" s="330"/>
      <c r="H1162" s="98" t="s">
        <v>47</v>
      </c>
      <c r="I1162" s="330">
        <f>$F$8/$L$1*C1162</f>
        <v>0</v>
      </c>
      <c r="J1162" s="330"/>
      <c r="K1162" s="98" t="s">
        <v>53</v>
      </c>
      <c r="L1162" s="98"/>
      <c r="M1162" s="98" t="s">
        <v>63</v>
      </c>
      <c r="N1162" s="98" t="s">
        <v>47</v>
      </c>
      <c r="O1162" s="98"/>
      <c r="P1162" s="98" t="s">
        <v>57</v>
      </c>
      <c r="Q1162" s="330" t="s">
        <v>64</v>
      </c>
      <c r="R1162" s="330"/>
      <c r="S1162" s="330"/>
      <c r="T1162" s="98" t="s">
        <v>47</v>
      </c>
      <c r="U1162" s="330">
        <f>$F$8/$L$1*O1162</f>
        <v>0</v>
      </c>
      <c r="V1162" s="330"/>
      <c r="W1162" s="98" t="s">
        <v>53</v>
      </c>
      <c r="X1162" s="98"/>
    </row>
    <row r="1163" spans="1:24" ht="18.75" customHeight="1">
      <c r="A1163" s="98" t="s">
        <v>65</v>
      </c>
      <c r="B1163" s="98" t="s">
        <v>47</v>
      </c>
      <c r="C1163" s="98"/>
      <c r="D1163" s="98" t="s">
        <v>66</v>
      </c>
      <c r="E1163" s="330" t="s">
        <v>67</v>
      </c>
      <c r="F1163" s="330"/>
      <c r="G1163" s="330"/>
      <c r="H1163" s="98" t="s">
        <v>47</v>
      </c>
      <c r="I1163" s="330" t="e">
        <f>I1159/C1159/8*C1163</f>
        <v>#DIV/0!</v>
      </c>
      <c r="J1163" s="330"/>
      <c r="K1163" s="98" t="s">
        <v>53</v>
      </c>
      <c r="L1163" s="98">
        <f>F1156*C1163/L1149/8*1.5</f>
        <v>0</v>
      </c>
      <c r="M1163" s="98" t="s">
        <v>65</v>
      </c>
      <c r="N1163" s="98" t="s">
        <v>47</v>
      </c>
      <c r="O1163" s="98"/>
      <c r="P1163" s="98" t="s">
        <v>66</v>
      </c>
      <c r="Q1163" s="330" t="s">
        <v>67</v>
      </c>
      <c r="R1163" s="330"/>
      <c r="S1163" s="330"/>
      <c r="T1163" s="98" t="s">
        <v>47</v>
      </c>
      <c r="U1163" s="330" t="e">
        <f>U1159/O1159/8*O1163</f>
        <v>#DIV/0!</v>
      </c>
      <c r="V1163" s="330"/>
      <c r="W1163" s="98" t="s">
        <v>53</v>
      </c>
      <c r="X1163" s="98">
        <f>R1156*O1163/X1149/8*1.5</f>
        <v>0</v>
      </c>
    </row>
    <row r="1164" spans="1:24" ht="18.75" customHeight="1">
      <c r="A1164" s="330" t="s">
        <v>68</v>
      </c>
      <c r="B1164" s="330"/>
      <c r="C1164" s="98"/>
      <c r="D1164" s="98" t="s">
        <v>57</v>
      </c>
      <c r="E1164" s="330" t="s">
        <v>69</v>
      </c>
      <c r="F1164" s="330"/>
      <c r="G1164" s="330"/>
      <c r="H1164" s="98" t="s">
        <v>47</v>
      </c>
      <c r="I1164" s="330"/>
      <c r="J1164" s="330"/>
      <c r="K1164" s="98" t="s">
        <v>53</v>
      </c>
      <c r="L1164" s="98"/>
      <c r="M1164" s="330" t="s">
        <v>68</v>
      </c>
      <c r="N1164" s="330"/>
      <c r="O1164" s="98"/>
      <c r="P1164" s="98" t="s">
        <v>57</v>
      </c>
      <c r="Q1164" s="330" t="s">
        <v>69</v>
      </c>
      <c r="R1164" s="330"/>
      <c r="S1164" s="330"/>
      <c r="T1164" s="98" t="s">
        <v>47</v>
      </c>
      <c r="U1164" s="330"/>
      <c r="V1164" s="330"/>
      <c r="W1164" s="98" t="s">
        <v>53</v>
      </c>
      <c r="X1164" s="98"/>
    </row>
    <row r="1165" spans="1:24" ht="18.75" customHeight="1">
      <c r="A1165" s="98" t="s">
        <v>70</v>
      </c>
      <c r="B1165" s="98" t="s">
        <v>47</v>
      </c>
      <c r="C1165" s="98"/>
      <c r="D1165" s="98" t="s">
        <v>57</v>
      </c>
      <c r="E1165" s="330" t="s">
        <v>71</v>
      </c>
      <c r="F1165" s="330"/>
      <c r="G1165" s="330"/>
      <c r="H1165" s="98" t="s">
        <v>47</v>
      </c>
      <c r="I1165" s="330"/>
      <c r="J1165" s="330"/>
      <c r="K1165" s="98" t="s">
        <v>53</v>
      </c>
      <c r="L1165" s="98"/>
      <c r="M1165" s="98" t="s">
        <v>70</v>
      </c>
      <c r="N1165" s="98" t="s">
        <v>47</v>
      </c>
      <c r="O1165" s="98"/>
      <c r="P1165" s="98" t="s">
        <v>57</v>
      </c>
      <c r="Q1165" s="330" t="s">
        <v>71</v>
      </c>
      <c r="R1165" s="330"/>
      <c r="S1165" s="330"/>
      <c r="T1165" s="98" t="s">
        <v>47</v>
      </c>
      <c r="U1165" s="330"/>
      <c r="V1165" s="330"/>
      <c r="W1165" s="98" t="s">
        <v>53</v>
      </c>
      <c r="X1165" s="98"/>
    </row>
    <row r="1166" spans="1:24" ht="18.75" customHeight="1">
      <c r="A1166" s="98" t="s">
        <v>72</v>
      </c>
      <c r="B1166" s="98"/>
      <c r="C1166" s="98"/>
      <c r="D1166" s="98" t="s">
        <v>66</v>
      </c>
      <c r="E1166" s="330" t="s">
        <v>73</v>
      </c>
      <c r="F1166" s="330"/>
      <c r="G1166" s="330"/>
      <c r="H1166" s="98" t="s">
        <v>47</v>
      </c>
      <c r="I1166" s="330">
        <f>$F$8*C1166/8/$L$1</f>
        <v>0</v>
      </c>
      <c r="J1166" s="330"/>
      <c r="K1166" s="98" t="s">
        <v>53</v>
      </c>
      <c r="L1166" s="98"/>
      <c r="M1166" s="98" t="s">
        <v>72</v>
      </c>
      <c r="N1166" s="98"/>
      <c r="O1166" s="98"/>
      <c r="P1166" s="98" t="s">
        <v>66</v>
      </c>
      <c r="Q1166" s="330" t="s">
        <v>73</v>
      </c>
      <c r="R1166" s="330"/>
      <c r="S1166" s="330"/>
      <c r="T1166" s="98" t="s">
        <v>47</v>
      </c>
      <c r="U1166" s="330">
        <f>$F$8*O1166/8/$L$1</f>
        <v>0</v>
      </c>
      <c r="V1166" s="330"/>
      <c r="W1166" s="98" t="s">
        <v>53</v>
      </c>
      <c r="X1166" s="98"/>
    </row>
    <row r="1167" spans="1:24" ht="18.75" customHeight="1">
      <c r="A1167" s="98" t="s">
        <v>74</v>
      </c>
      <c r="B1167" s="98" t="s">
        <v>47</v>
      </c>
      <c r="C1167" s="98"/>
      <c r="D1167" s="98" t="s">
        <v>66</v>
      </c>
      <c r="E1167" s="330" t="s">
        <v>98</v>
      </c>
      <c r="F1167" s="330"/>
      <c r="G1167" s="330"/>
      <c r="H1167" s="98" t="s">
        <v>47</v>
      </c>
      <c r="I1167" s="330"/>
      <c r="J1167" s="330"/>
      <c r="K1167" s="98" t="s">
        <v>53</v>
      </c>
      <c r="L1167" s="98"/>
      <c r="M1167" s="98" t="s">
        <v>74</v>
      </c>
      <c r="N1167" s="98" t="s">
        <v>47</v>
      </c>
      <c r="O1167" s="98"/>
      <c r="P1167" s="98" t="s">
        <v>66</v>
      </c>
      <c r="Q1167" s="330" t="s">
        <v>98</v>
      </c>
      <c r="R1167" s="330"/>
      <c r="S1167" s="330"/>
      <c r="T1167" s="98" t="s">
        <v>47</v>
      </c>
      <c r="U1167" s="330"/>
      <c r="V1167" s="330"/>
      <c r="W1167" s="98" t="s">
        <v>53</v>
      </c>
      <c r="X1167" s="98"/>
    </row>
    <row r="1168" spans="1:24" ht="18.75" customHeight="1">
      <c r="A1168" s="98" t="s">
        <v>76</v>
      </c>
      <c r="B1168" s="98" t="s">
        <v>47</v>
      </c>
      <c r="C1168" s="98"/>
      <c r="D1168" s="98" t="s">
        <v>77</v>
      </c>
      <c r="E1168" s="98" t="s">
        <v>78</v>
      </c>
      <c r="F1168" s="98"/>
      <c r="G1168" s="98"/>
      <c r="H1168" s="98" t="s">
        <v>47</v>
      </c>
      <c r="I1168" s="330"/>
      <c r="J1168" s="330"/>
      <c r="K1168" s="98" t="s">
        <v>53</v>
      </c>
      <c r="L1168" s="98" t="e">
        <f>+IF(L1159-I1159&lt;0,0,L1159-I1159)+IF(L1163-I1163&lt;0,0,L1163-I1163)</f>
        <v>#DIV/0!</v>
      </c>
      <c r="M1168" s="98" t="s">
        <v>76</v>
      </c>
      <c r="N1168" s="98" t="s">
        <v>47</v>
      </c>
      <c r="O1168" s="98"/>
      <c r="P1168" s="98" t="s">
        <v>77</v>
      </c>
      <c r="Q1168" s="98" t="s">
        <v>78</v>
      </c>
      <c r="R1168" s="98"/>
      <c r="S1168" s="98"/>
      <c r="T1168" s="98" t="s">
        <v>47</v>
      </c>
      <c r="U1168" s="330"/>
      <c r="V1168" s="330"/>
      <c r="W1168" s="98" t="s">
        <v>53</v>
      </c>
      <c r="X1168" s="98" t="e">
        <f>+IF(X1159-U1159&lt;0,0,X1159-U1159)+IF(X1163-U1163&lt;0,0,X1163-U1163)</f>
        <v>#DIV/0!</v>
      </c>
    </row>
    <row r="1169" spans="1:24" ht="18.75" customHeight="1">
      <c r="A1169" s="98" t="s">
        <v>122</v>
      </c>
      <c r="B1169" s="98"/>
      <c r="C1169" s="98"/>
      <c r="D1169" s="98" t="s">
        <v>57</v>
      </c>
      <c r="E1169" s="330" t="s">
        <v>123</v>
      </c>
      <c r="F1169" s="330"/>
      <c r="G1169" s="330"/>
      <c r="H1169" s="98" t="s">
        <v>47</v>
      </c>
      <c r="I1169" s="330"/>
      <c r="J1169" s="330"/>
      <c r="K1169" s="98" t="s">
        <v>53</v>
      </c>
      <c r="L1169" s="98"/>
      <c r="M1169" s="98" t="s">
        <v>122</v>
      </c>
      <c r="N1169" s="98"/>
      <c r="O1169" s="98"/>
      <c r="P1169" s="98" t="s">
        <v>57</v>
      </c>
      <c r="Q1169" s="330" t="s">
        <v>123</v>
      </c>
      <c r="R1169" s="330"/>
      <c r="S1169" s="330"/>
      <c r="T1169" s="98" t="s">
        <v>47</v>
      </c>
      <c r="U1169" s="330"/>
      <c r="V1169" s="330"/>
      <c r="W1169" s="98" t="s">
        <v>53</v>
      </c>
      <c r="X1169" s="98"/>
    </row>
    <row r="1170" spans="1:24" ht="18.75" customHeight="1">
      <c r="A1170" s="330" t="s">
        <v>81</v>
      </c>
      <c r="B1170" s="330"/>
      <c r="C1170" s="98"/>
      <c r="D1170" s="98"/>
      <c r="E1170" s="98"/>
      <c r="F1170" s="98"/>
      <c r="G1170" s="98"/>
      <c r="H1170" s="98" t="s">
        <v>47</v>
      </c>
      <c r="I1170" s="330"/>
      <c r="J1170" s="330"/>
      <c r="K1170" s="98" t="s">
        <v>53</v>
      </c>
      <c r="L1170" s="98"/>
      <c r="M1170" s="330" t="s">
        <v>81</v>
      </c>
      <c r="N1170" s="330"/>
      <c r="O1170" s="98"/>
      <c r="P1170" s="98"/>
      <c r="Q1170" s="98"/>
      <c r="R1170" s="98"/>
      <c r="S1170" s="98"/>
      <c r="T1170" s="98" t="s">
        <v>47</v>
      </c>
      <c r="U1170" s="330"/>
      <c r="V1170" s="330"/>
      <c r="W1170" s="98" t="s">
        <v>53</v>
      </c>
      <c r="X1170" s="98"/>
    </row>
    <row r="1171" spans="1:24" ht="18.75" customHeight="1">
      <c r="A1171" s="98" t="s">
        <v>82</v>
      </c>
      <c r="B1171" s="98" t="s">
        <v>47</v>
      </c>
      <c r="C1171" s="98"/>
      <c r="D1171" s="98"/>
      <c r="E1171" s="98" t="s">
        <v>83</v>
      </c>
      <c r="F1171" s="98"/>
      <c r="G1171" s="98"/>
      <c r="H1171" s="98" t="s">
        <v>47</v>
      </c>
      <c r="I1171" s="330" t="e">
        <f>L1168</f>
        <v>#DIV/0!</v>
      </c>
      <c r="J1171" s="330"/>
      <c r="K1171" s="98" t="s">
        <v>53</v>
      </c>
      <c r="L1171" s="98"/>
      <c r="M1171" s="98" t="s">
        <v>82</v>
      </c>
      <c r="N1171" s="98" t="s">
        <v>47</v>
      </c>
      <c r="O1171" s="98"/>
      <c r="P1171" s="98"/>
      <c r="Q1171" s="98" t="s">
        <v>83</v>
      </c>
      <c r="R1171" s="98"/>
      <c r="S1171" s="98"/>
      <c r="T1171" s="98" t="s">
        <v>47</v>
      </c>
      <c r="U1171" s="330" t="e">
        <f>X1168</f>
        <v>#DIV/0!</v>
      </c>
      <c r="V1171" s="330"/>
      <c r="W1171" s="98" t="s">
        <v>53</v>
      </c>
      <c r="X1171" s="98"/>
    </row>
    <row r="1172" spans="1:24" ht="18.75" customHeight="1">
      <c r="A1172" s="330" t="s">
        <v>84</v>
      </c>
      <c r="B1172" s="330"/>
      <c r="C1172" s="330"/>
      <c r="D1172" s="330"/>
      <c r="E1172" s="330"/>
      <c r="F1172" s="330"/>
      <c r="G1172" s="98" t="s">
        <v>47</v>
      </c>
      <c r="H1172" s="330" t="e">
        <f>I1159+I1160+I1161+I1162+I1163+I1166+I1170+I1171</f>
        <v>#DIV/0!</v>
      </c>
      <c r="I1172" s="330"/>
      <c r="J1172" s="330"/>
      <c r="K1172" s="98" t="s">
        <v>53</v>
      </c>
      <c r="M1172" s="330" t="s">
        <v>84</v>
      </c>
      <c r="N1172" s="330"/>
      <c r="O1172" s="330"/>
      <c r="P1172" s="330"/>
      <c r="Q1172" s="330"/>
      <c r="R1172" s="330"/>
      <c r="S1172" s="98" t="s">
        <v>47</v>
      </c>
      <c r="T1172" s="330" t="e">
        <f>U1159+U1160+U1161+U1162+U1163+U1166+U1170+U1171</f>
        <v>#DIV/0!</v>
      </c>
      <c r="U1172" s="330"/>
      <c r="V1172" s="330"/>
      <c r="W1172" s="98" t="s">
        <v>53</v>
      </c>
    </row>
    <row r="1173" spans="1:24" ht="18.75" customHeight="1">
      <c r="A1173" s="98"/>
      <c r="B1173" s="98"/>
      <c r="C1173" s="98"/>
      <c r="D1173" s="98"/>
      <c r="E1173" s="98"/>
      <c r="F1173" s="98"/>
      <c r="G1173" s="98"/>
      <c r="H1173" s="98"/>
      <c r="I1173" s="98"/>
      <c r="J1173" s="98"/>
      <c r="K1173" s="98"/>
      <c r="M1173" s="98"/>
      <c r="N1173" s="98"/>
      <c r="O1173" s="98"/>
      <c r="P1173" s="98"/>
      <c r="Q1173" s="98"/>
      <c r="R1173" s="98"/>
      <c r="S1173" s="98"/>
      <c r="T1173" s="98"/>
      <c r="U1173" s="98"/>
      <c r="V1173" s="98"/>
      <c r="W1173" s="98"/>
    </row>
    <row r="1174" spans="1:24" ht="18.75" customHeight="1">
      <c r="A1174" s="330" t="s">
        <v>85</v>
      </c>
      <c r="B1174" s="330"/>
      <c r="C1174" s="330"/>
      <c r="D1174" s="330"/>
      <c r="E1174" s="330"/>
      <c r="F1174" s="330"/>
      <c r="G1174" s="98"/>
      <c r="H1174" s="98"/>
      <c r="I1174" s="98"/>
      <c r="J1174" s="98"/>
      <c r="K1174" s="98"/>
      <c r="M1174" s="330" t="s">
        <v>85</v>
      </c>
      <c r="N1174" s="330"/>
      <c r="O1174" s="330"/>
      <c r="P1174" s="330"/>
      <c r="Q1174" s="330"/>
      <c r="R1174" s="330"/>
      <c r="S1174" s="98"/>
      <c r="T1174" s="98"/>
      <c r="U1174" s="98"/>
      <c r="V1174" s="98"/>
      <c r="W1174" s="98"/>
    </row>
    <row r="1175" spans="1:24" ht="18.75" customHeight="1">
      <c r="A1175" s="330" t="s">
        <v>86</v>
      </c>
      <c r="B1175" s="330"/>
      <c r="C1175" s="330"/>
      <c r="D1175" s="330"/>
      <c r="E1175" s="330"/>
      <c r="F1175" s="330"/>
      <c r="G1175" s="98" t="s">
        <v>47</v>
      </c>
      <c r="H1175" s="330">
        <f>IF(($L$1-(C1159+C1160+C1161+C1162))&gt;12,0,F1156*8%)</f>
        <v>0</v>
      </c>
      <c r="I1175" s="330"/>
      <c r="J1175" s="330"/>
      <c r="K1175" s="98" t="s">
        <v>53</v>
      </c>
      <c r="M1175" s="330" t="s">
        <v>86</v>
      </c>
      <c r="N1175" s="330"/>
      <c r="O1175" s="330"/>
      <c r="P1175" s="330"/>
      <c r="Q1175" s="330"/>
      <c r="R1175" s="330"/>
      <c r="S1175" s="98" t="s">
        <v>47</v>
      </c>
      <c r="T1175" s="330">
        <f t="shared" ref="T1175:T1180" si="0">IF(($L$1-(O1159+O1160+O1161+O1162))&gt;12,0,R1156*8%)</f>
        <v>0</v>
      </c>
      <c r="U1175" s="330"/>
      <c r="V1175" s="330"/>
      <c r="W1175" s="98" t="s">
        <v>53</v>
      </c>
    </row>
    <row r="1176" spans="1:24" ht="18.75" customHeight="1">
      <c r="A1176" s="330" t="s">
        <v>87</v>
      </c>
      <c r="B1176" s="330"/>
      <c r="C1176" s="330"/>
      <c r="D1176" s="330"/>
      <c r="E1176" s="330"/>
      <c r="F1176" s="330"/>
      <c r="G1176" s="98" t="s">
        <v>47</v>
      </c>
      <c r="H1176" s="330">
        <f>IF(($L$1-(C1159+C1160+C1161+C1162))&gt;12,0,F1156*1.5%)</f>
        <v>0</v>
      </c>
      <c r="I1176" s="330"/>
      <c r="J1176" s="330"/>
      <c r="K1176" s="98" t="s">
        <v>53</v>
      </c>
      <c r="M1176" s="330" t="s">
        <v>87</v>
      </c>
      <c r="N1176" s="330"/>
      <c r="O1176" s="330"/>
      <c r="P1176" s="330"/>
      <c r="Q1176" s="330"/>
      <c r="R1176" s="330"/>
      <c r="S1176" s="98" t="s">
        <v>47</v>
      </c>
      <c r="T1176" s="330">
        <f t="shared" si="0"/>
        <v>0</v>
      </c>
      <c r="U1176" s="330"/>
      <c r="V1176" s="330"/>
      <c r="W1176" s="98" t="s">
        <v>53</v>
      </c>
    </row>
    <row r="1177" spans="1:24" ht="18.75" customHeight="1">
      <c r="A1177" s="330" t="s">
        <v>88</v>
      </c>
      <c r="B1177" s="330"/>
      <c r="C1177" s="330"/>
      <c r="D1177" s="330"/>
      <c r="E1177" s="330"/>
      <c r="F1177" s="330"/>
      <c r="G1177" s="98" t="s">
        <v>47</v>
      </c>
      <c r="H1177" s="330">
        <f>IF(($L$1-(C1159+C1160+C1161+C1162))&gt;12,0,F1156*1%)</f>
        <v>0</v>
      </c>
      <c r="I1177" s="330"/>
      <c r="J1177" s="330"/>
      <c r="K1177" s="98" t="s">
        <v>53</v>
      </c>
      <c r="M1177" s="330" t="s">
        <v>88</v>
      </c>
      <c r="N1177" s="330"/>
      <c r="O1177" s="330"/>
      <c r="P1177" s="330"/>
      <c r="Q1177" s="330"/>
      <c r="R1177" s="330"/>
      <c r="S1177" s="98" t="s">
        <v>47</v>
      </c>
      <c r="T1177" s="330">
        <f t="shared" si="0"/>
        <v>0</v>
      </c>
      <c r="U1177" s="330"/>
      <c r="V1177" s="330"/>
      <c r="W1177" s="98" t="s">
        <v>53</v>
      </c>
    </row>
    <row r="1178" spans="1:24" ht="18.75" customHeight="1">
      <c r="A1178" s="330" t="s">
        <v>89</v>
      </c>
      <c r="B1178" s="330"/>
      <c r="C1178" s="330"/>
      <c r="D1178" s="330"/>
      <c r="E1178" s="330"/>
      <c r="F1178" s="330"/>
      <c r="G1178" s="98" t="s">
        <v>47</v>
      </c>
      <c r="H1178" s="330">
        <v>0</v>
      </c>
      <c r="I1178" s="330"/>
      <c r="J1178" s="330"/>
      <c r="K1178" s="98" t="s">
        <v>53</v>
      </c>
      <c r="M1178" s="330" t="s">
        <v>89</v>
      </c>
      <c r="N1178" s="330"/>
      <c r="O1178" s="330"/>
      <c r="P1178" s="330"/>
      <c r="Q1178" s="330"/>
      <c r="R1178" s="330"/>
      <c r="S1178" s="98" t="s">
        <v>47</v>
      </c>
      <c r="T1178" s="330">
        <f t="shared" si="0"/>
        <v>0</v>
      </c>
      <c r="U1178" s="330"/>
      <c r="V1178" s="330"/>
      <c r="W1178" s="98" t="s">
        <v>53</v>
      </c>
    </row>
    <row r="1179" spans="1:24" ht="18.75" customHeight="1">
      <c r="A1179" s="330" t="s">
        <v>90</v>
      </c>
      <c r="B1179" s="330"/>
      <c r="C1179" s="330"/>
      <c r="D1179" s="330"/>
      <c r="E1179" s="330"/>
      <c r="F1179" s="330"/>
      <c r="G1179" s="98" t="s">
        <v>47</v>
      </c>
      <c r="H1179" s="330">
        <f>SUM(H1175:J1178)</f>
        <v>0</v>
      </c>
      <c r="I1179" s="330"/>
      <c r="J1179" s="330"/>
      <c r="K1179" s="98" t="s">
        <v>53</v>
      </c>
      <c r="M1179" s="330" t="s">
        <v>90</v>
      </c>
      <c r="N1179" s="330"/>
      <c r="O1179" s="330"/>
      <c r="P1179" s="330"/>
      <c r="Q1179" s="330"/>
      <c r="R1179" s="330"/>
      <c r="S1179" s="98" t="s">
        <v>47</v>
      </c>
      <c r="T1179" s="330">
        <f t="shared" si="0"/>
        <v>0</v>
      </c>
      <c r="U1179" s="330"/>
      <c r="V1179" s="330"/>
      <c r="W1179" s="98" t="s">
        <v>53</v>
      </c>
    </row>
    <row r="1180" spans="1:24" ht="18.75" customHeight="1">
      <c r="A1180" s="330" t="s">
        <v>91</v>
      </c>
      <c r="B1180" s="330"/>
      <c r="C1180" s="330"/>
      <c r="D1180" s="330"/>
      <c r="E1180" s="330"/>
      <c r="F1180" s="330"/>
      <c r="G1180" s="98" t="s">
        <v>47</v>
      </c>
      <c r="H1180" s="330" t="e">
        <f>ROUND(H1172-H1179,-2)</f>
        <v>#DIV/0!</v>
      </c>
      <c r="I1180" s="330"/>
      <c r="J1180" s="330"/>
      <c r="K1180" s="98" t="s">
        <v>53</v>
      </c>
      <c r="M1180" s="330" t="s">
        <v>91</v>
      </c>
      <c r="N1180" s="330"/>
      <c r="O1180" s="330"/>
      <c r="P1180" s="330"/>
      <c r="Q1180" s="330"/>
      <c r="R1180" s="330"/>
      <c r="S1180" s="98" t="s">
        <v>47</v>
      </c>
      <c r="T1180" s="330">
        <f t="shared" si="0"/>
        <v>0</v>
      </c>
      <c r="U1180" s="330"/>
      <c r="V1180" s="330"/>
      <c r="W1180" s="98" t="s">
        <v>53</v>
      </c>
    </row>
    <row r="1181" spans="1:24" ht="18.75" customHeight="1">
      <c r="A1181" s="98"/>
      <c r="B1181" s="98"/>
      <c r="C1181" s="98"/>
      <c r="D1181" s="98"/>
      <c r="E1181" s="98"/>
      <c r="F1181" s="98"/>
      <c r="G1181" s="98"/>
      <c r="H1181" s="98"/>
      <c r="I1181" s="98"/>
      <c r="J1181" s="98"/>
      <c r="K1181" s="98"/>
      <c r="M1181" s="98"/>
      <c r="N1181" s="98"/>
      <c r="O1181" s="98"/>
      <c r="P1181" s="98"/>
      <c r="Q1181" s="98"/>
      <c r="R1181" s="98"/>
      <c r="S1181" s="98"/>
      <c r="T1181" s="98"/>
      <c r="U1181" s="98"/>
      <c r="V1181" s="98"/>
      <c r="W1181" s="98"/>
    </row>
    <row r="1182" spans="1:24" ht="18.75" customHeight="1">
      <c r="A1182" s="98"/>
      <c r="B1182" s="98"/>
      <c r="C1182" s="98"/>
      <c r="D1182" s="98"/>
      <c r="E1182" s="98"/>
      <c r="F1182" s="98"/>
      <c r="G1182" s="98"/>
      <c r="H1182" s="98"/>
      <c r="I1182" s="330" t="s">
        <v>92</v>
      </c>
      <c r="J1182" s="330"/>
      <c r="K1182" s="330"/>
      <c r="M1182" s="98"/>
      <c r="N1182" s="98"/>
      <c r="O1182" s="98"/>
      <c r="P1182" s="98"/>
      <c r="Q1182" s="98"/>
      <c r="R1182" s="98"/>
      <c r="S1182" s="98"/>
      <c r="T1182" s="98"/>
      <c r="U1182" s="330" t="s">
        <v>92</v>
      </c>
      <c r="V1182" s="330"/>
      <c r="W1182" s="330"/>
    </row>
    <row r="1183" spans="1:24" ht="18.75" customHeight="1">
      <c r="A1183" s="98"/>
      <c r="B1183" s="330"/>
      <c r="C1183" s="330"/>
      <c r="D1183" s="330"/>
      <c r="E1183" s="330"/>
      <c r="F1183" s="98"/>
      <c r="G1183" s="98"/>
      <c r="H1183" s="98"/>
      <c r="I1183" s="98"/>
      <c r="J1183" s="98"/>
      <c r="K1183" s="98"/>
      <c r="M1183" s="98"/>
      <c r="N1183" s="330"/>
      <c r="O1183" s="330"/>
      <c r="P1183" s="330"/>
      <c r="Q1183" s="330"/>
      <c r="R1183" s="98"/>
      <c r="S1183" s="98"/>
      <c r="T1183" s="98"/>
      <c r="U1183" s="98"/>
      <c r="V1183" s="98"/>
      <c r="W1183" s="98"/>
    </row>
    <row r="1184" spans="1:24" ht="18.75" customHeight="1">
      <c r="A1184" s="98"/>
      <c r="B1184" s="98"/>
      <c r="C1184" s="98"/>
      <c r="D1184" s="98"/>
      <c r="E1184" s="98"/>
      <c r="F1184" s="98"/>
      <c r="G1184" s="98"/>
      <c r="H1184" s="98"/>
      <c r="I1184" s="330" t="s">
        <v>93</v>
      </c>
      <c r="J1184" s="330"/>
      <c r="K1184" s="330"/>
      <c r="M1184" s="98"/>
      <c r="N1184" s="98"/>
      <c r="O1184" s="98"/>
      <c r="P1184" s="98"/>
      <c r="Q1184" s="98"/>
      <c r="R1184" s="98"/>
      <c r="S1184" s="98"/>
      <c r="T1184" s="98"/>
      <c r="U1184" s="330" t="s">
        <v>93</v>
      </c>
      <c r="V1184" s="330"/>
      <c r="W1184" s="330"/>
    </row>
  </sheetData>
  <mergeCells count="3456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cp:lastPrinted>2023-05-24T07:20:39Z</cp:lastPrinted>
  <dcterms:created xsi:type="dcterms:W3CDTF">2015-06-05T18:17:20Z</dcterms:created>
  <dcterms:modified xsi:type="dcterms:W3CDTF">2026-05-25T15:54:33Z</dcterms:modified>
</cp:coreProperties>
</file>