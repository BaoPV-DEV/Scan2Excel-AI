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alary2\Scan2Excel-AI\Template\gt\"/>
    </mc:Choice>
  </mc:AlternateContent>
  <xr:revisionPtr revIDLastSave="0" documentId="13_ncr:1_{D156377E-0F72-49C7-B54A-3B1A2EFB3F84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Bang TH nop" sheetId="1" r:id="rId1"/>
    <sheet name="LƯƠNG Tx" sheetId="2" r:id="rId2"/>
  </sheets>
  <externalReferences>
    <externalReference r:id="rId3"/>
  </externalReferenc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1" i="1" l="1"/>
  <c r="O13" i="1"/>
  <c r="O15" i="1"/>
  <c r="O17" i="1"/>
  <c r="O19" i="1"/>
  <c r="O21" i="1"/>
  <c r="O23" i="1"/>
  <c r="O25" i="1"/>
  <c r="O27" i="1"/>
  <c r="O29" i="1"/>
  <c r="O31" i="1"/>
  <c r="O33" i="1"/>
  <c r="O35" i="1"/>
  <c r="O37" i="1"/>
  <c r="O39" i="1"/>
  <c r="O41" i="1"/>
  <c r="O43" i="1"/>
  <c r="O45" i="1"/>
  <c r="O47" i="1"/>
  <c r="O49" i="1"/>
  <c r="O51" i="1"/>
  <c r="O53" i="1"/>
  <c r="O55" i="1"/>
  <c r="O57" i="1"/>
  <c r="O59" i="1"/>
  <c r="O61" i="1"/>
  <c r="O63" i="1"/>
  <c r="O65" i="1"/>
  <c r="O67" i="1"/>
  <c r="O69" i="1"/>
  <c r="O71" i="1"/>
  <c r="O73" i="1"/>
  <c r="O75" i="1"/>
  <c r="O77" i="1"/>
  <c r="O79" i="1"/>
  <c r="O81" i="1"/>
  <c r="O83" i="1"/>
  <c r="O85" i="1"/>
  <c r="O87" i="1"/>
  <c r="N11" i="1"/>
  <c r="N13" i="1"/>
  <c r="N15" i="1"/>
  <c r="N17" i="1"/>
  <c r="N19" i="1"/>
  <c r="N21" i="1"/>
  <c r="N23" i="1"/>
  <c r="N25" i="1"/>
  <c r="N27" i="1"/>
  <c r="N29" i="1"/>
  <c r="N31" i="1"/>
  <c r="N33" i="1"/>
  <c r="N35" i="1"/>
  <c r="N37" i="1"/>
  <c r="N39" i="1"/>
  <c r="N41" i="1"/>
  <c r="N43" i="1"/>
  <c r="N45" i="1"/>
  <c r="N47" i="1"/>
  <c r="N49" i="1"/>
  <c r="N51" i="1"/>
  <c r="N53" i="1"/>
  <c r="N55" i="1"/>
  <c r="N57" i="1"/>
  <c r="N59" i="1"/>
  <c r="N61" i="1"/>
  <c r="N63" i="1"/>
  <c r="N65" i="1"/>
  <c r="N67" i="1"/>
  <c r="N69" i="1"/>
  <c r="N71" i="1"/>
  <c r="N73" i="1"/>
  <c r="N75" i="1"/>
  <c r="N77" i="1"/>
  <c r="N79" i="1"/>
  <c r="N81" i="1"/>
  <c r="N83" i="1"/>
  <c r="N85" i="1"/>
  <c r="N87" i="1"/>
  <c r="M68" i="2"/>
  <c r="M67" i="2"/>
  <c r="M22" i="2"/>
  <c r="M20" i="2"/>
  <c r="M18" i="2"/>
  <c r="M16" i="2"/>
  <c r="M14" i="2"/>
  <c r="M12" i="2"/>
  <c r="M10" i="2"/>
  <c r="P12" i="2"/>
  <c r="P14" i="2"/>
  <c r="P16" i="2"/>
  <c r="P18" i="2"/>
  <c r="P20" i="2"/>
  <c r="P22" i="2"/>
  <c r="P10" i="2"/>
  <c r="Z24" i="2"/>
  <c r="AA24" i="2"/>
  <c r="Z26" i="2"/>
  <c r="AA26" i="2"/>
  <c r="Z28" i="2"/>
  <c r="AA28" i="2"/>
  <c r="Z30" i="2"/>
  <c r="AA30" i="2"/>
  <c r="Z32" i="2"/>
  <c r="AA32" i="2"/>
  <c r="Z34" i="2"/>
  <c r="AA34" i="2"/>
  <c r="Z36" i="2"/>
  <c r="AA36" i="2"/>
  <c r="Z38" i="2"/>
  <c r="AA38" i="2"/>
  <c r="Z40" i="2"/>
  <c r="AA40" i="2"/>
  <c r="Z42" i="2"/>
  <c r="AA42" i="2"/>
  <c r="Z44" i="2"/>
  <c r="AA44" i="2"/>
  <c r="Z46" i="2"/>
  <c r="AA46" i="2"/>
  <c r="Z48" i="2"/>
  <c r="AA48" i="2"/>
  <c r="Z50" i="2"/>
  <c r="AA50" i="2"/>
  <c r="Z52" i="2"/>
  <c r="AA52" i="2"/>
  <c r="Z54" i="2"/>
  <c r="AA54" i="2"/>
  <c r="Z56" i="2"/>
  <c r="AA56" i="2"/>
  <c r="Z58" i="2"/>
  <c r="AA58" i="2"/>
  <c r="Z60" i="2"/>
  <c r="AA60" i="2"/>
  <c r="Z62" i="2"/>
  <c r="AA62" i="2"/>
  <c r="Z64" i="2"/>
  <c r="AA64" i="2"/>
  <c r="Z66" i="2"/>
  <c r="AA66" i="2"/>
  <c r="L11" i="2" l="1"/>
  <c r="L13" i="2"/>
  <c r="L15" i="2"/>
  <c r="L17" i="2"/>
  <c r="L19" i="2"/>
  <c r="L21" i="2"/>
  <c r="L23" i="2"/>
  <c r="L24" i="2" s="1"/>
  <c r="L25" i="2"/>
  <c r="L26" i="2" s="1"/>
  <c r="L27" i="2"/>
  <c r="L28" i="2" s="1"/>
  <c r="L29" i="2"/>
  <c r="L30" i="2" s="1"/>
  <c r="L31" i="2"/>
  <c r="L32" i="2" s="1"/>
  <c r="L33" i="2"/>
  <c r="L34" i="2" s="1"/>
  <c r="L35" i="2"/>
  <c r="L36" i="2" s="1"/>
  <c r="L37" i="2"/>
  <c r="L38" i="2" s="1"/>
  <c r="L39" i="2"/>
  <c r="L40" i="2" s="1"/>
  <c r="L41" i="2"/>
  <c r="L42" i="2" s="1"/>
  <c r="L43" i="2"/>
  <c r="L44" i="2" s="1"/>
  <c r="L45" i="2"/>
  <c r="L46" i="2" s="1"/>
  <c r="L47" i="2"/>
  <c r="L48" i="2" s="1"/>
  <c r="L49" i="2"/>
  <c r="L50" i="2" s="1"/>
  <c r="L51" i="2"/>
  <c r="L52" i="2" s="1"/>
  <c r="L53" i="2"/>
  <c r="L54" i="2" s="1"/>
  <c r="L55" i="2"/>
  <c r="L56" i="2" s="1"/>
  <c r="L57" i="2"/>
  <c r="L58" i="2" s="1"/>
  <c r="L59" i="2"/>
  <c r="L60" i="2" s="1"/>
  <c r="L61" i="2"/>
  <c r="L62" i="2" s="1"/>
  <c r="L63" i="2"/>
  <c r="L64" i="2" s="1"/>
  <c r="L65" i="2"/>
  <c r="L66" i="2" s="1"/>
  <c r="K11" i="2"/>
  <c r="K13" i="2"/>
  <c r="K15" i="2"/>
  <c r="K17" i="2"/>
  <c r="K19" i="2"/>
  <c r="K21" i="2"/>
  <c r="K23" i="2"/>
  <c r="K24" i="2" s="1"/>
  <c r="K25" i="2"/>
  <c r="K26" i="2" s="1"/>
  <c r="K27" i="2"/>
  <c r="K28" i="2" s="1"/>
  <c r="K29" i="2"/>
  <c r="K30" i="2" s="1"/>
  <c r="K31" i="2"/>
  <c r="K32" i="2" s="1"/>
  <c r="K33" i="2"/>
  <c r="K34" i="2" s="1"/>
  <c r="K35" i="2"/>
  <c r="K36" i="2" s="1"/>
  <c r="K37" i="2"/>
  <c r="K38" i="2" s="1"/>
  <c r="K39" i="2"/>
  <c r="K40" i="2" s="1"/>
  <c r="K41" i="2"/>
  <c r="K42" i="2" s="1"/>
  <c r="K43" i="2"/>
  <c r="K44" i="2" s="1"/>
  <c r="K45" i="2"/>
  <c r="K46" i="2" s="1"/>
  <c r="K47" i="2"/>
  <c r="K48" i="2" s="1"/>
  <c r="K49" i="2"/>
  <c r="K50" i="2" s="1"/>
  <c r="K51" i="2"/>
  <c r="K52" i="2" s="1"/>
  <c r="K53" i="2"/>
  <c r="K54" i="2" s="1"/>
  <c r="K55" i="2"/>
  <c r="K56" i="2" s="1"/>
  <c r="K57" i="2"/>
  <c r="K58" i="2" s="1"/>
  <c r="K59" i="2"/>
  <c r="K60" i="2" s="1"/>
  <c r="K61" i="2"/>
  <c r="K62" i="2" s="1"/>
  <c r="K63" i="2"/>
  <c r="K64" i="2" s="1"/>
  <c r="K65" i="2"/>
  <c r="K66" i="2" s="1"/>
  <c r="K67" i="2"/>
  <c r="J11" i="2"/>
  <c r="J13" i="2"/>
  <c r="J15" i="2"/>
  <c r="J17" i="2"/>
  <c r="J19" i="2"/>
  <c r="J21" i="2"/>
  <c r="I11" i="2"/>
  <c r="I13" i="2"/>
  <c r="I15" i="2"/>
  <c r="I17" i="2"/>
  <c r="I19" i="2"/>
  <c r="I21" i="2"/>
  <c r="H11" i="2"/>
  <c r="H13" i="2"/>
  <c r="H15" i="2"/>
  <c r="H17" i="2"/>
  <c r="H19" i="2"/>
  <c r="H21" i="2"/>
  <c r="G11" i="2"/>
  <c r="G13" i="2"/>
  <c r="G15" i="2"/>
  <c r="G17" i="2"/>
  <c r="G19" i="2"/>
  <c r="G21" i="2"/>
  <c r="D12" i="2"/>
  <c r="D14" i="2"/>
  <c r="W14" i="2" s="1"/>
  <c r="D16" i="2"/>
  <c r="W16" i="2" s="1"/>
  <c r="D18" i="2"/>
  <c r="W18" i="2" s="1"/>
  <c r="D20" i="2"/>
  <c r="W20" i="2" s="1"/>
  <c r="D22" i="2"/>
  <c r="W22" i="2" s="1"/>
  <c r="D10" i="2"/>
  <c r="F12" i="2"/>
  <c r="F14" i="2"/>
  <c r="F16" i="2"/>
  <c r="F18" i="2"/>
  <c r="J18" i="2" s="1"/>
  <c r="F20" i="2"/>
  <c r="F22" i="2"/>
  <c r="F10" i="2"/>
  <c r="W10" i="2" l="1"/>
  <c r="W12" i="2"/>
  <c r="J20" i="2"/>
  <c r="G12" i="2"/>
  <c r="I12" i="2"/>
  <c r="H16" i="2"/>
  <c r="J14" i="2"/>
  <c r="L12" i="2"/>
  <c r="K20" i="2"/>
  <c r="L16" i="2"/>
  <c r="J16" i="2"/>
  <c r="I20" i="2"/>
  <c r="G18" i="2"/>
  <c r="I22" i="2"/>
  <c r="K16" i="2"/>
  <c r="H22" i="2"/>
  <c r="G16" i="2"/>
  <c r="I14" i="2"/>
  <c r="H20" i="2"/>
  <c r="L22" i="2"/>
  <c r="G22" i="2"/>
  <c r="H18" i="2"/>
  <c r="K22" i="2"/>
  <c r="L20" i="2"/>
  <c r="J12" i="2"/>
  <c r="G20" i="2"/>
  <c r="J22" i="2"/>
  <c r="L18" i="2"/>
  <c r="K18" i="2"/>
  <c r="H12" i="2"/>
  <c r="H14" i="2"/>
  <c r="G14" i="2"/>
  <c r="L14" i="2"/>
  <c r="K14" i="2"/>
  <c r="K12" i="2"/>
  <c r="I18" i="2"/>
  <c r="I16" i="2"/>
  <c r="L9" i="2"/>
  <c r="L10" i="2" s="1"/>
  <c r="R10" i="2" l="1"/>
  <c r="N12" i="2"/>
  <c r="N18" i="2"/>
  <c r="O9" i="1"/>
  <c r="O12" i="2"/>
  <c r="O14" i="2"/>
  <c r="O18" i="2"/>
  <c r="O20" i="2"/>
  <c r="O22" i="2"/>
  <c r="N9" i="1"/>
  <c r="Y12" i="2"/>
  <c r="Y14" i="2"/>
  <c r="Y16" i="2"/>
  <c r="Y18" i="2"/>
  <c r="Y20" i="2"/>
  <c r="Y22" i="2"/>
  <c r="Y10" i="2"/>
  <c r="R22" i="2"/>
  <c r="Q22" i="2"/>
  <c r="N22" i="2"/>
  <c r="S21" i="2"/>
  <c r="S22" i="2" s="1"/>
  <c r="C21" i="2"/>
  <c r="B21" i="2"/>
  <c r="R20" i="2"/>
  <c r="Q20" i="2"/>
  <c r="N20" i="2"/>
  <c r="S19" i="2"/>
  <c r="S20" i="2" s="1"/>
  <c r="C19" i="2"/>
  <c r="B19" i="2"/>
  <c r="R18" i="2"/>
  <c r="Q18" i="2"/>
  <c r="S17" i="2"/>
  <c r="S18" i="2" s="1"/>
  <c r="C17" i="2"/>
  <c r="B17" i="2"/>
  <c r="R16" i="2"/>
  <c r="Q16" i="2"/>
  <c r="O16" i="2"/>
  <c r="N16" i="2"/>
  <c r="S15" i="2"/>
  <c r="S16" i="2" s="1"/>
  <c r="C15" i="2"/>
  <c r="B15" i="2"/>
  <c r="R14" i="2"/>
  <c r="Q14" i="2"/>
  <c r="N14" i="2"/>
  <c r="S13" i="2"/>
  <c r="S14" i="2" s="1"/>
  <c r="C13" i="2"/>
  <c r="B13" i="2"/>
  <c r="R12" i="2"/>
  <c r="Q12" i="2"/>
  <c r="S11" i="2"/>
  <c r="S12" i="2" s="1"/>
  <c r="C11" i="2"/>
  <c r="B11" i="2"/>
  <c r="N10" i="2" l="1"/>
  <c r="AB18" i="2" l="1"/>
  <c r="AB16" i="2"/>
  <c r="U18" i="2"/>
  <c r="AB20" i="2"/>
  <c r="AB22" i="2"/>
  <c r="AB12" i="2"/>
  <c r="AB14" i="2"/>
  <c r="U12" i="2"/>
  <c r="AE12" i="2" s="1"/>
  <c r="U14" i="2"/>
  <c r="AE14" i="2" s="1"/>
  <c r="U20" i="2"/>
  <c r="AE20" i="2" s="1"/>
  <c r="U22" i="2"/>
  <c r="AE22" i="2" s="1"/>
  <c r="U16" i="2"/>
  <c r="AE16" i="2" s="1"/>
  <c r="J9" i="2"/>
  <c r="J10" i="2" s="1"/>
  <c r="I9" i="2"/>
  <c r="I10" i="2" s="1"/>
  <c r="G9" i="2"/>
  <c r="G10" i="2" s="1"/>
  <c r="K9" i="2"/>
  <c r="K10" i="2" s="1"/>
  <c r="AC12" i="2" l="1"/>
  <c r="AD12" i="2" s="1"/>
  <c r="X18" i="2"/>
  <c r="AE18" i="2"/>
  <c r="AC18" i="2" s="1"/>
  <c r="AD18" i="2" s="1"/>
  <c r="X12" i="2"/>
  <c r="AC16" i="2"/>
  <c r="AD16" i="2" s="1"/>
  <c r="X16" i="2"/>
  <c r="X14" i="2"/>
  <c r="AC14" i="2"/>
  <c r="AD14" i="2" s="1"/>
  <c r="X22" i="2"/>
  <c r="AC22" i="2"/>
  <c r="AD22" i="2" s="1"/>
  <c r="X20" i="2"/>
  <c r="AC20" i="2"/>
  <c r="AD20" i="2" s="1"/>
  <c r="Q10" i="2"/>
  <c r="S9" i="2" l="1"/>
  <c r="S10" i="2" s="1"/>
  <c r="H9" i="2"/>
  <c r="H10" i="2" s="1"/>
  <c r="C9" i="2"/>
  <c r="B9" i="2"/>
  <c r="B123" i="2"/>
  <c r="W70" i="2"/>
  <c r="E70" i="2"/>
  <c r="Y69" i="2"/>
  <c r="X69" i="2"/>
  <c r="W69" i="2"/>
  <c r="V69" i="2"/>
  <c r="U69" i="2"/>
  <c r="R69" i="2"/>
  <c r="Q69" i="2"/>
  <c r="P69" i="2"/>
  <c r="O69" i="2"/>
  <c r="N69" i="2"/>
  <c r="K69" i="2"/>
  <c r="E69" i="2"/>
  <c r="W68" i="2"/>
  <c r="X67" i="2"/>
  <c r="W67" i="2"/>
  <c r="V67" i="2"/>
  <c r="U67" i="2"/>
  <c r="R67" i="2"/>
  <c r="Q67" i="2"/>
  <c r="P67" i="2"/>
  <c r="O67" i="2"/>
  <c r="N67" i="2"/>
  <c r="R70" i="2"/>
  <c r="O10" i="2"/>
  <c r="Y68" i="2" l="1"/>
  <c r="G67" i="2"/>
  <c r="J69" i="2"/>
  <c r="J67" i="2"/>
  <c r="Q70" i="2"/>
  <c r="H69" i="2"/>
  <c r="O70" i="2"/>
  <c r="N70" i="2"/>
  <c r="D69" i="2"/>
  <c r="D70" i="2"/>
  <c r="S67" i="2"/>
  <c r="R68" i="2"/>
  <c r="L69" i="2"/>
  <c r="I67" i="2"/>
  <c r="G69" i="2"/>
  <c r="S69" i="2"/>
  <c r="N68" i="2"/>
  <c r="I69" i="2"/>
  <c r="O68" i="2"/>
  <c r="H67" i="2"/>
  <c r="L67" i="2"/>
  <c r="Q68" i="2"/>
  <c r="AB10" i="2" l="1"/>
  <c r="U10" i="2"/>
  <c r="AE10" i="2" s="1"/>
  <c r="S70" i="2"/>
  <c r="J70" i="2"/>
  <c r="G70" i="2"/>
  <c r="G68" i="2"/>
  <c r="I70" i="2"/>
  <c r="J68" i="2"/>
  <c r="Y70" i="2"/>
  <c r="L70" i="2"/>
  <c r="L68" i="2"/>
  <c r="I68" i="2"/>
  <c r="H70" i="2"/>
  <c r="H68" i="2"/>
  <c r="P70" i="2"/>
  <c r="P68" i="2"/>
  <c r="K68" i="2"/>
  <c r="S68" i="2"/>
  <c r="K70" i="2"/>
  <c r="V70" i="2"/>
  <c r="V68" i="2"/>
  <c r="AC10" i="2" l="1"/>
  <c r="AD10" i="2" s="1"/>
  <c r="X10" i="2"/>
  <c r="U68" i="2"/>
  <c r="Z68" i="2" s="1"/>
  <c r="Z71" i="2" s="1"/>
  <c r="U70" i="2"/>
  <c r="AE68" i="2" l="1"/>
  <c r="AA68" i="2" s="1"/>
  <c r="AA71" i="2" s="1"/>
  <c r="X68" i="2"/>
  <c r="X70" i="2"/>
  <c r="K74" i="2" a="1"/>
  <c r="K74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<sst xmlns="http://schemas.openxmlformats.org/spreadsheetml/2006/main" count="73" uniqueCount="65">
  <si>
    <t>TT</t>
  </si>
  <si>
    <t>Họ và tên</t>
  </si>
  <si>
    <t>Mã số</t>
  </si>
  <si>
    <t>Mức lương</t>
  </si>
  <si>
    <t>Công</t>
  </si>
  <si>
    <t>Phép</t>
  </si>
  <si>
    <t>Học, họp</t>
  </si>
  <si>
    <t>Công ca 3</t>
  </si>
  <si>
    <t>Thêm giờ</t>
  </si>
  <si>
    <t>Công không ăn</t>
  </si>
  <si>
    <t>Chăm hoa</t>
  </si>
  <si>
    <t>Khuyến công</t>
  </si>
  <si>
    <t>Người lập</t>
  </si>
  <si>
    <t>CÔNG TY TNHH SD TẠI THANH HOÁ</t>
  </si>
  <si>
    <t xml:space="preserve">Bộ phận: Bảo vệ </t>
  </si>
  <si>
    <t>Phùng Thị Vân Anh</t>
  </si>
  <si>
    <t>Lễ tết</t>
  </si>
  <si>
    <t>Xăng xe</t>
  </si>
  <si>
    <t>CN CÔNG TY TNHH S&amp;D TẠI THANH HOÁ</t>
  </si>
  <si>
    <t>Tổ: Bảo vệ</t>
  </si>
  <si>
    <t>BẢNG CHI TIẾT THANH TOÁN LƯƠNG</t>
  </si>
  <si>
    <t>Stt</t>
  </si>
  <si>
    <t>Ngày tiếp nhận / Mức lương CB</t>
  </si>
  <si>
    <t>Ăn ca</t>
  </si>
  <si>
    <t>Tổng cộng</t>
  </si>
  <si>
    <t>Khấu trừ</t>
  </si>
  <si>
    <t>Thực lĩnh</t>
  </si>
  <si>
    <t>Ký tên</t>
  </si>
  <si>
    <t>Chủ nhật</t>
  </si>
  <si>
    <t>Ca ba</t>
  </si>
  <si>
    <t>BHXH, BHYT, BHTN</t>
  </si>
  <si>
    <t>Cộng</t>
  </si>
  <si>
    <t>Lập biểu</t>
  </si>
  <si>
    <t>l­¬ng 1 giê</t>
  </si>
  <si>
    <t>L­¬ng SP</t>
  </si>
  <si>
    <t>So sánh</t>
  </si>
  <si>
    <t>Bằng chữ:</t>
  </si>
  <si>
    <t>PC ATV</t>
  </si>
  <si>
    <t>Phụ cấp chức vụ+ATV</t>
  </si>
  <si>
    <t>Tổng lương thực tế</t>
  </si>
  <si>
    <t>Chức vụ</t>
  </si>
  <si>
    <t>Lê Thị Linh</t>
  </si>
  <si>
    <t>CĐ</t>
  </si>
  <si>
    <t>Phụ trách đơn vị</t>
  </si>
  <si>
    <t>Lê Văn Bắc</t>
  </si>
  <si>
    <t>Các khoản tiền lương</t>
  </si>
  <si>
    <t>Công SP</t>
  </si>
  <si>
    <t xml:space="preserve"> Các khoản hỗ trợ</t>
  </si>
  <si>
    <t>Chuyên cần</t>
  </si>
  <si>
    <t>Thưởng theo KQKD</t>
  </si>
  <si>
    <t>25=24/23</t>
  </si>
  <si>
    <t>27=26/25</t>
  </si>
  <si>
    <t>26=28/22</t>
  </si>
  <si>
    <t>28=18-8</t>
  </si>
  <si>
    <t>Đi lại</t>
  </si>
  <si>
    <t>Thâm niên</t>
  </si>
  <si>
    <t>Lương SP</t>
  </si>
  <si>
    <t>Lương CB</t>
  </si>
  <si>
    <t>BQT03</t>
  </si>
  <si>
    <t>Tháng 04 năm 2026</t>
  </si>
  <si>
    <t>Công T03</t>
  </si>
  <si>
    <t>Lương T03</t>
  </si>
  <si>
    <t>BQT04</t>
  </si>
  <si>
    <t>Ngày 15  tháng 05 năm 2026</t>
  </si>
  <si>
    <t>Ca ba lễ tết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</si>
</sst>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_(* #,##0.00_);_(* \(#,##0.00\);_(* &quot;-&quot;&quot;?&quot;&quot;?&quot;_);_(@_)"/>
    <numFmt numFmtId="166" formatCode="_(* #,##0_);_(* \(#,##0\);_(* &quot;-&quot;&quot;?&quot;&quot;?&quot;_);_(@_)"/>
    <numFmt numFmtId="167" formatCode="0.0"/>
    <numFmt numFmtId="168" formatCode="_(* #,##0.0_);_(* \(#,##0.0\);_(* &quot;-&quot;&quot;?&quot;&quot;?&quot;_);_(@_)"/>
    <numFmt numFmtId="169" formatCode="_-* #,##0_-;\-* #,##0_-;_-* &quot;-&quot;??_-;_-@_-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b/>
      <i/>
      <sz val="12"/>
      <name val="Times New Roman"/>
      <family val="1"/>
    </font>
    <font>
      <sz val="11"/>
      <name val=".VnTime"/>
      <family val="2"/>
    </font>
    <font>
      <sz val="12"/>
      <color indexed="10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b/>
      <sz val="10"/>
      <name val="Times New Roman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9"/>
      <name val="Times New Roman"/>
      <family val="1"/>
    </font>
    <font>
      <b/>
      <sz val="12"/>
      <color theme="1"/>
      <name val="Times New Roman"/>
      <family val="1"/>
    </font>
    <font>
      <i/>
      <sz val="12"/>
      <name val="Times New Roman"/>
      <family val="1"/>
    </font>
    <font>
      <sz val="10"/>
      <name val="Arial"/>
      <family val="2"/>
    </font>
    <font>
      <b/>
      <i/>
      <u val="singleAccounting"/>
      <sz val="10"/>
      <name val="Times New Roman"/>
      <family val="1"/>
    </font>
    <font>
      <b/>
      <i/>
      <u/>
      <sz val="10"/>
      <name val="Times New Roman"/>
      <family val="1"/>
    </font>
    <font>
      <b/>
      <sz val="11"/>
      <name val="Times New Roman"/>
      <family val="1"/>
    </font>
    <font>
      <b/>
      <i/>
      <sz val="11"/>
      <name val="Times New Roman"/>
      <family val="1"/>
    </font>
    <font>
      <sz val="13"/>
      <name val="Times New Roman"/>
      <family val="1"/>
    </font>
    <font>
      <b/>
      <sz val="13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8">
    <xf numFmtId="0" fontId="0" fillId="0" borderId="0"/>
    <xf numFmtId="164" fontId="1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1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</cellStyleXfs>
  <cellXfs count="180">
    <xf numFmtId="0" fontId="0" fillId="0" borderId="0" xfId="0"/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1" fontId="2" fillId="0" borderId="0" xfId="0" applyNumberFormat="1" applyFont="1" applyAlignment="1">
      <alignment vertical="center" wrapText="1"/>
    </xf>
    <xf numFmtId="0" fontId="2" fillId="0" borderId="0" xfId="0" applyFont="1" applyAlignment="1" applyProtection="1">
      <alignment vertical="center" wrapText="1"/>
      <protection locked="0"/>
    </xf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/>
    <xf numFmtId="167" fontId="2" fillId="0" borderId="0" xfId="0" applyNumberFormat="1" applyFont="1"/>
    <xf numFmtId="0" fontId="3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left" wrapText="1"/>
    </xf>
    <xf numFmtId="0" fontId="2" fillId="0" borderId="7" xfId="0" applyFont="1" applyBorder="1"/>
    <xf numFmtId="0" fontId="2" fillId="0" borderId="14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7" xfId="0" applyFont="1" applyBorder="1" applyAlignment="1">
      <alignment wrapText="1"/>
    </xf>
    <xf numFmtId="0" fontId="2" fillId="0" borderId="8" xfId="0" applyFont="1" applyBorder="1"/>
    <xf numFmtId="0" fontId="2" fillId="0" borderId="7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1" xfId="0" applyFont="1" applyBorder="1"/>
    <xf numFmtId="0" fontId="2" fillId="0" borderId="3" xfId="0" applyFont="1" applyBorder="1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2" xfId="0" applyFont="1" applyBorder="1"/>
    <xf numFmtId="0" fontId="3" fillId="3" borderId="5" xfId="0" applyFont="1" applyFill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 wrapText="1"/>
    </xf>
    <xf numFmtId="0" fontId="2" fillId="0" borderId="0" xfId="0" applyFont="1" applyAlignment="1" applyProtection="1">
      <alignment horizontal="center" vertical="center" wrapText="1"/>
      <protection locked="0"/>
    </xf>
    <xf numFmtId="14" fontId="2" fillId="0" borderId="5" xfId="0" applyNumberFormat="1" applyFont="1" applyBorder="1"/>
    <xf numFmtId="0" fontId="2" fillId="0" borderId="5" xfId="0" applyFont="1" applyBorder="1"/>
    <xf numFmtId="167" fontId="2" fillId="0" borderId="5" xfId="0" applyNumberFormat="1" applyFont="1" applyBorder="1"/>
    <xf numFmtId="0" fontId="6" fillId="0" borderId="5" xfId="0" applyFont="1" applyBorder="1"/>
    <xf numFmtId="1" fontId="7" fillId="2" borderId="9" xfId="0" applyNumberFormat="1" applyFont="1" applyFill="1" applyBorder="1" applyAlignment="1">
      <alignment vertical="center" shrinkToFit="1"/>
    </xf>
    <xf numFmtId="167" fontId="7" fillId="2" borderId="9" xfId="0" applyNumberFormat="1" applyFont="1" applyFill="1" applyBorder="1" applyAlignment="1">
      <alignment vertical="center" shrinkToFit="1"/>
    </xf>
    <xf numFmtId="0" fontId="7" fillId="2" borderId="9" xfId="0" applyFont="1" applyFill="1" applyBorder="1" applyAlignment="1">
      <alignment vertical="center" shrinkToFit="1"/>
    </xf>
    <xf numFmtId="165" fontId="7" fillId="2" borderId="9" xfId="1" applyNumberFormat="1" applyFont="1" applyFill="1" applyBorder="1" applyAlignment="1">
      <alignment vertical="center" shrinkToFit="1"/>
    </xf>
    <xf numFmtId="166" fontId="7" fillId="2" borderId="9" xfId="1" applyNumberFormat="1" applyFont="1" applyFill="1" applyBorder="1" applyAlignment="1">
      <alignment vertical="center" shrinkToFit="1"/>
    </xf>
    <xf numFmtId="168" fontId="7" fillId="2" borderId="9" xfId="1" applyNumberFormat="1" applyFont="1" applyFill="1" applyBorder="1" applyAlignment="1">
      <alignment vertical="center" shrinkToFit="1"/>
    </xf>
    <xf numFmtId="3" fontId="7" fillId="2" borderId="9" xfId="0" applyNumberFormat="1" applyFont="1" applyFill="1" applyBorder="1" applyAlignment="1">
      <alignment vertical="center" shrinkToFit="1"/>
    </xf>
    <xf numFmtId="3" fontId="7" fillId="2" borderId="9" xfId="1" applyNumberFormat="1" applyFont="1" applyFill="1" applyBorder="1" applyAlignment="1">
      <alignment vertical="center" shrinkToFit="1"/>
    </xf>
    <xf numFmtId="3" fontId="7" fillId="2" borderId="9" xfId="2" applyNumberFormat="1" applyFont="1" applyFill="1" applyBorder="1" applyAlignment="1">
      <alignment vertical="center" shrinkToFit="1"/>
    </xf>
    <xf numFmtId="3" fontId="9" fillId="2" borderId="9" xfId="1" applyNumberFormat="1" applyFont="1" applyFill="1" applyBorder="1" applyAlignment="1">
      <alignment vertical="center" shrinkToFit="1"/>
    </xf>
    <xf numFmtId="166" fontId="9" fillId="2" borderId="9" xfId="1" applyNumberFormat="1" applyFont="1" applyFill="1" applyBorder="1" applyAlignment="1">
      <alignment vertical="center" shrinkToFit="1"/>
    </xf>
    <xf numFmtId="169" fontId="2" fillId="0" borderId="5" xfId="1" applyNumberFormat="1" applyFont="1" applyFill="1" applyBorder="1"/>
    <xf numFmtId="1" fontId="7" fillId="2" borderId="0" xfId="0" applyNumberFormat="1" applyFont="1" applyFill="1"/>
    <xf numFmtId="0" fontId="9" fillId="2" borderId="0" xfId="0" applyFont="1" applyFill="1"/>
    <xf numFmtId="0" fontId="9" fillId="2" borderId="0" xfId="0" applyFont="1" applyFill="1" applyAlignment="1">
      <alignment horizontal="center" vertical="center"/>
    </xf>
    <xf numFmtId="166" fontId="9" fillId="2" borderId="0" xfId="1" applyNumberFormat="1" applyFont="1" applyFill="1"/>
    <xf numFmtId="166" fontId="9" fillId="2" borderId="0" xfId="0" applyNumberFormat="1" applyFont="1" applyFill="1"/>
    <xf numFmtId="3" fontId="7" fillId="2" borderId="0" xfId="0" applyNumberFormat="1" applyFont="1" applyFill="1"/>
    <xf numFmtId="0" fontId="8" fillId="2" borderId="0" xfId="0" applyFont="1" applyFill="1"/>
    <xf numFmtId="0" fontId="7" fillId="2" borderId="0" xfId="0" applyFont="1" applyFill="1"/>
    <xf numFmtId="0" fontId="7" fillId="2" borderId="0" xfId="0" applyFont="1" applyFill="1" applyAlignment="1">
      <alignment horizontal="center" vertical="center"/>
    </xf>
    <xf numFmtId="166" fontId="7" fillId="2" borderId="0" xfId="1" applyNumberFormat="1" applyFont="1" applyFill="1"/>
    <xf numFmtId="166" fontId="7" fillId="2" borderId="0" xfId="0" applyNumberFormat="1" applyFont="1" applyFill="1"/>
    <xf numFmtId="1" fontId="7" fillId="2" borderId="0" xfId="0" applyNumberFormat="1" applyFont="1" applyFill="1" applyAlignment="1">
      <alignment horizontal="center" vertical="center"/>
    </xf>
    <xf numFmtId="1" fontId="8" fillId="2" borderId="0" xfId="0" applyNumberFormat="1" applyFont="1" applyFill="1"/>
    <xf numFmtId="1" fontId="7" fillId="2" borderId="9" xfId="0" applyNumberFormat="1" applyFont="1" applyFill="1" applyBorder="1" applyAlignment="1">
      <alignment horizontal="center" vertical="center" wrapText="1"/>
    </xf>
    <xf numFmtId="166" fontId="7" fillId="2" borderId="3" xfId="1" applyNumberFormat="1" applyFont="1" applyFill="1" applyBorder="1" applyAlignment="1">
      <alignment vertical="center" shrinkToFit="1"/>
    </xf>
    <xf numFmtId="168" fontId="7" fillId="2" borderId="3" xfId="1" applyNumberFormat="1" applyFont="1" applyFill="1" applyBorder="1" applyAlignment="1">
      <alignment vertical="center" shrinkToFit="1"/>
    </xf>
    <xf numFmtId="169" fontId="9" fillId="2" borderId="0" xfId="1" applyNumberFormat="1" applyFont="1" applyFill="1"/>
    <xf numFmtId="1" fontId="9" fillId="2" borderId="0" xfId="0" applyNumberFormat="1" applyFont="1" applyFill="1"/>
    <xf numFmtId="1" fontId="9" fillId="2" borderId="0" xfId="0" applyNumberFormat="1" applyFont="1" applyFill="1" applyAlignment="1">
      <alignment horizontal="center" vertical="center"/>
    </xf>
    <xf numFmtId="1" fontId="10" fillId="2" borderId="0" xfId="0" applyNumberFormat="1" applyFont="1" applyFill="1"/>
    <xf numFmtId="0" fontId="9" fillId="2" borderId="0" xfId="1" applyNumberFormat="1" applyFont="1" applyFill="1"/>
    <xf numFmtId="3" fontId="9" fillId="2" borderId="0" xfId="1" applyNumberFormat="1" applyFont="1" applyFill="1"/>
    <xf numFmtId="1" fontId="7" fillId="2" borderId="0" xfId="1" applyNumberFormat="1" applyFont="1" applyFill="1"/>
    <xf numFmtId="166" fontId="7" fillId="2" borderId="0" xfId="1" applyNumberFormat="1" applyFont="1" applyFill="1" applyBorder="1"/>
    <xf numFmtId="1" fontId="7" fillId="2" borderId="1" xfId="0" applyNumberFormat="1" applyFont="1" applyFill="1" applyBorder="1" applyAlignment="1">
      <alignment horizontal="center" vertical="center" wrapText="1"/>
    </xf>
    <xf numFmtId="166" fontId="12" fillId="2" borderId="1" xfId="2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1" fillId="3" borderId="9" xfId="0" applyFont="1" applyFill="1" applyBorder="1"/>
    <xf numFmtId="0" fontId="11" fillId="4" borderId="9" xfId="0" applyFont="1" applyFill="1" applyBorder="1"/>
    <xf numFmtId="2" fontId="11" fillId="4" borderId="9" xfId="0" applyNumberFormat="1" applyFont="1" applyFill="1" applyBorder="1"/>
    <xf numFmtId="166" fontId="11" fillId="3" borderId="9" xfId="2" applyNumberFormat="1" applyFont="1" applyFill="1" applyBorder="1"/>
    <xf numFmtId="3" fontId="7" fillId="2" borderId="3" xfId="0" applyNumberFormat="1" applyFont="1" applyFill="1" applyBorder="1" applyAlignment="1">
      <alignment vertical="center" shrinkToFit="1"/>
    </xf>
    <xf numFmtId="167" fontId="7" fillId="2" borderId="2" xfId="0" applyNumberFormat="1" applyFont="1" applyFill="1" applyBorder="1" applyAlignment="1">
      <alignment vertical="center" shrinkToFit="1"/>
    </xf>
    <xf numFmtId="3" fontId="7" fillId="2" borderId="4" xfId="0" applyNumberFormat="1" applyFont="1" applyFill="1" applyBorder="1" applyAlignment="1">
      <alignment vertical="center" shrinkToFit="1"/>
    </xf>
    <xf numFmtId="3" fontId="7" fillId="2" borderId="3" xfId="1" applyNumberFormat="1" applyFont="1" applyFill="1" applyBorder="1" applyAlignment="1">
      <alignment vertical="center" shrinkToFit="1"/>
    </xf>
    <xf numFmtId="0" fontId="7" fillId="2" borderId="2" xfId="0" applyFont="1" applyFill="1" applyBorder="1" applyAlignment="1">
      <alignment vertical="center" shrinkToFit="1"/>
    </xf>
    <xf numFmtId="3" fontId="7" fillId="2" borderId="4" xfId="1" applyNumberFormat="1" applyFont="1" applyFill="1" applyBorder="1" applyAlignment="1">
      <alignment vertical="center" shrinkToFit="1"/>
    </xf>
    <xf numFmtId="165" fontId="7" fillId="2" borderId="2" xfId="1" applyNumberFormat="1" applyFont="1" applyFill="1" applyBorder="1" applyAlignment="1">
      <alignment vertical="center" shrinkToFit="1"/>
    </xf>
    <xf numFmtId="166" fontId="7" fillId="2" borderId="1" xfId="1" applyNumberFormat="1" applyFont="1" applyFill="1" applyBorder="1" applyAlignment="1">
      <alignment horizontal="center" vertical="center" wrapText="1"/>
    </xf>
    <xf numFmtId="1" fontId="8" fillId="2" borderId="1" xfId="0" applyNumberFormat="1" applyFont="1" applyFill="1" applyBorder="1" applyAlignment="1">
      <alignment horizontal="center" vertical="center" wrapText="1"/>
    </xf>
    <xf numFmtId="1" fontId="7" fillId="2" borderId="1" xfId="0" applyNumberFormat="1" applyFont="1" applyFill="1" applyBorder="1" applyAlignment="1">
      <alignment vertical="center" shrinkToFit="1"/>
    </xf>
    <xf numFmtId="166" fontId="7" fillId="2" borderId="1" xfId="1" applyNumberFormat="1" applyFont="1" applyFill="1" applyBorder="1" applyAlignment="1">
      <alignment vertical="center" shrinkToFit="1"/>
    </xf>
    <xf numFmtId="3" fontId="7" fillId="2" borderId="3" xfId="2" applyNumberFormat="1" applyFont="1" applyFill="1" applyBorder="1" applyAlignment="1">
      <alignment vertical="center" shrinkToFit="1"/>
    </xf>
    <xf numFmtId="168" fontId="7" fillId="2" borderId="1" xfId="1" applyNumberFormat="1" applyFont="1" applyFill="1" applyBorder="1" applyAlignment="1">
      <alignment vertical="center" shrinkToFit="1"/>
    </xf>
    <xf numFmtId="1" fontId="3" fillId="2" borderId="0" xfId="0" applyNumberFormat="1" applyFont="1" applyFill="1"/>
    <xf numFmtId="1" fontId="4" fillId="2" borderId="0" xfId="0" applyNumberFormat="1" applyFont="1" applyFill="1" applyAlignment="1">
      <alignment horizontal="left"/>
    </xf>
    <xf numFmtId="3" fontId="3" fillId="2" borderId="0" xfId="0" applyNumberFormat="1" applyFont="1" applyFill="1"/>
    <xf numFmtId="1" fontId="13" fillId="2" borderId="0" xfId="0" applyNumberFormat="1" applyFont="1" applyFill="1"/>
    <xf numFmtId="0" fontId="11" fillId="0" borderId="9" xfId="3" applyFont="1" applyBorder="1"/>
    <xf numFmtId="166" fontId="12" fillId="2" borderId="1" xfId="4" applyNumberFormat="1" applyFont="1" applyFill="1" applyBorder="1" applyAlignment="1">
      <alignment horizontal="center" vertical="center" wrapText="1"/>
    </xf>
    <xf numFmtId="166" fontId="11" fillId="4" borderId="9" xfId="4" applyNumberFormat="1" applyFont="1" applyFill="1" applyBorder="1"/>
    <xf numFmtId="9" fontId="11" fillId="4" borderId="9" xfId="5" applyFont="1" applyFill="1" applyBorder="1"/>
    <xf numFmtId="169" fontId="16" fillId="2" borderId="0" xfId="1" applyNumberFormat="1" applyFont="1" applyFill="1"/>
    <xf numFmtId="1" fontId="17" fillId="2" borderId="0" xfId="0" applyNumberFormat="1" applyFont="1" applyFill="1"/>
    <xf numFmtId="0" fontId="12" fillId="0" borderId="9" xfId="3" applyFont="1" applyBorder="1" applyAlignment="1">
      <alignment horizontal="center" vertical="center"/>
    </xf>
    <xf numFmtId="166" fontId="11" fillId="2" borderId="0" xfId="1" applyNumberFormat="1" applyFont="1" applyFill="1"/>
    <xf numFmtId="1" fontId="11" fillId="2" borderId="0" xfId="0" applyNumberFormat="1" applyFont="1" applyFill="1" applyAlignment="1">
      <alignment horizontal="center" vertical="center"/>
    </xf>
    <xf numFmtId="168" fontId="12" fillId="2" borderId="1" xfId="2" applyNumberFormat="1" applyFont="1" applyFill="1" applyBorder="1" applyAlignment="1">
      <alignment horizontal="center" vertical="center" wrapText="1"/>
    </xf>
    <xf numFmtId="168" fontId="11" fillId="3" borderId="9" xfId="2" applyNumberFormat="1" applyFont="1" applyFill="1" applyBorder="1"/>
    <xf numFmtId="1" fontId="8" fillId="2" borderId="1" xfId="0" applyNumberFormat="1" applyFont="1" applyFill="1" applyBorder="1" applyAlignment="1">
      <alignment vertical="center"/>
    </xf>
    <xf numFmtId="1" fontId="8" fillId="2" borderId="3" xfId="0" applyNumberFormat="1" applyFont="1" applyFill="1" applyBorder="1" applyAlignment="1">
      <alignment vertical="center"/>
    </xf>
    <xf numFmtId="1" fontId="8" fillId="2" borderId="9" xfId="0" applyNumberFormat="1" applyFont="1" applyFill="1" applyBorder="1" applyAlignment="1">
      <alignment vertical="center"/>
    </xf>
    <xf numFmtId="3" fontId="10" fillId="2" borderId="9" xfId="0" applyNumberFormat="1" applyFont="1" applyFill="1" applyBorder="1" applyAlignment="1">
      <alignment vertical="center"/>
    </xf>
    <xf numFmtId="3" fontId="10" fillId="2" borderId="9" xfId="1" applyNumberFormat="1" applyFont="1" applyFill="1" applyBorder="1" applyAlignment="1">
      <alignment vertical="center" shrinkToFit="1"/>
    </xf>
    <xf numFmtId="0" fontId="7" fillId="2" borderId="9" xfId="0" applyFont="1" applyFill="1" applyBorder="1" applyAlignment="1">
      <alignment horizontal="center" vertical="center" shrinkToFit="1"/>
    </xf>
    <xf numFmtId="0" fontId="7" fillId="2" borderId="2" xfId="0" applyFont="1" applyFill="1" applyBorder="1" applyAlignment="1">
      <alignment horizontal="center" vertical="center" shrinkToFit="1"/>
    </xf>
    <xf numFmtId="169" fontId="7" fillId="2" borderId="4" xfId="1" applyNumberFormat="1" applyFont="1" applyFill="1" applyBorder="1" applyAlignment="1">
      <alignment horizontal="center" vertical="center" shrinkToFit="1"/>
    </xf>
    <xf numFmtId="169" fontId="2" fillId="0" borderId="5" xfId="1" applyNumberFormat="1" applyFont="1" applyBorder="1"/>
    <xf numFmtId="0" fontId="20" fillId="2" borderId="0" xfId="0" applyFont="1" applyFill="1"/>
    <xf numFmtId="0" fontId="21" fillId="2" borderId="0" xfId="0" applyFont="1" applyFill="1" applyAlignment="1">
      <alignment horizontal="center"/>
    </xf>
    <xf numFmtId="3" fontId="11" fillId="0" borderId="9" xfId="3" applyNumberFormat="1" applyFont="1" applyBorder="1"/>
    <xf numFmtId="0" fontId="21" fillId="2" borderId="0" xfId="0" applyFont="1" applyFill="1"/>
    <xf numFmtId="166" fontId="14" fillId="2" borderId="0" xfId="1" applyNumberFormat="1" applyFont="1" applyFill="1" applyAlignment="1"/>
    <xf numFmtId="0" fontId="2" fillId="0" borderId="18" xfId="0" applyFont="1" applyBorder="1"/>
    <xf numFmtId="0" fontId="6" fillId="0" borderId="18" xfId="0" applyFont="1" applyBorder="1"/>
    <xf numFmtId="14" fontId="2" fillId="0" borderId="19" xfId="0" applyNumberFormat="1" applyFont="1" applyBorder="1"/>
    <xf numFmtId="169" fontId="2" fillId="0" borderId="18" xfId="1" applyNumberFormat="1" applyFont="1" applyBorder="1"/>
    <xf numFmtId="0" fontId="2" fillId="0" borderId="15" xfId="0" applyFont="1" applyBorder="1"/>
    <xf numFmtId="0" fontId="2" fillId="0" borderId="1" xfId="0" applyFont="1" applyBorder="1"/>
    <xf numFmtId="14" fontId="2" fillId="0" borderId="9" xfId="0" applyNumberFormat="1" applyFont="1" applyBorder="1"/>
    <xf numFmtId="167" fontId="2" fillId="0" borderId="9" xfId="0" applyNumberFormat="1" applyFont="1" applyBorder="1"/>
    <xf numFmtId="0" fontId="9" fillId="2" borderId="17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168" fontId="11" fillId="3" borderId="9" xfId="2" applyNumberFormat="1" applyFont="1" applyFill="1" applyBorder="1" applyAlignment="1">
      <alignment horizontal="center" vertical="center"/>
    </xf>
    <xf numFmtId="0" fontId="11" fillId="3" borderId="9" xfId="0" applyFont="1" applyFill="1" applyBorder="1" applyAlignment="1">
      <alignment horizontal="center" vertical="center"/>
    </xf>
    <xf numFmtId="166" fontId="9" fillId="2" borderId="3" xfId="1" applyNumberFormat="1" applyFont="1" applyFill="1" applyBorder="1" applyAlignment="1">
      <alignment horizontal="center" vertical="center" wrapText="1"/>
    </xf>
    <xf numFmtId="166" fontId="9" fillId="2" borderId="9" xfId="1" applyNumberFormat="1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16" xfId="0" applyFont="1" applyFill="1" applyBorder="1" applyAlignment="1">
      <alignment horizontal="center" vertical="center" wrapText="1"/>
    </xf>
    <xf numFmtId="166" fontId="9" fillId="2" borderId="9" xfId="0" applyNumberFormat="1" applyFont="1" applyFill="1" applyBorder="1" applyAlignment="1">
      <alignment horizontal="center" vertical="center" wrapText="1"/>
    </xf>
    <xf numFmtId="166" fontId="9" fillId="2" borderId="13" xfId="1" applyNumberFormat="1" applyFont="1" applyFill="1" applyBorder="1" applyAlignment="1">
      <alignment horizontal="center" vertical="center" wrapText="1"/>
    </xf>
    <xf numFmtId="166" fontId="9" fillId="2" borderId="17" xfId="1" applyNumberFormat="1" applyFont="1" applyFill="1" applyBorder="1" applyAlignment="1">
      <alignment horizontal="center" vertical="center" wrapText="1"/>
    </xf>
    <xf numFmtId="166" fontId="9" fillId="2" borderId="16" xfId="1" applyNumberFormat="1" applyFont="1" applyFill="1" applyBorder="1" applyAlignment="1">
      <alignment horizontal="center" vertical="center" wrapText="1"/>
    </xf>
    <xf numFmtId="166" fontId="9" fillId="2" borderId="1" xfId="1" applyNumberFormat="1" applyFont="1" applyFill="1" applyBorder="1" applyAlignment="1">
      <alignment horizontal="center" vertical="center" wrapText="1"/>
    </xf>
    <xf numFmtId="0" fontId="9" fillId="2" borderId="17" xfId="0" applyFont="1" applyFill="1" applyBorder="1" applyAlignment="1">
      <alignment horizontal="center" vertical="center" wrapText="1"/>
    </xf>
    <xf numFmtId="166" fontId="9" fillId="2" borderId="5" xfId="1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1" fontId="7" fillId="2" borderId="9" xfId="0" applyNumberFormat="1" applyFont="1" applyFill="1" applyBorder="1" applyAlignment="1">
      <alignment horizontal="center" vertical="center"/>
    </xf>
    <xf numFmtId="1" fontId="7" fillId="2" borderId="9" xfId="0" applyNumberFormat="1" applyFont="1" applyFill="1" applyBorder="1" applyAlignment="1">
      <alignment horizontal="left" vertical="center" wrapText="1"/>
    </xf>
    <xf numFmtId="1" fontId="7" fillId="2" borderId="13" xfId="0" applyNumberFormat="1" applyFont="1" applyFill="1" applyBorder="1" applyAlignment="1">
      <alignment horizontal="center" vertical="center" wrapText="1"/>
    </xf>
    <xf numFmtId="14" fontId="7" fillId="2" borderId="9" xfId="0" applyNumberFormat="1" applyFont="1" applyFill="1" applyBorder="1" applyAlignment="1">
      <alignment horizontal="center" vertical="center" shrinkToFit="1"/>
    </xf>
    <xf numFmtId="0" fontId="7" fillId="2" borderId="13" xfId="0" applyFont="1" applyFill="1" applyBorder="1" applyAlignment="1">
      <alignment horizontal="center" vertical="center" shrinkToFit="1"/>
    </xf>
    <xf numFmtId="0" fontId="7" fillId="2" borderId="9" xfId="0" applyFont="1" applyFill="1" applyBorder="1" applyAlignment="1">
      <alignment horizontal="center" vertical="center" shrinkToFit="1"/>
    </xf>
    <xf numFmtId="1" fontId="7" fillId="2" borderId="1" xfId="0" applyNumberFormat="1" applyFont="1" applyFill="1" applyBorder="1" applyAlignment="1">
      <alignment horizontal="center" vertical="center" wrapText="1"/>
    </xf>
    <xf numFmtId="1" fontId="7" fillId="2" borderId="9" xfId="0" applyNumberFormat="1" applyFont="1" applyFill="1" applyBorder="1" applyAlignment="1">
      <alignment horizontal="center" vertical="center" wrapText="1"/>
    </xf>
    <xf numFmtId="1" fontId="9" fillId="2" borderId="9" xfId="0" applyNumberFormat="1" applyFont="1" applyFill="1" applyBorder="1" applyAlignment="1">
      <alignment horizontal="center" vertical="center" wrapText="1"/>
    </xf>
    <xf numFmtId="1" fontId="9" fillId="2" borderId="9" xfId="0" applyNumberFormat="1" applyFont="1" applyFill="1" applyBorder="1" applyAlignment="1">
      <alignment horizontal="center" vertical="center"/>
    </xf>
    <xf numFmtId="0" fontId="11" fillId="5" borderId="1" xfId="3" applyFont="1" applyFill="1" applyBorder="1" applyAlignment="1">
      <alignment horizontal="center" vertical="center" wrapText="1"/>
    </xf>
    <xf numFmtId="0" fontId="11" fillId="5" borderId="5" xfId="3" applyFont="1" applyFill="1" applyBorder="1" applyAlignment="1">
      <alignment horizontal="center" vertical="center" wrapText="1"/>
    </xf>
    <xf numFmtId="0" fontId="11" fillId="5" borderId="3" xfId="3" applyFont="1" applyFill="1" applyBorder="1" applyAlignment="1">
      <alignment horizontal="center" vertical="center" wrapText="1"/>
    </xf>
    <xf numFmtId="1" fontId="4" fillId="2" borderId="0" xfId="0" applyNumberFormat="1" applyFont="1" applyFill="1" applyAlignment="1">
      <alignment horizontal="right" vertical="center"/>
    </xf>
    <xf numFmtId="0" fontId="11" fillId="4" borderId="1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2" fontId="11" fillId="4" borderId="1" xfId="0" applyNumberFormat="1" applyFont="1" applyFill="1" applyBorder="1" applyAlignment="1">
      <alignment horizontal="center" vertical="center"/>
    </xf>
    <xf numFmtId="2" fontId="11" fillId="4" borderId="5" xfId="0" applyNumberFormat="1" applyFont="1" applyFill="1" applyBorder="1" applyAlignment="1">
      <alignment horizontal="center" vertical="center"/>
    </xf>
    <xf numFmtId="2" fontId="11" fillId="4" borderId="3" xfId="0" applyNumberFormat="1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166" fontId="18" fillId="2" borderId="0" xfId="1" applyNumberFormat="1" applyFont="1" applyFill="1" applyAlignment="1">
      <alignment horizontal="center"/>
    </xf>
    <xf numFmtId="166" fontId="14" fillId="2" borderId="0" xfId="1" applyNumberFormat="1" applyFont="1" applyFill="1" applyAlignment="1">
      <alignment horizontal="right"/>
    </xf>
    <xf numFmtId="166" fontId="19" fillId="2" borderId="0" xfId="1" applyNumberFormat="1" applyFont="1" applyFill="1" applyAlignment="1">
      <alignment horizontal="center"/>
    </xf>
    <xf numFmtId="1" fontId="18" fillId="2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" fontId="2" fillId="3" borderId="9" xfId="0" applyNumberFormat="1" applyFont="1" applyFill="1" applyBorder="1" applyAlignment="1">
      <alignment horizontal="center" vertical="center" wrapText="1"/>
    </xf>
    <xf numFmtId="0" fontId="2" fillId="3" borderId="9" xfId="0" applyFont="1" applyFill="1" applyBorder="1" applyAlignment="1" applyProtection="1">
      <alignment horizontal="center" vertical="center" wrapText="1"/>
      <protection locked="0"/>
    </xf>
    <xf numFmtId="0" fontId="2" fillId="3" borderId="9" xfId="3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</cellXfs>
  <cellStyles count="8">
    <cellStyle name="Comma" xfId="1" builtinId="3"/>
    <cellStyle name="Comma 2 2" xfId="4" xr:uid="{00000000-0005-0000-0000-000001000000}"/>
    <cellStyle name="Comma 4" xfId="2" xr:uid="{00000000-0005-0000-0000-000002000000}"/>
    <cellStyle name="Comma 4 2" xfId="7" xr:uid="{79EDDD06-1707-46F5-A4C8-7FCA2E6AB4FD}"/>
    <cellStyle name="Normal" xfId="0" builtinId="0"/>
    <cellStyle name="Normal 2" xfId="3" xr:uid="{00000000-0005-0000-0000-000004000000}"/>
    <cellStyle name="Normal 4" xfId="6" xr:uid="{41266E88-2785-474F-8404-5FE2DF88C762}"/>
    <cellStyle name="Percent 2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H&#7890;%20S&#416;+L&#431;&#416;NG%20SD/L&#431;&#416;NG/L&#431;&#416;NG%20+%20C&#212;NG%202025/Th&#225;ng%2010-2025/CK%20th&#225;ng%2010-2025.xlsx" TargetMode="External"/><Relationship Id="rId2" Type="http://schemas.openxmlformats.org/officeDocument/2006/relationships/externalLinkPath" Target="file:///D:\H&#7890;%20S&#416;+L&#431;&#416;NG%20SD\L&#431;&#416;NG\L&#431;&#416;NG%20+%20C&#212;NG%202025\Th&#225;ng%2010-2025\CK%20th&#225;ng%2010-2025.xlsx" TargetMode="External"/><Relationship Id="rId1" Type="http://schemas.openxmlformats.org/officeDocument/2006/relationships/externalLinkPath" Target="/H&#7890;%20S&#416;+L&#431;&#416;NG%20SD/L&#431;&#416;NG/L&#431;&#416;NG%20+%20C&#212;NG%202025/Th&#225;ng%2010-2025/CK%20th&#225;ng%2010-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ản gốc T10"/>
      <sheetName val="Sheet1"/>
      <sheetName val="VTB"/>
      <sheetName val="TM Tổng"/>
      <sheetName val="TM CĐ"/>
      <sheetName val="TM C Nga"/>
    </sheetNames>
    <sheetDataSet>
      <sheetData sheetId="0">
        <row r="1">
          <cell r="C1" t="str">
            <v>MÃ SỐ</v>
          </cell>
          <cell r="D1" t="str">
            <v>BÙ LƯƠNG</v>
          </cell>
          <cell r="E1" t="str">
            <v>Trừ PLLĐ</v>
          </cell>
          <cell r="F1" t="str">
            <v>TỔNG LƯƠNG</v>
          </cell>
          <cell r="G1" t="str">
            <v>BHXH</v>
          </cell>
          <cell r="H1" t="str">
            <v>CĐ/Thuế TNCN</v>
          </cell>
          <cell r="I1" t="str">
            <v>THỰC LĨNH</v>
          </cell>
          <cell r="J1" t="str">
            <v>CÔNG</v>
          </cell>
        </row>
        <row r="2">
          <cell r="C2" t="str">
            <v>Kế toán</v>
          </cell>
          <cell r="F2">
            <v>3000000</v>
          </cell>
          <cell r="G2"/>
          <cell r="I2">
            <v>3000000</v>
          </cell>
          <cell r="J2"/>
        </row>
        <row r="3">
          <cell r="C3" t="str">
            <v>Nhóm trưởng</v>
          </cell>
          <cell r="D3"/>
          <cell r="E3"/>
          <cell r="F3">
            <v>700000</v>
          </cell>
          <cell r="I3">
            <v>700000</v>
          </cell>
          <cell r="J3"/>
        </row>
        <row r="4">
          <cell r="C4" t="str">
            <v>IE</v>
          </cell>
          <cell r="D4"/>
          <cell r="E4"/>
          <cell r="F4">
            <v>500000</v>
          </cell>
          <cell r="I4">
            <v>500000</v>
          </cell>
          <cell r="J4"/>
        </row>
        <row r="5">
          <cell r="C5" t="str">
            <v>QA</v>
          </cell>
          <cell r="F5">
            <v>1000000</v>
          </cell>
          <cell r="I5">
            <v>1000000</v>
          </cell>
          <cell r="J5"/>
        </row>
        <row r="6">
          <cell r="C6">
            <v>81120</v>
          </cell>
          <cell r="D6"/>
          <cell r="E6"/>
          <cell r="F6">
            <v>2000000</v>
          </cell>
          <cell r="I6">
            <v>2000000</v>
          </cell>
          <cell r="J6"/>
        </row>
        <row r="7">
          <cell r="C7">
            <v>81896</v>
          </cell>
          <cell r="D7"/>
          <cell r="E7"/>
          <cell r="F7">
            <v>1000000</v>
          </cell>
          <cell r="I7">
            <v>1000000</v>
          </cell>
          <cell r="J7"/>
        </row>
        <row r="8">
          <cell r="C8" t="str">
            <v>XNK1</v>
          </cell>
          <cell r="D8"/>
          <cell r="E8"/>
          <cell r="F8">
            <v>1000000</v>
          </cell>
          <cell r="I8">
            <v>1000000</v>
          </cell>
          <cell r="J8"/>
        </row>
        <row r="9">
          <cell r="C9" t="str">
            <v>XNK2</v>
          </cell>
          <cell r="D9"/>
          <cell r="E9"/>
          <cell r="F9">
            <v>1000000</v>
          </cell>
          <cell r="I9">
            <v>1000000</v>
          </cell>
          <cell r="J9"/>
        </row>
        <row r="10">
          <cell r="C10" t="str">
            <v>XNK3</v>
          </cell>
          <cell r="D10"/>
          <cell r="E10"/>
          <cell r="F10">
            <v>1000000</v>
          </cell>
          <cell r="I10">
            <v>1000000</v>
          </cell>
          <cell r="J10"/>
        </row>
        <row r="11">
          <cell r="C11">
            <v>52215</v>
          </cell>
          <cell r="E11">
            <v>0</v>
          </cell>
          <cell r="F11">
            <v>8423689.2396850027</v>
          </cell>
          <cell r="H11">
            <v>0</v>
          </cell>
          <cell r="I11">
            <v>8423700</v>
          </cell>
          <cell r="J11">
            <v>27</v>
          </cell>
        </row>
        <row r="12">
          <cell r="C12" t="str">
            <v>TV</v>
          </cell>
          <cell r="D12"/>
          <cell r="E12"/>
          <cell r="F12">
            <v>9855000</v>
          </cell>
          <cell r="H12">
            <v>0</v>
          </cell>
          <cell r="I12">
            <v>9855000</v>
          </cell>
          <cell r="J12">
            <v>27</v>
          </cell>
        </row>
        <row r="13">
          <cell r="C13" t="str">
            <v>TVLA81</v>
          </cell>
          <cell r="F13">
            <v>732663.11009026004</v>
          </cell>
          <cell r="G13">
            <v>0</v>
          </cell>
          <cell r="I13">
            <v>732700</v>
          </cell>
          <cell r="J13">
            <v>5</v>
          </cell>
        </row>
        <row r="14">
          <cell r="C14">
            <v>52222</v>
          </cell>
          <cell r="D14"/>
          <cell r="E14"/>
          <cell r="F14">
            <v>440500.94549485244</v>
          </cell>
          <cell r="G14">
            <v>0</v>
          </cell>
          <cell r="I14">
            <v>440500</v>
          </cell>
          <cell r="J14">
            <v>3.9375</v>
          </cell>
        </row>
        <row r="15">
          <cell r="C15">
            <v>10358</v>
          </cell>
          <cell r="F15">
            <v>723235.66981025145</v>
          </cell>
          <cell r="G15">
            <v>0</v>
          </cell>
          <cell r="I15">
            <v>723200</v>
          </cell>
          <cell r="J15">
            <v>6.604166666666667</v>
          </cell>
        </row>
        <row r="16">
          <cell r="C16">
            <v>52182</v>
          </cell>
          <cell r="D16"/>
          <cell r="E16"/>
          <cell r="F16">
            <v>1600045.0357894734</v>
          </cell>
          <cell r="I16">
            <v>1600000</v>
          </cell>
          <cell r="J16">
            <v>5.5</v>
          </cell>
        </row>
        <row r="17">
          <cell r="C17">
            <v>10370</v>
          </cell>
          <cell r="D17">
            <v>162777.37209946822</v>
          </cell>
          <cell r="E17">
            <v>0</v>
          </cell>
          <cell r="F17">
            <v>1324253.220240057</v>
          </cell>
          <cell r="G17">
            <v>0</v>
          </cell>
          <cell r="H17">
            <v>0</v>
          </cell>
          <cell r="I17">
            <v>1324300</v>
          </cell>
          <cell r="J17">
            <v>9</v>
          </cell>
        </row>
        <row r="18">
          <cell r="C18">
            <v>10368</v>
          </cell>
          <cell r="D18">
            <v>126797.80304573433</v>
          </cell>
          <cell r="E18">
            <v>0</v>
          </cell>
          <cell r="F18">
            <v>2497785.4103072416</v>
          </cell>
          <cell r="G18">
            <v>0</v>
          </cell>
          <cell r="H18">
            <v>0</v>
          </cell>
          <cell r="I18">
            <v>2497800</v>
          </cell>
          <cell r="J18">
            <v>13</v>
          </cell>
        </row>
        <row r="19">
          <cell r="C19">
            <v>52221</v>
          </cell>
          <cell r="D19">
            <v>365681.28747114202</v>
          </cell>
          <cell r="E19">
            <v>0</v>
          </cell>
          <cell r="F19">
            <v>6140797.4837404201</v>
          </cell>
          <cell r="H19">
            <v>0</v>
          </cell>
          <cell r="I19">
            <v>6140800</v>
          </cell>
          <cell r="J19">
            <v>27.5</v>
          </cell>
        </row>
        <row r="20">
          <cell r="C20">
            <v>10367</v>
          </cell>
          <cell r="D20">
            <v>39307.147347668506</v>
          </cell>
          <cell r="E20">
            <v>0</v>
          </cell>
          <cell r="F20">
            <v>3809804.7769740885</v>
          </cell>
          <cell r="H20">
            <v>0</v>
          </cell>
          <cell r="I20">
            <v>3809800</v>
          </cell>
          <cell r="J20">
            <v>16</v>
          </cell>
        </row>
        <row r="21">
          <cell r="C21">
            <v>52216</v>
          </cell>
          <cell r="D21">
            <v>135122.85673861572</v>
          </cell>
          <cell r="E21">
            <v>0</v>
          </cell>
          <cell r="F21">
            <v>6300055.9490149217</v>
          </cell>
          <cell r="H21">
            <v>0</v>
          </cell>
          <cell r="I21">
            <v>6300100</v>
          </cell>
          <cell r="J21">
            <v>25.875</v>
          </cell>
        </row>
        <row r="22">
          <cell r="C22">
            <v>10357</v>
          </cell>
          <cell r="D22">
            <v>239601.28458655416</v>
          </cell>
          <cell r="E22">
            <v>0</v>
          </cell>
          <cell r="F22">
            <v>6499221.3866249528</v>
          </cell>
          <cell r="H22">
            <v>0</v>
          </cell>
          <cell r="I22">
            <v>6499200</v>
          </cell>
          <cell r="J22">
            <v>27</v>
          </cell>
        </row>
        <row r="23">
          <cell r="C23">
            <v>10362</v>
          </cell>
          <cell r="D23">
            <v>197930.81759965236</v>
          </cell>
          <cell r="E23">
            <v>-510000</v>
          </cell>
          <cell r="F23">
            <v>4969288.209594205</v>
          </cell>
          <cell r="H23">
            <v>0</v>
          </cell>
          <cell r="I23">
            <v>4969300</v>
          </cell>
          <cell r="J23">
            <v>25</v>
          </cell>
        </row>
        <row r="24">
          <cell r="C24">
            <v>52220</v>
          </cell>
          <cell r="D24">
            <v>289347.15534071426</v>
          </cell>
          <cell r="E24">
            <v>-255000</v>
          </cell>
          <cell r="F24">
            <v>4897225.4944479428</v>
          </cell>
          <cell r="H24">
            <v>0</v>
          </cell>
          <cell r="I24">
            <v>4897200</v>
          </cell>
          <cell r="J24">
            <v>25</v>
          </cell>
        </row>
        <row r="25">
          <cell r="C25">
            <v>10366</v>
          </cell>
          <cell r="D25">
            <v>317812.08552041149</v>
          </cell>
          <cell r="E25">
            <v>-178500</v>
          </cell>
          <cell r="F25">
            <v>3421616.8588233804</v>
          </cell>
          <cell r="H25">
            <v>0</v>
          </cell>
          <cell r="I25">
            <v>3421600</v>
          </cell>
          <cell r="J25">
            <v>19.5</v>
          </cell>
        </row>
        <row r="26">
          <cell r="C26">
            <v>10359</v>
          </cell>
          <cell r="D26">
            <v>196320.00036992459</v>
          </cell>
          <cell r="E26">
            <v>-782000</v>
          </cell>
          <cell r="F26">
            <v>4333166.4679073207</v>
          </cell>
          <cell r="H26">
            <v>0</v>
          </cell>
          <cell r="I26">
            <v>4333200</v>
          </cell>
          <cell r="J26">
            <v>23</v>
          </cell>
        </row>
        <row r="27">
          <cell r="C27">
            <v>52140</v>
          </cell>
          <cell r="D27">
            <v>58339.938786176353</v>
          </cell>
          <cell r="E27">
            <v>0</v>
          </cell>
          <cell r="F27">
            <v>5344519.0013052886</v>
          </cell>
          <cell r="H27">
            <v>0</v>
          </cell>
          <cell r="I27">
            <v>5344500</v>
          </cell>
          <cell r="J27">
            <v>22.135416666666668</v>
          </cell>
        </row>
        <row r="28">
          <cell r="C28">
            <v>10344</v>
          </cell>
          <cell r="D28">
            <v>239286.1234240169</v>
          </cell>
          <cell r="E28">
            <v>0</v>
          </cell>
          <cell r="F28">
            <v>6365485.1393433334</v>
          </cell>
          <cell r="H28">
            <v>0</v>
          </cell>
          <cell r="I28">
            <v>6365500</v>
          </cell>
          <cell r="J28">
            <v>27</v>
          </cell>
        </row>
        <row r="29">
          <cell r="C29">
            <v>10360</v>
          </cell>
          <cell r="D29">
            <v>97109.675081160589</v>
          </cell>
          <cell r="E29">
            <v>0</v>
          </cell>
          <cell r="F29">
            <v>6982680.1093719024</v>
          </cell>
          <cell r="H29">
            <v>0</v>
          </cell>
          <cell r="I29">
            <v>6982700</v>
          </cell>
          <cell r="J29">
            <v>27.5</v>
          </cell>
        </row>
        <row r="30">
          <cell r="C30">
            <v>52217</v>
          </cell>
          <cell r="D30">
            <v>31005.896256397245</v>
          </cell>
          <cell r="E30">
            <v>0</v>
          </cell>
          <cell r="F30">
            <v>6363649.2182820905</v>
          </cell>
          <cell r="H30">
            <v>0</v>
          </cell>
          <cell r="I30">
            <v>6363600</v>
          </cell>
          <cell r="J30">
            <v>26.8125</v>
          </cell>
        </row>
        <row r="31">
          <cell r="C31">
            <v>10365</v>
          </cell>
          <cell r="D31">
            <v>208116.06122291228</v>
          </cell>
          <cell r="E31">
            <v>0</v>
          </cell>
          <cell r="F31">
            <v>4232250.7746645957</v>
          </cell>
          <cell r="G31"/>
          <cell r="H31">
            <v>0</v>
          </cell>
          <cell r="I31">
            <v>4232300</v>
          </cell>
          <cell r="J31">
            <v>21</v>
          </cell>
        </row>
        <row r="32">
          <cell r="C32">
            <v>52208</v>
          </cell>
          <cell r="D32">
            <v>194694.49721946736</v>
          </cell>
          <cell r="E32">
            <v>0</v>
          </cell>
          <cell r="F32">
            <v>5273259.1899655303</v>
          </cell>
          <cell r="H32">
            <v>0</v>
          </cell>
          <cell r="I32">
            <v>5273300</v>
          </cell>
          <cell r="J32">
            <v>25</v>
          </cell>
        </row>
        <row r="33">
          <cell r="C33">
            <v>10363</v>
          </cell>
          <cell r="D33">
            <v>228283.86892588402</v>
          </cell>
          <cell r="E33">
            <v>-849645.83333333326</v>
          </cell>
          <cell r="F33">
            <v>4438759.9494901542</v>
          </cell>
          <cell r="H33">
            <v>0</v>
          </cell>
          <cell r="I33">
            <v>4438800</v>
          </cell>
          <cell r="J33">
            <v>25.489583333333332</v>
          </cell>
        </row>
        <row r="34">
          <cell r="C34" t="str">
            <v>TVLA03</v>
          </cell>
          <cell r="F34">
            <v>5703955.4411898786</v>
          </cell>
          <cell r="H34">
            <v>0</v>
          </cell>
          <cell r="I34">
            <v>5704000</v>
          </cell>
          <cell r="J34">
            <v>26.5</v>
          </cell>
        </row>
        <row r="35">
          <cell r="C35" t="str">
            <v>TVLA64</v>
          </cell>
          <cell r="F35">
            <v>6714815.7712958315</v>
          </cell>
          <cell r="H35">
            <v>0</v>
          </cell>
          <cell r="I35">
            <v>6714800</v>
          </cell>
          <cell r="J35">
            <v>27</v>
          </cell>
        </row>
        <row r="36">
          <cell r="C36" t="str">
            <v>TVLA65</v>
          </cell>
          <cell r="F36">
            <v>5603100.3880294412</v>
          </cell>
          <cell r="H36">
            <v>0</v>
          </cell>
          <cell r="I36">
            <v>5603100</v>
          </cell>
          <cell r="J36">
            <v>24.5</v>
          </cell>
        </row>
        <row r="37">
          <cell r="C37" t="str">
            <v>TVLA66</v>
          </cell>
          <cell r="F37">
            <v>6048828.7981279995</v>
          </cell>
          <cell r="H37">
            <v>0</v>
          </cell>
          <cell r="I37">
            <v>6048800</v>
          </cell>
          <cell r="J37">
            <v>26.9375</v>
          </cell>
        </row>
        <row r="38">
          <cell r="C38" t="str">
            <v>TVLA70</v>
          </cell>
          <cell r="F38">
            <v>6006169.2233280065</v>
          </cell>
          <cell r="H38">
            <v>0</v>
          </cell>
          <cell r="I38">
            <v>6006200</v>
          </cell>
          <cell r="J38">
            <v>26</v>
          </cell>
        </row>
        <row r="39">
          <cell r="C39" t="str">
            <v>TVLA83</v>
          </cell>
          <cell r="D39"/>
          <cell r="E39"/>
          <cell r="F39">
            <v>5186995.5435115686</v>
          </cell>
          <cell r="H39">
            <v>0</v>
          </cell>
          <cell r="I39">
            <v>5187000</v>
          </cell>
          <cell r="J39">
            <v>22.1875</v>
          </cell>
        </row>
        <row r="40">
          <cell r="C40" t="str">
            <v>TVLA85</v>
          </cell>
          <cell r="F40">
            <v>5406641.80165477</v>
          </cell>
          <cell r="H40">
            <v>0</v>
          </cell>
          <cell r="I40">
            <v>5406600</v>
          </cell>
          <cell r="J40">
            <v>26</v>
          </cell>
        </row>
        <row r="41">
          <cell r="C41" t="str">
            <v>TVLA89</v>
          </cell>
          <cell r="D41"/>
          <cell r="E41"/>
          <cell r="F41">
            <v>5720881.9597162139</v>
          </cell>
          <cell r="H41">
            <v>0</v>
          </cell>
          <cell r="I41">
            <v>5720900</v>
          </cell>
          <cell r="J41">
            <v>27.5</v>
          </cell>
        </row>
        <row r="42">
          <cell r="C42" t="str">
            <v>TVLA90</v>
          </cell>
          <cell r="F42">
            <v>6395375.1328088865</v>
          </cell>
          <cell r="H42">
            <v>0</v>
          </cell>
          <cell r="I42">
            <v>6395400</v>
          </cell>
          <cell r="J42">
            <v>27.5</v>
          </cell>
        </row>
        <row r="43">
          <cell r="C43" t="str">
            <v>TVLA91</v>
          </cell>
          <cell r="F43">
            <v>5769258.8356882194</v>
          </cell>
          <cell r="H43">
            <v>0</v>
          </cell>
          <cell r="I43">
            <v>5769300</v>
          </cell>
          <cell r="J43">
            <v>27</v>
          </cell>
        </row>
        <row r="44">
          <cell r="C44" t="str">
            <v>TVLA92</v>
          </cell>
          <cell r="F44">
            <v>5817277.8321330473</v>
          </cell>
          <cell r="H44">
            <v>0</v>
          </cell>
          <cell r="I44">
            <v>5817300</v>
          </cell>
          <cell r="J44">
            <v>27.5</v>
          </cell>
        </row>
        <row r="45">
          <cell r="C45" t="str">
            <v>TVLA94</v>
          </cell>
          <cell r="D45"/>
          <cell r="E45"/>
          <cell r="F45">
            <v>4720185.1851851856</v>
          </cell>
          <cell r="H45">
            <v>0</v>
          </cell>
          <cell r="I45">
            <v>4720200</v>
          </cell>
          <cell r="J45">
            <v>25</v>
          </cell>
        </row>
        <row r="46">
          <cell r="C46" t="str">
            <v>TVLA95</v>
          </cell>
          <cell r="F46">
            <v>7011485.7535908595</v>
          </cell>
          <cell r="G46"/>
          <cell r="H46">
            <v>0</v>
          </cell>
          <cell r="I46">
            <v>7011500</v>
          </cell>
          <cell r="J46">
            <v>27.4375</v>
          </cell>
        </row>
        <row r="47">
          <cell r="C47" t="str">
            <v>TVLA97</v>
          </cell>
          <cell r="F47">
            <v>5948168.2141445316</v>
          </cell>
          <cell r="H47">
            <v>0</v>
          </cell>
          <cell r="I47">
            <v>5948200</v>
          </cell>
          <cell r="J47">
            <v>27</v>
          </cell>
        </row>
        <row r="48">
          <cell r="C48" t="str">
            <v>TVLA101</v>
          </cell>
          <cell r="F48">
            <v>5744554.1211977117</v>
          </cell>
          <cell r="H48">
            <v>0</v>
          </cell>
          <cell r="I48">
            <v>5744600</v>
          </cell>
          <cell r="J48">
            <v>27.5</v>
          </cell>
        </row>
        <row r="49">
          <cell r="C49">
            <v>51643</v>
          </cell>
          <cell r="D49"/>
          <cell r="E49"/>
          <cell r="F49">
            <v>6665101.682692307</v>
          </cell>
          <cell r="G49">
            <v>518595</v>
          </cell>
          <cell r="H49">
            <v>24700</v>
          </cell>
          <cell r="I49">
            <v>6121800</v>
          </cell>
          <cell r="J49">
            <v>26.983333333333334</v>
          </cell>
        </row>
        <row r="50">
          <cell r="C50">
            <v>51902</v>
          </cell>
          <cell r="F50">
            <v>4102534.6152028604</v>
          </cell>
          <cell r="G50">
            <v>518595</v>
          </cell>
          <cell r="I50">
            <v>3583900</v>
          </cell>
          <cell r="J50">
            <v>23.106249999999999</v>
          </cell>
        </row>
        <row r="51">
          <cell r="C51" t="str">
            <v>Q.trị 8</v>
          </cell>
          <cell r="D51"/>
          <cell r="E51"/>
          <cell r="F51">
            <v>13260000</v>
          </cell>
          <cell r="G51">
            <v>749805</v>
          </cell>
          <cell r="H51">
            <v>35700</v>
          </cell>
          <cell r="I51">
            <v>12474500</v>
          </cell>
          <cell r="J51">
            <v>27</v>
          </cell>
        </row>
        <row r="52">
          <cell r="C52">
            <v>10144</v>
          </cell>
          <cell r="D52">
            <v>0</v>
          </cell>
          <cell r="E52">
            <v>0</v>
          </cell>
          <cell r="F52">
            <v>7449603.0843654908</v>
          </cell>
          <cell r="H52">
            <v>0</v>
          </cell>
          <cell r="I52">
            <v>7449600</v>
          </cell>
          <cell r="J52">
            <v>26.777083333333334</v>
          </cell>
        </row>
        <row r="53">
          <cell r="C53" t="str">
            <v>Q.trị 7</v>
          </cell>
          <cell r="D53"/>
          <cell r="E53"/>
          <cell r="F53">
            <v>14660000</v>
          </cell>
          <cell r="G53">
            <v>657510</v>
          </cell>
          <cell r="H53">
            <v>31300</v>
          </cell>
          <cell r="I53">
            <v>13971200</v>
          </cell>
          <cell r="J53">
            <v>27</v>
          </cell>
        </row>
        <row r="54">
          <cell r="C54">
            <v>10369</v>
          </cell>
          <cell r="D54">
            <v>79964.334541167016</v>
          </cell>
          <cell r="E54">
            <v>0</v>
          </cell>
          <cell r="F54">
            <v>3086930.0465901745</v>
          </cell>
          <cell r="G54">
            <v>0</v>
          </cell>
          <cell r="H54">
            <v>0</v>
          </cell>
          <cell r="I54">
            <v>3086900</v>
          </cell>
          <cell r="J54">
            <v>13</v>
          </cell>
        </row>
        <row r="55">
          <cell r="C55">
            <v>52227</v>
          </cell>
          <cell r="D55">
            <v>19357.829119183894</v>
          </cell>
          <cell r="E55">
            <v>0</v>
          </cell>
          <cell r="F55">
            <v>3193327.5543091153</v>
          </cell>
          <cell r="H55">
            <v>0</v>
          </cell>
          <cell r="I55">
            <v>3193300</v>
          </cell>
          <cell r="J55">
            <v>15</v>
          </cell>
        </row>
        <row r="56">
          <cell r="C56">
            <v>10262</v>
          </cell>
          <cell r="F56">
            <v>2411667.2097110664</v>
          </cell>
          <cell r="I56">
            <v>2411700</v>
          </cell>
          <cell r="J56">
            <v>14</v>
          </cell>
        </row>
        <row r="57">
          <cell r="C57">
            <v>52198</v>
          </cell>
          <cell r="D57">
            <v>453149.50437979633</v>
          </cell>
          <cell r="E57">
            <v>-275400</v>
          </cell>
          <cell r="F57">
            <v>5785771.6791683026</v>
          </cell>
          <cell r="G57">
            <v>518595</v>
          </cell>
          <cell r="H57">
            <v>24700</v>
          </cell>
          <cell r="I57">
            <v>5242500</v>
          </cell>
          <cell r="J57">
            <v>27</v>
          </cell>
        </row>
        <row r="58">
          <cell r="C58">
            <v>52219</v>
          </cell>
          <cell r="D58">
            <v>195618.4991480241</v>
          </cell>
          <cell r="E58">
            <v>0</v>
          </cell>
          <cell r="F58">
            <v>6188344.6895217402</v>
          </cell>
          <cell r="H58">
            <v>0</v>
          </cell>
          <cell r="I58">
            <v>6188300</v>
          </cell>
          <cell r="J58">
            <v>26</v>
          </cell>
        </row>
        <row r="59">
          <cell r="C59">
            <v>51860</v>
          </cell>
          <cell r="D59">
            <v>130906.62171841096</v>
          </cell>
          <cell r="E59">
            <v>-680000</v>
          </cell>
          <cell r="F59">
            <v>4708456.6647592969</v>
          </cell>
          <cell r="G59">
            <v>518595</v>
          </cell>
          <cell r="H59">
            <v>24700</v>
          </cell>
          <cell r="I59">
            <v>4165200</v>
          </cell>
          <cell r="J59">
            <v>20</v>
          </cell>
        </row>
        <row r="60">
          <cell r="C60">
            <v>10361</v>
          </cell>
          <cell r="D60">
            <v>315325.39983908797</v>
          </cell>
          <cell r="E60">
            <v>-260100</v>
          </cell>
          <cell r="F60">
            <v>4828111.701123761</v>
          </cell>
          <cell r="H60">
            <v>0</v>
          </cell>
          <cell r="I60">
            <v>4828100</v>
          </cell>
          <cell r="J60">
            <v>25.5</v>
          </cell>
        </row>
        <row r="61">
          <cell r="C61">
            <v>10335</v>
          </cell>
          <cell r="D61">
            <v>64271.461010616418</v>
          </cell>
          <cell r="E61">
            <v>0</v>
          </cell>
          <cell r="F61">
            <v>5599154.3669681503</v>
          </cell>
          <cell r="H61">
            <v>0</v>
          </cell>
          <cell r="I61">
            <v>5599200</v>
          </cell>
          <cell r="J61">
            <v>25</v>
          </cell>
        </row>
        <row r="62">
          <cell r="C62">
            <v>52122</v>
          </cell>
          <cell r="E62">
            <v>0</v>
          </cell>
          <cell r="F62">
            <v>7059372.3537269533</v>
          </cell>
          <cell r="G62">
            <v>518595</v>
          </cell>
          <cell r="H62">
            <v>24700</v>
          </cell>
          <cell r="I62">
            <v>6516100</v>
          </cell>
          <cell r="J62">
            <v>23.5</v>
          </cell>
        </row>
        <row r="63">
          <cell r="C63">
            <v>84284</v>
          </cell>
          <cell r="D63"/>
          <cell r="E63"/>
          <cell r="F63">
            <v>17910000</v>
          </cell>
          <cell r="G63">
            <v>1013250</v>
          </cell>
          <cell r="H63">
            <v>48300</v>
          </cell>
          <cell r="I63">
            <v>16848500</v>
          </cell>
          <cell r="J63">
            <v>27</v>
          </cell>
        </row>
        <row r="64">
          <cell r="C64">
            <v>52226</v>
          </cell>
          <cell r="D64">
            <v>46846.985821681243</v>
          </cell>
          <cell r="E64">
            <v>0</v>
          </cell>
          <cell r="F64">
            <v>5300747.7711748388</v>
          </cell>
          <cell r="H64">
            <v>0</v>
          </cell>
          <cell r="I64">
            <v>5300700</v>
          </cell>
          <cell r="J64">
            <v>23</v>
          </cell>
        </row>
        <row r="65">
          <cell r="C65">
            <v>50038</v>
          </cell>
          <cell r="F65">
            <v>8505764.0327782165</v>
          </cell>
          <cell r="G65">
            <v>518595</v>
          </cell>
          <cell r="H65">
            <v>24700</v>
          </cell>
          <cell r="I65">
            <v>7962500</v>
          </cell>
          <cell r="J65">
            <v>25.5</v>
          </cell>
        </row>
        <row r="66">
          <cell r="C66">
            <v>52204</v>
          </cell>
          <cell r="D66">
            <v>214514.28085512828</v>
          </cell>
          <cell r="E66">
            <v>0</v>
          </cell>
          <cell r="F66">
            <v>6323973.9843576914</v>
          </cell>
          <cell r="H66">
            <v>0</v>
          </cell>
          <cell r="I66">
            <v>6324000</v>
          </cell>
          <cell r="J66">
            <v>27</v>
          </cell>
        </row>
        <row r="67">
          <cell r="C67">
            <v>52102</v>
          </cell>
          <cell r="D67">
            <v>137912.02772089269</v>
          </cell>
          <cell r="E67">
            <v>0</v>
          </cell>
          <cell r="F67">
            <v>6551042.8671578346</v>
          </cell>
          <cell r="G67">
            <v>518595</v>
          </cell>
          <cell r="H67">
            <v>24700</v>
          </cell>
          <cell r="I67">
            <v>6007700</v>
          </cell>
          <cell r="J67">
            <v>24</v>
          </cell>
        </row>
        <row r="68">
          <cell r="C68">
            <v>52224</v>
          </cell>
          <cell r="D68"/>
          <cell r="E68">
            <v>0</v>
          </cell>
          <cell r="F68">
            <v>6302934.6162694655</v>
          </cell>
          <cell r="H68">
            <v>0</v>
          </cell>
          <cell r="I68">
            <v>6302900</v>
          </cell>
          <cell r="J68">
            <v>25</v>
          </cell>
        </row>
        <row r="69">
          <cell r="C69">
            <v>10355</v>
          </cell>
          <cell r="D69">
            <v>236647.32132458856</v>
          </cell>
          <cell r="E69">
            <v>0</v>
          </cell>
          <cell r="F69">
            <v>7033036.4014108488</v>
          </cell>
          <cell r="H69">
            <v>0</v>
          </cell>
          <cell r="I69">
            <v>7033000</v>
          </cell>
          <cell r="J69">
            <v>27</v>
          </cell>
        </row>
        <row r="70">
          <cell r="C70">
            <v>52206</v>
          </cell>
          <cell r="D70"/>
          <cell r="E70">
            <v>0</v>
          </cell>
          <cell r="F70">
            <v>6845147.9596376074</v>
          </cell>
          <cell r="H70">
            <v>0</v>
          </cell>
          <cell r="I70">
            <v>6845100</v>
          </cell>
          <cell r="J70">
            <v>27</v>
          </cell>
        </row>
        <row r="71">
          <cell r="C71">
            <v>52205</v>
          </cell>
          <cell r="D71">
            <v>0</v>
          </cell>
          <cell r="E71">
            <v>0</v>
          </cell>
          <cell r="F71">
            <v>9762516.0061634332</v>
          </cell>
          <cell r="G71">
            <v>518595</v>
          </cell>
          <cell r="H71">
            <v>24700</v>
          </cell>
          <cell r="I71">
            <v>9219200</v>
          </cell>
          <cell r="J71">
            <v>27.5</v>
          </cell>
        </row>
        <row r="72">
          <cell r="C72">
            <v>51978</v>
          </cell>
          <cell r="D72">
            <v>202971.56148093395</v>
          </cell>
          <cell r="E72">
            <v>0</v>
          </cell>
          <cell r="F72">
            <v>5974092.4469674546</v>
          </cell>
          <cell r="G72">
            <v>518595</v>
          </cell>
          <cell r="H72">
            <v>24700</v>
          </cell>
          <cell r="I72">
            <v>5430800</v>
          </cell>
          <cell r="J72">
            <v>21</v>
          </cell>
        </row>
        <row r="73">
          <cell r="C73">
            <v>51264</v>
          </cell>
          <cell r="D73">
            <v>105720.69009401707</v>
          </cell>
          <cell r="E73">
            <v>0</v>
          </cell>
          <cell r="F73">
            <v>6813275.607780627</v>
          </cell>
          <cell r="G73">
            <v>518595</v>
          </cell>
          <cell r="H73">
            <v>24700</v>
          </cell>
          <cell r="I73">
            <v>6270000</v>
          </cell>
          <cell r="J73">
            <v>22.833333333333332</v>
          </cell>
        </row>
        <row r="74">
          <cell r="C74">
            <v>51589</v>
          </cell>
          <cell r="D74">
            <v>214947.50250953672</v>
          </cell>
          <cell r="E74">
            <v>-340000</v>
          </cell>
          <cell r="F74">
            <v>1970130.5026209624</v>
          </cell>
          <cell r="G74">
            <v>0</v>
          </cell>
          <cell r="H74">
            <v>24700</v>
          </cell>
          <cell r="I74">
            <v>1945400</v>
          </cell>
          <cell r="J74">
            <v>10</v>
          </cell>
        </row>
        <row r="75">
          <cell r="C75">
            <v>51968</v>
          </cell>
          <cell r="D75">
            <v>114959.48840823723</v>
          </cell>
          <cell r="E75">
            <v>0</v>
          </cell>
          <cell r="F75">
            <v>7811919.2274391055</v>
          </cell>
          <cell r="G75">
            <v>518595</v>
          </cell>
          <cell r="H75">
            <v>24700</v>
          </cell>
          <cell r="I75">
            <v>7268600</v>
          </cell>
          <cell r="J75">
            <v>25.697916666666668</v>
          </cell>
        </row>
        <row r="76">
          <cell r="C76">
            <v>52082</v>
          </cell>
          <cell r="D76">
            <v>247690.2825909399</v>
          </cell>
          <cell r="E76">
            <v>0</v>
          </cell>
          <cell r="F76">
            <v>6343555.8824622231</v>
          </cell>
          <cell r="G76">
            <v>518595</v>
          </cell>
          <cell r="H76">
            <v>24700</v>
          </cell>
          <cell r="I76">
            <v>5800300</v>
          </cell>
          <cell r="J76">
            <v>26</v>
          </cell>
        </row>
        <row r="77">
          <cell r="C77">
            <v>50203</v>
          </cell>
          <cell r="F77">
            <v>7918750</v>
          </cell>
          <cell r="H77">
            <v>24000</v>
          </cell>
          <cell r="I77">
            <v>7894800</v>
          </cell>
          <cell r="J77">
            <v>27</v>
          </cell>
        </row>
        <row r="78">
          <cell r="C78">
            <v>50205</v>
          </cell>
          <cell r="F78">
            <v>7364750</v>
          </cell>
          <cell r="H78">
            <v>24000</v>
          </cell>
          <cell r="I78">
            <v>7340800</v>
          </cell>
          <cell r="J78">
            <v>28</v>
          </cell>
        </row>
        <row r="79">
          <cell r="C79">
            <v>50309</v>
          </cell>
          <cell r="F79">
            <v>6864150</v>
          </cell>
          <cell r="G79">
            <v>495495</v>
          </cell>
          <cell r="H79">
            <v>24000</v>
          </cell>
          <cell r="I79">
            <v>6344700</v>
          </cell>
          <cell r="J79">
            <v>27</v>
          </cell>
        </row>
        <row r="80">
          <cell r="C80">
            <v>50375</v>
          </cell>
          <cell r="D80"/>
          <cell r="E80"/>
          <cell r="F80">
            <v>7364750</v>
          </cell>
          <cell r="G80">
            <v>495495</v>
          </cell>
          <cell r="H80">
            <v>24000</v>
          </cell>
          <cell r="I80">
            <v>6845300</v>
          </cell>
          <cell r="J80">
            <v>28</v>
          </cell>
        </row>
        <row r="81">
          <cell r="C81">
            <v>50468</v>
          </cell>
          <cell r="D81"/>
          <cell r="E81"/>
          <cell r="F81">
            <v>7434350</v>
          </cell>
          <cell r="G81">
            <v>495495</v>
          </cell>
          <cell r="H81">
            <v>24000</v>
          </cell>
          <cell r="I81">
            <v>6914900</v>
          </cell>
          <cell r="J81">
            <v>28</v>
          </cell>
        </row>
        <row r="82">
          <cell r="C82">
            <v>50736</v>
          </cell>
          <cell r="F82">
            <v>7205150</v>
          </cell>
          <cell r="G82">
            <v>495495</v>
          </cell>
          <cell r="H82">
            <v>24000</v>
          </cell>
          <cell r="I82">
            <v>6685700</v>
          </cell>
          <cell r="J82">
            <v>28</v>
          </cell>
        </row>
        <row r="83">
          <cell r="C83">
            <v>51641</v>
          </cell>
          <cell r="F83">
            <v>7258162.5</v>
          </cell>
          <cell r="G83">
            <v>495495</v>
          </cell>
          <cell r="H83">
            <v>24000</v>
          </cell>
          <cell r="I83">
            <v>6738700</v>
          </cell>
          <cell r="J83">
            <v>28</v>
          </cell>
        </row>
        <row r="84">
          <cell r="C84">
            <v>50417</v>
          </cell>
          <cell r="D84"/>
          <cell r="E84"/>
          <cell r="F84">
            <v>7916890.625</v>
          </cell>
          <cell r="G84">
            <v>495495</v>
          </cell>
          <cell r="H84">
            <v>24000</v>
          </cell>
          <cell r="I84">
            <v>7397400</v>
          </cell>
          <cell r="J84">
            <v>27</v>
          </cell>
        </row>
        <row r="85">
          <cell r="C85">
            <v>50659</v>
          </cell>
          <cell r="F85">
            <v>7206604.166666666</v>
          </cell>
          <cell r="G85">
            <v>495495</v>
          </cell>
          <cell r="H85">
            <v>24000</v>
          </cell>
          <cell r="I85">
            <v>6687100</v>
          </cell>
          <cell r="J85">
            <v>27</v>
          </cell>
        </row>
        <row r="86">
          <cell r="C86">
            <v>50902</v>
          </cell>
          <cell r="F86">
            <v>6837177.083333333</v>
          </cell>
          <cell r="G86">
            <v>495495</v>
          </cell>
          <cell r="H86">
            <v>24000</v>
          </cell>
          <cell r="I86">
            <v>6317700</v>
          </cell>
          <cell r="J86">
            <v>27</v>
          </cell>
        </row>
        <row r="87">
          <cell r="C87">
            <v>50903</v>
          </cell>
          <cell r="F87">
            <v>6702276.041666667</v>
          </cell>
          <cell r="G87">
            <v>495495</v>
          </cell>
          <cell r="H87">
            <v>24000</v>
          </cell>
          <cell r="I87">
            <v>6182800</v>
          </cell>
          <cell r="J87">
            <v>26</v>
          </cell>
        </row>
        <row r="88">
          <cell r="C88">
            <v>51896</v>
          </cell>
          <cell r="D88"/>
          <cell r="E88"/>
          <cell r="F88">
            <v>6387119.791666667</v>
          </cell>
          <cell r="G88">
            <v>495495</v>
          </cell>
          <cell r="H88">
            <v>24000</v>
          </cell>
          <cell r="I88">
            <v>5867600</v>
          </cell>
          <cell r="J88">
            <v>26</v>
          </cell>
        </row>
        <row r="89">
          <cell r="C89">
            <v>51644</v>
          </cell>
          <cell r="D89"/>
          <cell r="E89"/>
          <cell r="F89">
            <v>7166990.384615384</v>
          </cell>
          <cell r="G89">
            <v>518595</v>
          </cell>
          <cell r="H89">
            <v>24700</v>
          </cell>
          <cell r="I89">
            <v>6623700</v>
          </cell>
          <cell r="J89">
            <v>26.760416666666668</v>
          </cell>
        </row>
        <row r="90">
          <cell r="C90">
            <v>51702</v>
          </cell>
          <cell r="D90"/>
          <cell r="E90"/>
          <cell r="F90">
            <v>6640594.9519230751</v>
          </cell>
          <cell r="G90">
            <v>518595</v>
          </cell>
          <cell r="H90">
            <v>24700</v>
          </cell>
          <cell r="I90">
            <v>6097300</v>
          </cell>
          <cell r="J90">
            <v>24</v>
          </cell>
        </row>
        <row r="91">
          <cell r="C91">
            <v>52104</v>
          </cell>
          <cell r="F91">
            <v>6682774.0384615371</v>
          </cell>
          <cell r="G91">
            <v>518595</v>
          </cell>
          <cell r="H91">
            <v>24700</v>
          </cell>
          <cell r="I91">
            <v>6139500</v>
          </cell>
          <cell r="J91">
            <v>26.15625</v>
          </cell>
        </row>
        <row r="92">
          <cell r="C92">
            <v>50033</v>
          </cell>
          <cell r="D92">
            <v>0</v>
          </cell>
          <cell r="E92">
            <v>0</v>
          </cell>
          <cell r="F92">
            <v>9172558.8588950559</v>
          </cell>
          <cell r="G92">
            <v>518595</v>
          </cell>
          <cell r="H92">
            <v>24700</v>
          </cell>
          <cell r="I92">
            <v>8629300</v>
          </cell>
          <cell r="J92">
            <v>26</v>
          </cell>
        </row>
        <row r="93">
          <cell r="C93">
            <v>50039</v>
          </cell>
          <cell r="D93">
            <v>0</v>
          </cell>
          <cell r="E93">
            <v>0</v>
          </cell>
          <cell r="F93">
            <v>7032336.1564183813</v>
          </cell>
          <cell r="G93">
            <v>518595</v>
          </cell>
          <cell r="H93">
            <v>24700</v>
          </cell>
          <cell r="I93">
            <v>6489000</v>
          </cell>
          <cell r="J93">
            <v>21.5</v>
          </cell>
        </row>
        <row r="94">
          <cell r="C94">
            <v>50130</v>
          </cell>
          <cell r="D94">
            <v>0</v>
          </cell>
          <cell r="E94">
            <v>0</v>
          </cell>
          <cell r="F94">
            <v>7779563.2701951014</v>
          </cell>
          <cell r="G94">
            <v>518595</v>
          </cell>
          <cell r="H94">
            <v>24700</v>
          </cell>
          <cell r="I94">
            <v>7236300</v>
          </cell>
          <cell r="J94">
            <v>20.25</v>
          </cell>
        </row>
        <row r="95">
          <cell r="C95">
            <v>50185</v>
          </cell>
          <cell r="D95">
            <v>0</v>
          </cell>
          <cell r="E95">
            <v>0</v>
          </cell>
          <cell r="F95">
            <v>8112157.2688413346</v>
          </cell>
          <cell r="G95">
            <v>518595</v>
          </cell>
          <cell r="H95">
            <v>24700</v>
          </cell>
          <cell r="I95">
            <v>7568900</v>
          </cell>
          <cell r="J95">
            <v>26.912500000000001</v>
          </cell>
        </row>
        <row r="96">
          <cell r="C96">
            <v>50191</v>
          </cell>
          <cell r="D96">
            <v>0</v>
          </cell>
          <cell r="E96">
            <v>0</v>
          </cell>
          <cell r="F96">
            <v>8060171.727213853</v>
          </cell>
          <cell r="G96">
            <v>518595</v>
          </cell>
          <cell r="H96">
            <v>24700</v>
          </cell>
          <cell r="I96">
            <v>7516900</v>
          </cell>
          <cell r="J96">
            <v>27</v>
          </cell>
        </row>
        <row r="97">
          <cell r="C97">
            <v>50319</v>
          </cell>
          <cell r="D97">
            <v>0</v>
          </cell>
          <cell r="E97">
            <v>0</v>
          </cell>
          <cell r="F97">
            <v>7941449.5037801284</v>
          </cell>
          <cell r="G97">
            <v>518595</v>
          </cell>
          <cell r="H97">
            <v>24700</v>
          </cell>
          <cell r="I97">
            <v>7398200</v>
          </cell>
          <cell r="J97">
            <v>25.84375</v>
          </cell>
        </row>
        <row r="98">
          <cell r="C98">
            <v>50338</v>
          </cell>
          <cell r="D98">
            <v>0</v>
          </cell>
          <cell r="E98">
            <v>0</v>
          </cell>
          <cell r="F98">
            <v>8154753.8666168181</v>
          </cell>
          <cell r="G98">
            <v>518595</v>
          </cell>
          <cell r="H98">
            <v>24700</v>
          </cell>
          <cell r="I98">
            <v>7611500</v>
          </cell>
          <cell r="J98">
            <v>26.8125</v>
          </cell>
        </row>
        <row r="99">
          <cell r="C99">
            <v>50389</v>
          </cell>
          <cell r="D99">
            <v>0</v>
          </cell>
          <cell r="E99">
            <v>0</v>
          </cell>
          <cell r="F99">
            <v>9025628.9519214779</v>
          </cell>
          <cell r="G99">
            <v>518595</v>
          </cell>
          <cell r="H99">
            <v>24700</v>
          </cell>
          <cell r="I99">
            <v>8482300</v>
          </cell>
          <cell r="J99">
            <v>26.5</v>
          </cell>
        </row>
        <row r="100">
          <cell r="C100">
            <v>50423</v>
          </cell>
          <cell r="D100">
            <v>0</v>
          </cell>
          <cell r="E100">
            <v>0</v>
          </cell>
          <cell r="F100">
            <v>7633571.2026964882</v>
          </cell>
          <cell r="G100">
            <v>518595</v>
          </cell>
          <cell r="H100">
            <v>24700</v>
          </cell>
          <cell r="I100">
            <v>7090300</v>
          </cell>
          <cell r="J100">
            <v>24.697916666666668</v>
          </cell>
        </row>
        <row r="101">
          <cell r="C101">
            <v>50518</v>
          </cell>
          <cell r="D101">
            <v>0</v>
          </cell>
          <cell r="E101">
            <v>0</v>
          </cell>
          <cell r="F101">
            <v>8556558.6778462362</v>
          </cell>
          <cell r="G101">
            <v>518595</v>
          </cell>
          <cell r="H101">
            <v>24700</v>
          </cell>
          <cell r="I101">
            <v>8013300</v>
          </cell>
          <cell r="J101">
            <v>27</v>
          </cell>
        </row>
        <row r="102">
          <cell r="C102">
            <v>50793</v>
          </cell>
          <cell r="D102">
            <v>0</v>
          </cell>
          <cell r="E102">
            <v>0</v>
          </cell>
          <cell r="F102">
            <v>9352553.8183393702</v>
          </cell>
          <cell r="G102">
            <v>518595</v>
          </cell>
          <cell r="H102">
            <v>24700</v>
          </cell>
          <cell r="I102">
            <v>8809300</v>
          </cell>
          <cell r="J102">
            <v>27</v>
          </cell>
        </row>
        <row r="103">
          <cell r="C103">
            <v>50840</v>
          </cell>
          <cell r="D103">
            <v>0</v>
          </cell>
          <cell r="E103">
            <v>0</v>
          </cell>
          <cell r="F103">
            <v>7811758.659284221</v>
          </cell>
          <cell r="G103">
            <v>518595</v>
          </cell>
          <cell r="H103">
            <v>24700</v>
          </cell>
          <cell r="I103">
            <v>7268500</v>
          </cell>
          <cell r="J103">
            <v>26.489583333333332</v>
          </cell>
        </row>
        <row r="104">
          <cell r="C104">
            <v>50884</v>
          </cell>
          <cell r="D104">
            <v>0</v>
          </cell>
          <cell r="E104">
            <v>0</v>
          </cell>
          <cell r="F104">
            <v>8098227.7932409775</v>
          </cell>
          <cell r="G104">
            <v>518595</v>
          </cell>
          <cell r="H104">
            <v>24700</v>
          </cell>
          <cell r="I104">
            <v>7554900</v>
          </cell>
          <cell r="J104">
            <v>27</v>
          </cell>
        </row>
        <row r="105">
          <cell r="C105">
            <v>51377</v>
          </cell>
          <cell r="D105">
            <v>0</v>
          </cell>
          <cell r="E105">
            <v>0</v>
          </cell>
          <cell r="F105">
            <v>7936807.2619358562</v>
          </cell>
          <cell r="G105">
            <v>518595</v>
          </cell>
          <cell r="H105">
            <v>24700</v>
          </cell>
          <cell r="I105">
            <v>7393500</v>
          </cell>
          <cell r="J105">
            <v>27</v>
          </cell>
        </row>
        <row r="106">
          <cell r="C106">
            <v>51771</v>
          </cell>
          <cell r="D106">
            <v>0</v>
          </cell>
          <cell r="E106">
            <v>0</v>
          </cell>
          <cell r="F106">
            <v>9727211.7412139662</v>
          </cell>
          <cell r="G106">
            <v>518595</v>
          </cell>
          <cell r="H106">
            <v>24700</v>
          </cell>
          <cell r="I106">
            <v>9183900</v>
          </cell>
          <cell r="J106">
            <v>26.5</v>
          </cell>
        </row>
        <row r="107">
          <cell r="C107">
            <v>51795</v>
          </cell>
          <cell r="D107">
            <v>0</v>
          </cell>
          <cell r="E107">
            <v>0</v>
          </cell>
          <cell r="F107">
            <v>8050008.5967031131</v>
          </cell>
          <cell r="G107">
            <v>518595</v>
          </cell>
          <cell r="H107">
            <v>24700</v>
          </cell>
          <cell r="I107">
            <v>7506700</v>
          </cell>
          <cell r="J107">
            <v>27</v>
          </cell>
        </row>
        <row r="108">
          <cell r="C108">
            <v>51847</v>
          </cell>
          <cell r="D108">
            <v>0</v>
          </cell>
          <cell r="E108">
            <v>0</v>
          </cell>
          <cell r="F108">
            <v>8580946.2414404806</v>
          </cell>
          <cell r="G108">
            <v>518595</v>
          </cell>
          <cell r="H108">
            <v>24700</v>
          </cell>
          <cell r="I108">
            <v>8037700</v>
          </cell>
          <cell r="J108">
            <v>26.5</v>
          </cell>
        </row>
        <row r="109">
          <cell r="C109">
            <v>51871</v>
          </cell>
          <cell r="D109">
            <v>0</v>
          </cell>
          <cell r="E109">
            <v>0</v>
          </cell>
          <cell r="F109">
            <v>7929009.3422564333</v>
          </cell>
          <cell r="G109">
            <v>518595</v>
          </cell>
          <cell r="H109">
            <v>24700</v>
          </cell>
          <cell r="I109">
            <v>7385700</v>
          </cell>
          <cell r="J109">
            <v>27</v>
          </cell>
        </row>
        <row r="110">
          <cell r="C110">
            <v>51954</v>
          </cell>
          <cell r="D110">
            <v>0</v>
          </cell>
          <cell r="E110">
            <v>0</v>
          </cell>
          <cell r="F110">
            <v>7959616.1722362796</v>
          </cell>
          <cell r="G110">
            <v>518595</v>
          </cell>
          <cell r="H110">
            <v>24700</v>
          </cell>
          <cell r="I110">
            <v>7416300</v>
          </cell>
          <cell r="J110">
            <v>26.527083333333334</v>
          </cell>
        </row>
        <row r="111">
          <cell r="C111">
            <v>51995</v>
          </cell>
          <cell r="D111">
            <v>0</v>
          </cell>
          <cell r="E111">
            <v>0</v>
          </cell>
          <cell r="F111">
            <v>7872677.1275179107</v>
          </cell>
          <cell r="G111">
            <v>518595</v>
          </cell>
          <cell r="H111">
            <v>24700</v>
          </cell>
          <cell r="I111">
            <v>7329400</v>
          </cell>
          <cell r="J111">
            <v>27</v>
          </cell>
        </row>
        <row r="112">
          <cell r="C112">
            <v>52060</v>
          </cell>
          <cell r="D112">
            <v>251151.81468985527</v>
          </cell>
          <cell r="E112">
            <v>0</v>
          </cell>
          <cell r="F112">
            <v>6548932.4239859898</v>
          </cell>
          <cell r="G112">
            <v>518595</v>
          </cell>
          <cell r="H112">
            <v>24700</v>
          </cell>
          <cell r="I112">
            <v>6005600</v>
          </cell>
          <cell r="J112">
            <v>25.8125</v>
          </cell>
        </row>
        <row r="113">
          <cell r="C113">
            <v>52126</v>
          </cell>
          <cell r="D113">
            <v>0</v>
          </cell>
          <cell r="E113">
            <v>0</v>
          </cell>
          <cell r="F113">
            <v>11051479.616908144</v>
          </cell>
          <cell r="G113">
            <v>518595</v>
          </cell>
          <cell r="H113">
            <v>24700</v>
          </cell>
          <cell r="I113">
            <v>10508200</v>
          </cell>
          <cell r="J113">
            <v>26.572916666666668</v>
          </cell>
        </row>
        <row r="114">
          <cell r="C114">
            <v>52184</v>
          </cell>
          <cell r="D114">
            <v>283551.64059942297</v>
          </cell>
          <cell r="E114">
            <v>0</v>
          </cell>
          <cell r="F114">
            <v>5953262.7051604204</v>
          </cell>
          <cell r="G114">
            <v>518595</v>
          </cell>
          <cell r="H114">
            <v>24700</v>
          </cell>
          <cell r="I114">
            <v>5410000</v>
          </cell>
          <cell r="J114">
            <v>24.947916666666668</v>
          </cell>
        </row>
        <row r="115">
          <cell r="C115">
            <v>52190</v>
          </cell>
          <cell r="D115">
            <v>101710.29257106478</v>
          </cell>
          <cell r="E115">
            <v>0</v>
          </cell>
          <cell r="F115">
            <v>5996549.8947227029</v>
          </cell>
          <cell r="G115">
            <v>518595</v>
          </cell>
          <cell r="H115">
            <v>24700</v>
          </cell>
          <cell r="I115">
            <v>5453300</v>
          </cell>
          <cell r="J115">
            <v>24</v>
          </cell>
        </row>
        <row r="116">
          <cell r="C116">
            <v>10342</v>
          </cell>
          <cell r="D116">
            <v>0</v>
          </cell>
          <cell r="E116">
            <v>0</v>
          </cell>
          <cell r="F116">
            <v>5756164.3417897476</v>
          </cell>
          <cell r="G116"/>
          <cell r="H116">
            <v>0</v>
          </cell>
          <cell r="I116">
            <v>5756200</v>
          </cell>
          <cell r="J116">
            <v>24.5</v>
          </cell>
        </row>
        <row r="117">
          <cell r="C117">
            <v>50386</v>
          </cell>
          <cell r="D117">
            <v>158941.99353972831</v>
          </cell>
          <cell r="E117">
            <v>0</v>
          </cell>
          <cell r="F117">
            <v>3699143.1374446633</v>
          </cell>
          <cell r="G117">
            <v>518595</v>
          </cell>
          <cell r="H117">
            <v>24700</v>
          </cell>
          <cell r="I117">
            <v>3155800</v>
          </cell>
          <cell r="J117">
            <v>14</v>
          </cell>
        </row>
        <row r="118">
          <cell r="C118">
            <v>50001</v>
          </cell>
          <cell r="F118">
            <v>14069964.042735042</v>
          </cell>
          <cell r="G118">
            <v>657510</v>
          </cell>
          <cell r="H118">
            <v>31000</v>
          </cell>
          <cell r="I118">
            <v>13381500</v>
          </cell>
          <cell r="J118">
            <v>26</v>
          </cell>
        </row>
        <row r="119">
          <cell r="C119">
            <v>80137</v>
          </cell>
          <cell r="D119"/>
          <cell r="E119"/>
          <cell r="F119">
            <v>14164311.965811964</v>
          </cell>
          <cell r="G119">
            <v>588105</v>
          </cell>
          <cell r="H119">
            <v>28000</v>
          </cell>
          <cell r="I119">
            <v>13548200</v>
          </cell>
          <cell r="J119">
            <v>26</v>
          </cell>
        </row>
        <row r="120">
          <cell r="C120">
            <v>50254</v>
          </cell>
          <cell r="F120">
            <v>13107222.222222222</v>
          </cell>
          <cell r="G120">
            <v>541800</v>
          </cell>
          <cell r="H120">
            <v>26000</v>
          </cell>
          <cell r="I120">
            <v>12539400</v>
          </cell>
          <cell r="J120">
            <v>26.75</v>
          </cell>
        </row>
        <row r="121">
          <cell r="C121">
            <v>50286</v>
          </cell>
          <cell r="F121">
            <v>11360000</v>
          </cell>
          <cell r="G121">
            <v>541800</v>
          </cell>
          <cell r="H121">
            <v>26000</v>
          </cell>
          <cell r="I121">
            <v>10792200</v>
          </cell>
          <cell r="J121">
            <v>27</v>
          </cell>
        </row>
        <row r="122">
          <cell r="C122">
            <v>50587</v>
          </cell>
          <cell r="F122">
            <v>12380000</v>
          </cell>
          <cell r="G122">
            <v>541800</v>
          </cell>
          <cell r="H122">
            <v>26000</v>
          </cell>
          <cell r="I122">
            <v>11812200</v>
          </cell>
          <cell r="J122">
            <v>27</v>
          </cell>
        </row>
        <row r="123">
          <cell r="C123">
            <v>82238</v>
          </cell>
          <cell r="D123"/>
          <cell r="E123"/>
          <cell r="F123">
            <v>12643846.153846154</v>
          </cell>
          <cell r="G123">
            <v>564900</v>
          </cell>
          <cell r="H123">
            <v>27000</v>
          </cell>
          <cell r="I123">
            <v>12051900</v>
          </cell>
          <cell r="J123">
            <v>25</v>
          </cell>
        </row>
        <row r="124">
          <cell r="C124">
            <v>80665</v>
          </cell>
          <cell r="F124">
            <v>12653675.213675214</v>
          </cell>
          <cell r="G124">
            <v>541800</v>
          </cell>
          <cell r="H124">
            <v>26000</v>
          </cell>
          <cell r="I124">
            <v>12085900</v>
          </cell>
          <cell r="J124">
            <v>26.5</v>
          </cell>
        </row>
        <row r="125">
          <cell r="C125">
            <v>82450</v>
          </cell>
          <cell r="D125"/>
          <cell r="E125"/>
          <cell r="F125">
            <v>11800000</v>
          </cell>
          <cell r="G125">
            <v>541800</v>
          </cell>
          <cell r="H125">
            <v>26000</v>
          </cell>
          <cell r="I125">
            <v>11232200</v>
          </cell>
          <cell r="J125">
            <v>27</v>
          </cell>
        </row>
        <row r="126">
          <cell r="C126">
            <v>80089</v>
          </cell>
          <cell r="F126">
            <v>12210000</v>
          </cell>
          <cell r="G126">
            <v>541800</v>
          </cell>
          <cell r="H126">
            <v>26000</v>
          </cell>
          <cell r="I126">
            <v>11642200</v>
          </cell>
          <cell r="J126">
            <v>27</v>
          </cell>
        </row>
        <row r="127">
          <cell r="C127">
            <v>51868</v>
          </cell>
          <cell r="D127"/>
          <cell r="E127"/>
          <cell r="F127">
            <v>12470000</v>
          </cell>
          <cell r="G127">
            <v>541800</v>
          </cell>
          <cell r="H127">
            <v>26000</v>
          </cell>
          <cell r="I127">
            <v>11902200</v>
          </cell>
          <cell r="J127">
            <v>27</v>
          </cell>
        </row>
        <row r="128">
          <cell r="C128">
            <v>50524</v>
          </cell>
          <cell r="D128"/>
          <cell r="E128"/>
          <cell r="F128">
            <v>6721656.25</v>
          </cell>
          <cell r="G128">
            <v>495495</v>
          </cell>
          <cell r="H128">
            <v>24000</v>
          </cell>
          <cell r="I128">
            <v>6202200</v>
          </cell>
          <cell r="J128">
            <v>27</v>
          </cell>
        </row>
        <row r="129">
          <cell r="C129">
            <v>51479</v>
          </cell>
          <cell r="F129">
            <v>6376833.333333333</v>
          </cell>
          <cell r="G129">
            <v>495495</v>
          </cell>
          <cell r="H129">
            <v>24000</v>
          </cell>
          <cell r="I129">
            <v>5857300</v>
          </cell>
          <cell r="J129">
            <v>26.5</v>
          </cell>
        </row>
        <row r="130">
          <cell r="C130">
            <v>51495</v>
          </cell>
          <cell r="D130"/>
          <cell r="E130"/>
          <cell r="F130">
            <v>6448552.083333333</v>
          </cell>
          <cell r="G130">
            <v>495495</v>
          </cell>
          <cell r="H130">
            <v>24000</v>
          </cell>
          <cell r="I130">
            <v>5929100</v>
          </cell>
          <cell r="J130">
            <v>27</v>
          </cell>
        </row>
        <row r="131">
          <cell r="C131">
            <v>50041</v>
          </cell>
          <cell r="D131"/>
          <cell r="E131"/>
          <cell r="F131">
            <v>8002280.2274800641</v>
          </cell>
          <cell r="G131">
            <v>518595</v>
          </cell>
          <cell r="H131">
            <v>24700</v>
          </cell>
          <cell r="I131">
            <v>7459000</v>
          </cell>
          <cell r="J131">
            <v>24</v>
          </cell>
        </row>
        <row r="132">
          <cell r="C132">
            <v>50842</v>
          </cell>
          <cell r="D132"/>
          <cell r="E132"/>
          <cell r="F132">
            <v>9016576.3099699356</v>
          </cell>
          <cell r="G132">
            <v>518595</v>
          </cell>
          <cell r="H132">
            <v>24700</v>
          </cell>
          <cell r="I132">
            <v>8473300</v>
          </cell>
          <cell r="J132">
            <v>26.760416666666668</v>
          </cell>
        </row>
        <row r="133">
          <cell r="C133">
            <v>50868</v>
          </cell>
          <cell r="D133"/>
          <cell r="E133"/>
          <cell r="F133">
            <v>9529297.9884359613</v>
          </cell>
          <cell r="G133">
            <v>518595</v>
          </cell>
          <cell r="H133">
            <v>24700</v>
          </cell>
          <cell r="I133">
            <v>8986000</v>
          </cell>
          <cell r="J133">
            <v>27.5</v>
          </cell>
        </row>
        <row r="134">
          <cell r="C134">
            <v>51274</v>
          </cell>
          <cell r="D134"/>
          <cell r="E134"/>
          <cell r="F134">
            <v>6250813.7330840454</v>
          </cell>
          <cell r="G134">
            <v>518595</v>
          </cell>
          <cell r="H134">
            <v>24700</v>
          </cell>
          <cell r="I134">
            <v>5707500</v>
          </cell>
          <cell r="J134">
            <v>21.770833333333332</v>
          </cell>
        </row>
        <row r="135">
          <cell r="C135">
            <v>51491</v>
          </cell>
          <cell r="D135"/>
          <cell r="E135"/>
          <cell r="F135">
            <v>8763213.4521266632</v>
          </cell>
          <cell r="G135">
            <v>518595</v>
          </cell>
          <cell r="H135">
            <v>24700</v>
          </cell>
          <cell r="I135">
            <v>8219900</v>
          </cell>
          <cell r="J135">
            <v>26</v>
          </cell>
        </row>
        <row r="136">
          <cell r="C136">
            <v>51759</v>
          </cell>
          <cell r="D136"/>
          <cell r="E136"/>
          <cell r="F136">
            <v>10033857.658580458</v>
          </cell>
          <cell r="G136">
            <v>518595</v>
          </cell>
          <cell r="H136">
            <v>24700</v>
          </cell>
          <cell r="I136">
            <v>9490600</v>
          </cell>
          <cell r="J136">
            <v>27</v>
          </cell>
        </row>
        <row r="137">
          <cell r="C137">
            <v>51760</v>
          </cell>
          <cell r="D137"/>
          <cell r="E137"/>
          <cell r="F137">
            <v>8244600.991759941</v>
          </cell>
          <cell r="G137">
            <v>518595</v>
          </cell>
          <cell r="H137">
            <v>24700</v>
          </cell>
          <cell r="I137">
            <v>7701300</v>
          </cell>
          <cell r="J137">
            <v>24.854166666666668</v>
          </cell>
        </row>
        <row r="138">
          <cell r="C138">
            <v>50813</v>
          </cell>
          <cell r="D138"/>
          <cell r="E138"/>
          <cell r="F138">
            <v>7850923.076923077</v>
          </cell>
          <cell r="G138">
            <v>495495</v>
          </cell>
          <cell r="H138">
            <v>24000</v>
          </cell>
          <cell r="I138">
            <v>7331400</v>
          </cell>
          <cell r="J138">
            <v>27</v>
          </cell>
        </row>
        <row r="139">
          <cell r="C139">
            <v>50023</v>
          </cell>
          <cell r="D139">
            <v>0</v>
          </cell>
          <cell r="E139">
            <v>0</v>
          </cell>
          <cell r="F139">
            <v>10533115.292464945</v>
          </cell>
          <cell r="G139">
            <v>518595</v>
          </cell>
          <cell r="H139">
            <v>25000</v>
          </cell>
          <cell r="I139">
            <v>9989500</v>
          </cell>
          <cell r="J139">
            <v>27.5</v>
          </cell>
        </row>
        <row r="140">
          <cell r="C140">
            <v>50268</v>
          </cell>
          <cell r="D140">
            <v>0</v>
          </cell>
          <cell r="E140">
            <v>0</v>
          </cell>
          <cell r="F140">
            <v>8392194.1426212415</v>
          </cell>
          <cell r="G140">
            <v>518595</v>
          </cell>
          <cell r="H140">
            <v>24700</v>
          </cell>
          <cell r="I140">
            <v>7848900</v>
          </cell>
          <cell r="J140">
            <v>23</v>
          </cell>
        </row>
        <row r="141">
          <cell r="C141">
            <v>50741</v>
          </cell>
          <cell r="D141">
            <v>0</v>
          </cell>
          <cell r="E141">
            <v>-646000</v>
          </cell>
          <cell r="F141">
            <v>5505055.0573563436</v>
          </cell>
          <cell r="G141">
            <v>518595</v>
          </cell>
          <cell r="H141">
            <v>24700</v>
          </cell>
          <cell r="I141">
            <v>4961800</v>
          </cell>
          <cell r="J141">
            <v>19</v>
          </cell>
        </row>
        <row r="142">
          <cell r="C142">
            <v>50760</v>
          </cell>
          <cell r="D142">
            <v>0</v>
          </cell>
          <cell r="E142">
            <v>0</v>
          </cell>
          <cell r="F142">
            <v>9805077.9734146893</v>
          </cell>
          <cell r="G142">
            <v>518595</v>
          </cell>
          <cell r="H142">
            <v>24700</v>
          </cell>
          <cell r="I142">
            <v>9261800</v>
          </cell>
          <cell r="J142">
            <v>27.5</v>
          </cell>
        </row>
        <row r="143">
          <cell r="C143">
            <v>50808</v>
          </cell>
          <cell r="D143">
            <v>0</v>
          </cell>
          <cell r="E143">
            <v>0</v>
          </cell>
          <cell r="F143">
            <v>9591303.9956217203</v>
          </cell>
          <cell r="G143">
            <v>518595</v>
          </cell>
          <cell r="H143">
            <v>24700</v>
          </cell>
          <cell r="I143">
            <v>9048000</v>
          </cell>
          <cell r="J143">
            <v>27.5</v>
          </cell>
        </row>
        <row r="144">
          <cell r="C144">
            <v>50866</v>
          </cell>
          <cell r="D144">
            <v>0</v>
          </cell>
          <cell r="E144">
            <v>0</v>
          </cell>
          <cell r="F144">
            <v>11438361.991472723</v>
          </cell>
          <cell r="G144">
            <v>541800</v>
          </cell>
          <cell r="H144">
            <v>24700</v>
          </cell>
          <cell r="I144">
            <v>10871900</v>
          </cell>
          <cell r="J144">
            <v>27.375</v>
          </cell>
        </row>
        <row r="145">
          <cell r="C145">
            <v>50921</v>
          </cell>
          <cell r="D145">
            <v>0</v>
          </cell>
          <cell r="E145">
            <v>0</v>
          </cell>
          <cell r="F145">
            <v>8377085.4028074984</v>
          </cell>
          <cell r="G145">
            <v>518595</v>
          </cell>
          <cell r="H145">
            <v>24700</v>
          </cell>
          <cell r="I145">
            <v>7833800</v>
          </cell>
          <cell r="J145">
            <v>25.729166666666668</v>
          </cell>
        </row>
        <row r="146">
          <cell r="C146">
            <v>51580</v>
          </cell>
          <cell r="D146">
            <v>0</v>
          </cell>
          <cell r="E146">
            <v>0</v>
          </cell>
          <cell r="F146">
            <v>10558138.43654957</v>
          </cell>
          <cell r="G146">
            <v>518595</v>
          </cell>
          <cell r="H146">
            <v>24700</v>
          </cell>
          <cell r="I146">
            <v>10014800</v>
          </cell>
          <cell r="J146">
            <v>26.5</v>
          </cell>
        </row>
        <row r="147">
          <cell r="C147">
            <v>51636</v>
          </cell>
          <cell r="D147">
            <v>0</v>
          </cell>
          <cell r="E147">
            <v>0</v>
          </cell>
          <cell r="F147">
            <v>9559838.3059585113</v>
          </cell>
          <cell r="G147">
            <v>518595</v>
          </cell>
          <cell r="H147">
            <v>24700</v>
          </cell>
          <cell r="I147">
            <v>9016500</v>
          </cell>
          <cell r="J147">
            <v>26.625</v>
          </cell>
        </row>
        <row r="148">
          <cell r="C148">
            <v>51972</v>
          </cell>
          <cell r="D148">
            <v>0</v>
          </cell>
          <cell r="E148">
            <v>0</v>
          </cell>
          <cell r="F148">
            <v>8596321.0981790572</v>
          </cell>
          <cell r="G148">
            <v>518595</v>
          </cell>
          <cell r="H148">
            <v>24700</v>
          </cell>
          <cell r="I148">
            <v>8053000</v>
          </cell>
          <cell r="J148">
            <v>25</v>
          </cell>
        </row>
        <row r="149">
          <cell r="C149">
            <v>52027</v>
          </cell>
          <cell r="D149">
            <v>99058.898178833275</v>
          </cell>
          <cell r="E149">
            <v>0</v>
          </cell>
          <cell r="F149">
            <v>7592474.1104848674</v>
          </cell>
          <cell r="G149">
            <v>518595</v>
          </cell>
          <cell r="H149">
            <v>24700</v>
          </cell>
          <cell r="I149">
            <v>7049200</v>
          </cell>
          <cell r="J149">
            <v>27</v>
          </cell>
        </row>
        <row r="150">
          <cell r="C150">
            <v>52115</v>
          </cell>
          <cell r="D150">
            <v>0</v>
          </cell>
          <cell r="E150">
            <v>0</v>
          </cell>
          <cell r="F150">
            <v>8666501.2346174717</v>
          </cell>
          <cell r="G150">
            <v>518595</v>
          </cell>
          <cell r="H150">
            <v>24700</v>
          </cell>
          <cell r="I150">
            <v>8123200</v>
          </cell>
          <cell r="J150">
            <v>26.5</v>
          </cell>
        </row>
        <row r="151">
          <cell r="C151">
            <v>50071</v>
          </cell>
          <cell r="D151">
            <v>0</v>
          </cell>
          <cell r="E151">
            <v>0</v>
          </cell>
          <cell r="F151">
            <v>8070006.1693100082</v>
          </cell>
          <cell r="G151">
            <v>518595</v>
          </cell>
          <cell r="H151">
            <v>24700</v>
          </cell>
          <cell r="I151">
            <v>7526700</v>
          </cell>
          <cell r="J151">
            <v>26.5</v>
          </cell>
        </row>
        <row r="152">
          <cell r="C152">
            <v>50147</v>
          </cell>
          <cell r="D152">
            <v>177572.79153557567</v>
          </cell>
          <cell r="E152">
            <v>0</v>
          </cell>
          <cell r="F152">
            <v>6289543.1366112214</v>
          </cell>
          <cell r="G152">
            <v>518595</v>
          </cell>
          <cell r="H152">
            <v>24700</v>
          </cell>
          <cell r="I152">
            <v>5746200</v>
          </cell>
          <cell r="J152">
            <v>25.5</v>
          </cell>
        </row>
        <row r="153">
          <cell r="C153">
            <v>50366</v>
          </cell>
          <cell r="D153">
            <v>232953.6177137919</v>
          </cell>
          <cell r="E153">
            <v>0</v>
          </cell>
          <cell r="F153">
            <v>6719406.4545509312</v>
          </cell>
          <cell r="G153">
            <v>518595</v>
          </cell>
          <cell r="H153">
            <v>24700</v>
          </cell>
          <cell r="I153">
            <v>6176100</v>
          </cell>
          <cell r="J153">
            <v>27</v>
          </cell>
        </row>
        <row r="154">
          <cell r="C154">
            <v>50377</v>
          </cell>
          <cell r="D154">
            <v>0</v>
          </cell>
          <cell r="E154">
            <v>0</v>
          </cell>
          <cell r="F154">
            <v>7942185.9511676123</v>
          </cell>
          <cell r="G154">
            <v>518595</v>
          </cell>
          <cell r="H154">
            <v>24700</v>
          </cell>
          <cell r="I154">
            <v>7398900</v>
          </cell>
          <cell r="J154">
            <v>25.75</v>
          </cell>
        </row>
        <row r="155">
          <cell r="C155">
            <v>50380</v>
          </cell>
          <cell r="D155">
            <v>0</v>
          </cell>
          <cell r="E155">
            <v>0</v>
          </cell>
          <cell r="F155">
            <v>8242321.0803826591</v>
          </cell>
          <cell r="G155">
            <v>518595</v>
          </cell>
          <cell r="H155">
            <v>24700</v>
          </cell>
          <cell r="I155">
            <v>7699000</v>
          </cell>
          <cell r="J155">
            <v>25.516666666666666</v>
          </cell>
        </row>
        <row r="156">
          <cell r="C156">
            <v>50978</v>
          </cell>
          <cell r="D156">
            <v>0</v>
          </cell>
          <cell r="E156">
            <v>0</v>
          </cell>
          <cell r="F156">
            <v>2946894.4878769154</v>
          </cell>
          <cell r="G156">
            <v>0</v>
          </cell>
          <cell r="H156">
            <v>24700</v>
          </cell>
          <cell r="I156">
            <v>2922200</v>
          </cell>
          <cell r="J156">
            <v>11.375</v>
          </cell>
        </row>
        <row r="157">
          <cell r="C157">
            <v>51049</v>
          </cell>
          <cell r="D157">
            <v>0</v>
          </cell>
          <cell r="E157">
            <v>0</v>
          </cell>
          <cell r="F157">
            <v>8575891.0667768531</v>
          </cell>
          <cell r="G157">
            <v>518595</v>
          </cell>
          <cell r="H157">
            <v>24700</v>
          </cell>
          <cell r="I157">
            <v>8032600</v>
          </cell>
          <cell r="J157">
            <v>27</v>
          </cell>
        </row>
        <row r="158">
          <cell r="C158">
            <v>51076</v>
          </cell>
          <cell r="D158">
            <v>258793.3506276175</v>
          </cell>
          <cell r="E158">
            <v>0</v>
          </cell>
          <cell r="F158">
            <v>6390808.4222980598</v>
          </cell>
          <cell r="G158">
            <v>518595</v>
          </cell>
          <cell r="H158">
            <v>24700</v>
          </cell>
          <cell r="I158">
            <v>5847500</v>
          </cell>
          <cell r="J158">
            <v>26.479166666666668</v>
          </cell>
        </row>
        <row r="159">
          <cell r="C159">
            <v>51085</v>
          </cell>
          <cell r="D159">
            <v>168537.84201956235</v>
          </cell>
          <cell r="E159">
            <v>0</v>
          </cell>
          <cell r="F159">
            <v>6721596.5337703722</v>
          </cell>
          <cell r="G159">
            <v>518595</v>
          </cell>
          <cell r="H159">
            <v>24700</v>
          </cell>
          <cell r="I159">
            <v>6178300</v>
          </cell>
          <cell r="J159">
            <v>26.5</v>
          </cell>
        </row>
        <row r="160">
          <cell r="C160">
            <v>51104</v>
          </cell>
          <cell r="D160">
            <v>0</v>
          </cell>
          <cell r="E160">
            <v>0</v>
          </cell>
          <cell r="F160">
            <v>8259161.3004411375</v>
          </cell>
          <cell r="G160">
            <v>518595</v>
          </cell>
          <cell r="H160">
            <v>24700</v>
          </cell>
          <cell r="I160">
            <v>7715900</v>
          </cell>
          <cell r="J160">
            <v>26</v>
          </cell>
        </row>
        <row r="161">
          <cell r="C161">
            <v>51569</v>
          </cell>
          <cell r="D161">
            <v>91118.96284211264</v>
          </cell>
          <cell r="E161">
            <v>0</v>
          </cell>
          <cell r="F161">
            <v>7504706.3326275079</v>
          </cell>
          <cell r="G161">
            <v>518595</v>
          </cell>
          <cell r="H161">
            <v>24700</v>
          </cell>
          <cell r="I161">
            <v>6961400</v>
          </cell>
          <cell r="J161">
            <v>27</v>
          </cell>
        </row>
        <row r="162">
          <cell r="C162">
            <v>51601</v>
          </cell>
          <cell r="D162">
            <v>108916.85148236484</v>
          </cell>
          <cell r="E162">
            <v>0</v>
          </cell>
          <cell r="F162">
            <v>6708031.5844417941</v>
          </cell>
          <cell r="G162">
            <v>518595</v>
          </cell>
          <cell r="H162">
            <v>24700</v>
          </cell>
          <cell r="I162">
            <v>6164700</v>
          </cell>
          <cell r="J162">
            <v>26</v>
          </cell>
        </row>
        <row r="163">
          <cell r="C163">
            <v>51639</v>
          </cell>
          <cell r="D163">
            <v>390545.20829288737</v>
          </cell>
          <cell r="E163">
            <v>0</v>
          </cell>
          <cell r="F163">
            <v>6265082.5241598003</v>
          </cell>
          <cell r="G163">
            <v>518595</v>
          </cell>
          <cell r="H163">
            <v>24700</v>
          </cell>
          <cell r="I163">
            <v>5721800</v>
          </cell>
          <cell r="J163">
            <v>27</v>
          </cell>
        </row>
        <row r="164">
          <cell r="C164">
            <v>51709</v>
          </cell>
          <cell r="D164">
            <v>286733.76871046639</v>
          </cell>
          <cell r="E164">
            <v>0</v>
          </cell>
          <cell r="F164">
            <v>6228248.2569027878</v>
          </cell>
          <cell r="G164">
            <v>518595</v>
          </cell>
          <cell r="H164">
            <v>24700</v>
          </cell>
          <cell r="I164">
            <v>5685000</v>
          </cell>
          <cell r="J164">
            <v>26.3125</v>
          </cell>
        </row>
        <row r="165">
          <cell r="C165">
            <v>51728</v>
          </cell>
          <cell r="D165">
            <v>268167.53915308858</v>
          </cell>
          <cell r="E165">
            <v>0</v>
          </cell>
          <cell r="F165">
            <v>6100139.4973911615</v>
          </cell>
          <cell r="G165">
            <v>518595</v>
          </cell>
          <cell r="H165">
            <v>24700</v>
          </cell>
          <cell r="I165">
            <v>5556800</v>
          </cell>
          <cell r="J165">
            <v>26</v>
          </cell>
        </row>
        <row r="166">
          <cell r="C166">
            <v>51732</v>
          </cell>
          <cell r="D166">
            <v>364729.41570512822</v>
          </cell>
          <cell r="E166">
            <v>0</v>
          </cell>
          <cell r="F166">
            <v>5859810.6075854711</v>
          </cell>
          <cell r="G166">
            <v>518595</v>
          </cell>
          <cell r="H166">
            <v>24700</v>
          </cell>
          <cell r="I166">
            <v>5316500</v>
          </cell>
          <cell r="J166">
            <v>25</v>
          </cell>
        </row>
        <row r="167">
          <cell r="C167">
            <v>51979</v>
          </cell>
          <cell r="D167">
            <v>396213.31754396926</v>
          </cell>
          <cell r="E167">
            <v>0</v>
          </cell>
          <cell r="F167">
            <v>5551613.8662783485</v>
          </cell>
          <cell r="G167">
            <v>518595</v>
          </cell>
          <cell r="H167">
            <v>24700</v>
          </cell>
          <cell r="I167">
            <v>5008300</v>
          </cell>
          <cell r="J167">
            <v>25.5</v>
          </cell>
        </row>
        <row r="168">
          <cell r="C168">
            <v>51114</v>
          </cell>
          <cell r="D168">
            <v>88328.539707385033</v>
          </cell>
          <cell r="E168">
            <v>0</v>
          </cell>
          <cell r="F168">
            <v>3863559.813570152</v>
          </cell>
          <cell r="G168">
            <v>518595</v>
          </cell>
          <cell r="H168">
            <v>24700</v>
          </cell>
          <cell r="I168">
            <v>3320300</v>
          </cell>
          <cell r="J168">
            <v>16</v>
          </cell>
        </row>
        <row r="169">
          <cell r="C169">
            <v>50658</v>
          </cell>
          <cell r="D169"/>
          <cell r="E169">
            <v>0</v>
          </cell>
          <cell r="F169">
            <v>10525978.201923076</v>
          </cell>
          <cell r="G169">
            <v>518595</v>
          </cell>
          <cell r="H169">
            <v>25000</v>
          </cell>
          <cell r="I169">
            <v>9982400</v>
          </cell>
          <cell r="J169">
            <v>29</v>
          </cell>
        </row>
        <row r="170">
          <cell r="C170">
            <v>50761</v>
          </cell>
          <cell r="E170">
            <v>0</v>
          </cell>
          <cell r="F170">
            <v>11508974.913461538</v>
          </cell>
          <cell r="G170">
            <v>518595</v>
          </cell>
          <cell r="H170">
            <v>24700</v>
          </cell>
          <cell r="I170">
            <v>10965700</v>
          </cell>
          <cell r="J170">
            <v>27</v>
          </cell>
        </row>
        <row r="171">
          <cell r="C171">
            <v>51342</v>
          </cell>
          <cell r="D171"/>
          <cell r="E171">
            <v>0</v>
          </cell>
          <cell r="F171">
            <v>13157258.298076922</v>
          </cell>
          <cell r="G171">
            <v>518595</v>
          </cell>
          <cell r="H171">
            <v>24700</v>
          </cell>
          <cell r="I171">
            <v>12614000</v>
          </cell>
          <cell r="J171">
            <v>29</v>
          </cell>
        </row>
        <row r="172">
          <cell r="C172">
            <v>51421</v>
          </cell>
          <cell r="E172">
            <v>0</v>
          </cell>
          <cell r="F172">
            <v>10593754.355769232</v>
          </cell>
          <cell r="G172">
            <v>518595</v>
          </cell>
          <cell r="H172">
            <v>24700</v>
          </cell>
          <cell r="I172">
            <v>10050500</v>
          </cell>
          <cell r="J172">
            <v>29</v>
          </cell>
        </row>
        <row r="173">
          <cell r="C173">
            <v>51685</v>
          </cell>
          <cell r="D173"/>
          <cell r="E173">
            <v>0</v>
          </cell>
          <cell r="F173">
            <v>10616933.815883191</v>
          </cell>
          <cell r="G173">
            <v>518595</v>
          </cell>
          <cell r="H173">
            <v>24700</v>
          </cell>
          <cell r="I173">
            <v>10073600</v>
          </cell>
          <cell r="J173">
            <v>26.9375</v>
          </cell>
        </row>
        <row r="174">
          <cell r="C174">
            <v>51698</v>
          </cell>
          <cell r="E174">
            <v>0</v>
          </cell>
          <cell r="F174">
            <v>7815065.3294159546</v>
          </cell>
          <cell r="G174">
            <v>518595</v>
          </cell>
          <cell r="H174">
            <v>24700</v>
          </cell>
          <cell r="I174">
            <v>7271800</v>
          </cell>
          <cell r="J174">
            <v>25</v>
          </cell>
        </row>
        <row r="175">
          <cell r="C175">
            <v>51763</v>
          </cell>
          <cell r="D175"/>
          <cell r="E175">
            <v>0</v>
          </cell>
          <cell r="F175">
            <v>8067341.230769231</v>
          </cell>
          <cell r="G175">
            <v>518595</v>
          </cell>
          <cell r="H175">
            <v>24700</v>
          </cell>
          <cell r="I175">
            <v>7524000</v>
          </cell>
          <cell r="J175">
            <v>27</v>
          </cell>
        </row>
        <row r="176">
          <cell r="C176">
            <v>51764</v>
          </cell>
          <cell r="D176"/>
          <cell r="E176">
            <v>0</v>
          </cell>
          <cell r="F176">
            <v>7759603.538461539</v>
          </cell>
          <cell r="G176">
            <v>518595</v>
          </cell>
          <cell r="H176">
            <v>24700</v>
          </cell>
          <cell r="I176">
            <v>7216300</v>
          </cell>
          <cell r="J176">
            <v>27</v>
          </cell>
        </row>
        <row r="177">
          <cell r="C177">
            <v>51846</v>
          </cell>
          <cell r="E177">
            <v>0</v>
          </cell>
          <cell r="F177">
            <v>7550569.1691595437</v>
          </cell>
          <cell r="G177">
            <v>518595</v>
          </cell>
          <cell r="H177">
            <v>24700</v>
          </cell>
          <cell r="I177">
            <v>7007300</v>
          </cell>
          <cell r="J177">
            <v>20.5</v>
          </cell>
        </row>
        <row r="178">
          <cell r="C178">
            <v>51930</v>
          </cell>
          <cell r="D178"/>
          <cell r="E178">
            <v>0</v>
          </cell>
          <cell r="F178">
            <v>10694034.403846156</v>
          </cell>
          <cell r="G178">
            <v>518595</v>
          </cell>
          <cell r="H178">
            <v>24700</v>
          </cell>
          <cell r="I178">
            <v>10150700</v>
          </cell>
          <cell r="J178">
            <v>29</v>
          </cell>
        </row>
        <row r="179">
          <cell r="C179">
            <v>51947</v>
          </cell>
          <cell r="E179">
            <v>0</v>
          </cell>
          <cell r="F179">
            <v>10745798.711538462</v>
          </cell>
          <cell r="G179">
            <v>518595</v>
          </cell>
          <cell r="H179">
            <v>24700</v>
          </cell>
          <cell r="I179">
            <v>10202500</v>
          </cell>
          <cell r="J179">
            <v>27</v>
          </cell>
        </row>
        <row r="180">
          <cell r="C180">
            <v>52048</v>
          </cell>
          <cell r="E180">
            <v>0</v>
          </cell>
          <cell r="F180">
            <v>8696140.9430199433</v>
          </cell>
          <cell r="G180">
            <v>518595</v>
          </cell>
          <cell r="H180">
            <v>24700</v>
          </cell>
          <cell r="I180">
            <v>8152800</v>
          </cell>
          <cell r="J180">
            <v>24.5</v>
          </cell>
        </row>
        <row r="181">
          <cell r="C181">
            <v>52059</v>
          </cell>
          <cell r="E181">
            <v>0</v>
          </cell>
          <cell r="F181">
            <v>10171115.979700854</v>
          </cell>
          <cell r="G181">
            <v>518595</v>
          </cell>
          <cell r="H181">
            <v>24700</v>
          </cell>
          <cell r="I181">
            <v>9627800</v>
          </cell>
          <cell r="J181">
            <v>26</v>
          </cell>
        </row>
        <row r="182">
          <cell r="C182">
            <v>52061</v>
          </cell>
          <cell r="D182"/>
          <cell r="E182">
            <v>0</v>
          </cell>
          <cell r="F182">
            <v>7669603.538461539</v>
          </cell>
          <cell r="G182">
            <v>518595</v>
          </cell>
          <cell r="H182">
            <v>24700</v>
          </cell>
          <cell r="I182">
            <v>7126300</v>
          </cell>
          <cell r="J182">
            <v>27</v>
          </cell>
        </row>
        <row r="183">
          <cell r="C183">
            <v>52062</v>
          </cell>
          <cell r="E183">
            <v>0</v>
          </cell>
          <cell r="F183">
            <v>7533293.3233618233</v>
          </cell>
          <cell r="G183">
            <v>518595</v>
          </cell>
          <cell r="H183">
            <v>24700</v>
          </cell>
          <cell r="I183">
            <v>6990000</v>
          </cell>
          <cell r="J183">
            <v>26</v>
          </cell>
        </row>
        <row r="184">
          <cell r="C184">
            <v>52141</v>
          </cell>
          <cell r="E184">
            <v>0</v>
          </cell>
          <cell r="F184">
            <v>8589680.0961538479</v>
          </cell>
          <cell r="G184">
            <v>518595</v>
          </cell>
          <cell r="H184">
            <v>24700</v>
          </cell>
          <cell r="I184">
            <v>8046400</v>
          </cell>
          <cell r="J184">
            <v>27</v>
          </cell>
        </row>
        <row r="185">
          <cell r="C185">
            <v>51798</v>
          </cell>
          <cell r="E185">
            <v>0</v>
          </cell>
          <cell r="F185">
            <v>2257995.9804131053</v>
          </cell>
          <cell r="G185">
            <v>0</v>
          </cell>
          <cell r="H185">
            <v>24700</v>
          </cell>
          <cell r="I185">
            <v>2233300</v>
          </cell>
          <cell r="J185">
            <v>8</v>
          </cell>
        </row>
        <row r="186">
          <cell r="C186">
            <v>50124</v>
          </cell>
          <cell r="D186"/>
          <cell r="E186"/>
          <cell r="F186">
            <v>9297958.5606707558</v>
          </cell>
          <cell r="G186">
            <v>518595</v>
          </cell>
          <cell r="H186">
            <v>24700</v>
          </cell>
          <cell r="I186">
            <v>8754700</v>
          </cell>
          <cell r="J186">
            <v>27</v>
          </cell>
        </row>
        <row r="187">
          <cell r="C187">
            <v>50584</v>
          </cell>
          <cell r="D187"/>
          <cell r="E187"/>
          <cell r="F187">
            <v>7516878.7411669698</v>
          </cell>
          <cell r="G187">
            <v>518595</v>
          </cell>
          <cell r="H187">
            <v>24700</v>
          </cell>
          <cell r="I187">
            <v>6973600</v>
          </cell>
          <cell r="J187">
            <v>24</v>
          </cell>
        </row>
        <row r="188">
          <cell r="C188">
            <v>50689</v>
          </cell>
          <cell r="D188"/>
          <cell r="E188"/>
          <cell r="F188">
            <v>7234076.5364668202</v>
          </cell>
          <cell r="G188">
            <v>518595</v>
          </cell>
          <cell r="H188">
            <v>24700</v>
          </cell>
          <cell r="I188">
            <v>6690800</v>
          </cell>
          <cell r="J188">
            <v>24</v>
          </cell>
        </row>
        <row r="189">
          <cell r="C189">
            <v>51632</v>
          </cell>
          <cell r="F189">
            <v>7988215.6025741026</v>
          </cell>
          <cell r="G189">
            <v>518595</v>
          </cell>
          <cell r="H189">
            <v>24700</v>
          </cell>
          <cell r="I189">
            <v>7444900</v>
          </cell>
          <cell r="J189">
            <v>24.985416666666666</v>
          </cell>
        </row>
        <row r="190">
          <cell r="C190">
            <v>51696</v>
          </cell>
          <cell r="F190">
            <v>8298311.8105298961</v>
          </cell>
          <cell r="G190">
            <v>518595</v>
          </cell>
          <cell r="H190">
            <v>24700</v>
          </cell>
          <cell r="I190">
            <v>7755000</v>
          </cell>
          <cell r="J190">
            <v>27</v>
          </cell>
        </row>
        <row r="191">
          <cell r="C191">
            <v>52128</v>
          </cell>
          <cell r="D191"/>
          <cell r="E191"/>
          <cell r="F191">
            <v>7425205.5120658409</v>
          </cell>
          <cell r="G191">
            <v>518595</v>
          </cell>
          <cell r="H191">
            <v>24700</v>
          </cell>
          <cell r="I191">
            <v>6881900</v>
          </cell>
          <cell r="J191">
            <v>26</v>
          </cell>
        </row>
        <row r="192">
          <cell r="C192">
            <v>52210</v>
          </cell>
          <cell r="F192">
            <v>5644893.3749430319</v>
          </cell>
          <cell r="G192"/>
          <cell r="H192">
            <v>0</v>
          </cell>
          <cell r="I192">
            <v>5644900</v>
          </cell>
          <cell r="J192">
            <v>24.895833333333332</v>
          </cell>
        </row>
        <row r="193">
          <cell r="C193">
            <v>10341</v>
          </cell>
          <cell r="F193">
            <v>7533093.8952243207</v>
          </cell>
          <cell r="H193">
            <v>0</v>
          </cell>
          <cell r="I193">
            <v>7533100</v>
          </cell>
          <cell r="J193">
            <v>26.5</v>
          </cell>
        </row>
        <row r="194">
          <cell r="C194">
            <v>50091</v>
          </cell>
          <cell r="D194"/>
          <cell r="E194"/>
          <cell r="F194">
            <v>9497452.1478419937</v>
          </cell>
          <cell r="G194">
            <v>518595</v>
          </cell>
          <cell r="H194">
            <v>24700</v>
          </cell>
          <cell r="I194">
            <v>8954200</v>
          </cell>
          <cell r="J194">
            <v>27</v>
          </cell>
        </row>
        <row r="195">
          <cell r="C195">
            <v>51653</v>
          </cell>
          <cell r="F195">
            <v>9298882.906660445</v>
          </cell>
          <cell r="G195">
            <v>518595</v>
          </cell>
          <cell r="H195">
            <v>24700</v>
          </cell>
          <cell r="I195">
            <v>8755600</v>
          </cell>
          <cell r="J195">
            <v>27</v>
          </cell>
        </row>
        <row r="196">
          <cell r="C196">
            <v>51820</v>
          </cell>
          <cell r="F196">
            <v>9361100.9543186203</v>
          </cell>
          <cell r="G196">
            <v>518595</v>
          </cell>
          <cell r="H196">
            <v>24700</v>
          </cell>
          <cell r="I196">
            <v>8817800</v>
          </cell>
          <cell r="J196">
            <v>26.78125</v>
          </cell>
        </row>
        <row r="197">
          <cell r="C197">
            <v>51843</v>
          </cell>
          <cell r="F197">
            <v>8805871.6369488891</v>
          </cell>
          <cell r="G197">
            <v>518595</v>
          </cell>
          <cell r="H197">
            <v>24700</v>
          </cell>
          <cell r="I197">
            <v>8262600</v>
          </cell>
          <cell r="J197">
            <v>25.979166666666668</v>
          </cell>
        </row>
        <row r="198">
          <cell r="C198">
            <v>50145</v>
          </cell>
          <cell r="D198"/>
          <cell r="E198"/>
          <cell r="F198">
            <v>10420549.304988038</v>
          </cell>
          <cell r="G198">
            <v>518595</v>
          </cell>
          <cell r="H198">
            <v>24700</v>
          </cell>
          <cell r="I198">
            <v>9877300</v>
          </cell>
          <cell r="J198">
            <v>27</v>
          </cell>
        </row>
        <row r="199">
          <cell r="C199">
            <v>50460</v>
          </cell>
          <cell r="D199"/>
          <cell r="E199"/>
          <cell r="F199">
            <v>9607257.7631174829</v>
          </cell>
          <cell r="G199">
            <v>518595</v>
          </cell>
          <cell r="H199">
            <v>24700</v>
          </cell>
          <cell r="I199">
            <v>9064000</v>
          </cell>
          <cell r="J199">
            <v>27</v>
          </cell>
        </row>
        <row r="200">
          <cell r="C200">
            <v>50723</v>
          </cell>
          <cell r="F200">
            <v>9560404.302202018</v>
          </cell>
          <cell r="G200">
            <v>518595</v>
          </cell>
          <cell r="H200">
            <v>24700</v>
          </cell>
          <cell r="I200">
            <v>9017100</v>
          </cell>
          <cell r="J200">
            <v>27</v>
          </cell>
        </row>
        <row r="201">
          <cell r="C201">
            <v>50834</v>
          </cell>
          <cell r="D201"/>
          <cell r="E201"/>
          <cell r="F201">
            <v>9002852.5970681757</v>
          </cell>
          <cell r="G201">
            <v>518595</v>
          </cell>
          <cell r="H201">
            <v>24700</v>
          </cell>
          <cell r="I201">
            <v>8459600</v>
          </cell>
          <cell r="J201">
            <v>27</v>
          </cell>
        </row>
        <row r="202">
          <cell r="C202">
            <v>50105</v>
          </cell>
          <cell r="D202"/>
          <cell r="E202"/>
          <cell r="F202">
            <v>9530331.4672430288</v>
          </cell>
          <cell r="G202">
            <v>518595</v>
          </cell>
          <cell r="H202">
            <v>24700</v>
          </cell>
          <cell r="I202">
            <v>8987000</v>
          </cell>
          <cell r="J202">
            <v>27</v>
          </cell>
        </row>
        <row r="203">
          <cell r="C203">
            <v>50814</v>
          </cell>
          <cell r="F203">
            <v>8671071.1337868478</v>
          </cell>
          <cell r="G203">
            <v>518595</v>
          </cell>
          <cell r="H203">
            <v>24700</v>
          </cell>
          <cell r="I203">
            <v>8127800</v>
          </cell>
          <cell r="J203">
            <v>26</v>
          </cell>
        </row>
        <row r="204">
          <cell r="C204">
            <v>50854</v>
          </cell>
          <cell r="D204"/>
          <cell r="E204"/>
          <cell r="F204">
            <v>9359664.8114969674</v>
          </cell>
          <cell r="G204">
            <v>518595</v>
          </cell>
          <cell r="H204">
            <v>24700</v>
          </cell>
          <cell r="I204">
            <v>8816400</v>
          </cell>
          <cell r="J204">
            <v>26.979166666666668</v>
          </cell>
        </row>
        <row r="205">
          <cell r="C205">
            <v>50858</v>
          </cell>
          <cell r="D205"/>
          <cell r="E205"/>
          <cell r="F205">
            <v>8771957.2911202256</v>
          </cell>
          <cell r="G205">
            <v>518595</v>
          </cell>
          <cell r="H205">
            <v>24700</v>
          </cell>
          <cell r="I205">
            <v>8228700</v>
          </cell>
          <cell r="J205">
            <v>23.625</v>
          </cell>
        </row>
        <row r="206">
          <cell r="C206">
            <v>51463</v>
          </cell>
          <cell r="F206">
            <v>9270457.7177773714</v>
          </cell>
          <cell r="G206">
            <v>518595</v>
          </cell>
          <cell r="H206">
            <v>24700</v>
          </cell>
          <cell r="I206">
            <v>8727200</v>
          </cell>
          <cell r="J206">
            <v>26.947916666666668</v>
          </cell>
        </row>
        <row r="207">
          <cell r="C207">
            <v>51722</v>
          </cell>
          <cell r="D207"/>
          <cell r="E207"/>
          <cell r="F207">
            <v>9000422.2824119981</v>
          </cell>
          <cell r="G207">
            <v>518595</v>
          </cell>
          <cell r="H207">
            <v>24700</v>
          </cell>
          <cell r="I207">
            <v>8457100</v>
          </cell>
          <cell r="J207">
            <v>26.1875</v>
          </cell>
        </row>
        <row r="208">
          <cell r="C208">
            <v>51775</v>
          </cell>
          <cell r="D208"/>
          <cell r="E208"/>
          <cell r="F208">
            <v>9653766.9106217939</v>
          </cell>
          <cell r="G208">
            <v>518595</v>
          </cell>
          <cell r="H208">
            <v>24700</v>
          </cell>
          <cell r="I208">
            <v>9110500</v>
          </cell>
          <cell r="J208">
            <v>27</v>
          </cell>
        </row>
        <row r="209">
          <cell r="C209">
            <v>50047</v>
          </cell>
          <cell r="E209">
            <v>-776120.83333333337</v>
          </cell>
          <cell r="F209">
            <v>7692971.5061864471</v>
          </cell>
          <cell r="G209">
            <v>518595</v>
          </cell>
          <cell r="H209">
            <v>24700</v>
          </cell>
          <cell r="I209">
            <v>7149700</v>
          </cell>
          <cell r="J209">
            <v>22.827083333333334</v>
          </cell>
        </row>
        <row r="210">
          <cell r="C210">
            <v>50168</v>
          </cell>
          <cell r="E210">
            <v>0</v>
          </cell>
          <cell r="F210">
            <v>8159901.7140171994</v>
          </cell>
          <cell r="G210">
            <v>518595</v>
          </cell>
          <cell r="H210">
            <v>24700</v>
          </cell>
          <cell r="I210">
            <v>7616600</v>
          </cell>
          <cell r="J210">
            <v>25.802083333333332</v>
          </cell>
        </row>
        <row r="211">
          <cell r="C211">
            <v>50173</v>
          </cell>
          <cell r="E211">
            <v>0</v>
          </cell>
          <cell r="F211">
            <v>7113564.7773113931</v>
          </cell>
          <cell r="G211">
            <v>518595</v>
          </cell>
          <cell r="H211">
            <v>24700</v>
          </cell>
          <cell r="I211">
            <v>6570300</v>
          </cell>
          <cell r="J211">
            <v>26.5</v>
          </cell>
        </row>
        <row r="212">
          <cell r="C212">
            <v>50288</v>
          </cell>
          <cell r="E212">
            <v>0</v>
          </cell>
          <cell r="F212">
            <v>12789411.279198514</v>
          </cell>
          <cell r="G212">
            <v>541800</v>
          </cell>
          <cell r="H212">
            <v>24700</v>
          </cell>
          <cell r="I212">
            <v>12222900</v>
          </cell>
          <cell r="J212">
            <v>26.947916666666668</v>
          </cell>
        </row>
        <row r="213">
          <cell r="C213">
            <v>50564</v>
          </cell>
          <cell r="E213">
            <v>0</v>
          </cell>
          <cell r="F213">
            <v>9403632.785111025</v>
          </cell>
          <cell r="G213">
            <v>518595</v>
          </cell>
          <cell r="H213">
            <v>24700</v>
          </cell>
          <cell r="I213">
            <v>8860300</v>
          </cell>
          <cell r="J213">
            <v>25.989583333333332</v>
          </cell>
        </row>
        <row r="214">
          <cell r="C214">
            <v>51398</v>
          </cell>
          <cell r="D214"/>
          <cell r="E214">
            <v>0</v>
          </cell>
          <cell r="F214">
            <v>8458758.6648655832</v>
          </cell>
          <cell r="G214">
            <v>518595</v>
          </cell>
          <cell r="H214">
            <v>24700</v>
          </cell>
          <cell r="I214">
            <v>7915500</v>
          </cell>
          <cell r="J214">
            <v>27.5</v>
          </cell>
        </row>
        <row r="215">
          <cell r="C215">
            <v>51629</v>
          </cell>
          <cell r="E215">
            <v>0</v>
          </cell>
          <cell r="F215">
            <v>8656819.0292404555</v>
          </cell>
          <cell r="G215">
            <v>518595</v>
          </cell>
          <cell r="H215">
            <v>24700</v>
          </cell>
          <cell r="I215">
            <v>8113500</v>
          </cell>
          <cell r="J215">
            <v>27.354166666666668</v>
          </cell>
        </row>
        <row r="216">
          <cell r="C216">
            <v>51792</v>
          </cell>
          <cell r="E216">
            <v>0</v>
          </cell>
          <cell r="F216">
            <v>7590294.7746557212</v>
          </cell>
          <cell r="G216">
            <v>518595</v>
          </cell>
          <cell r="H216">
            <v>24700</v>
          </cell>
          <cell r="I216">
            <v>7047000</v>
          </cell>
          <cell r="J216">
            <v>27</v>
          </cell>
        </row>
        <row r="217">
          <cell r="C217">
            <v>52039</v>
          </cell>
          <cell r="E217">
            <v>0</v>
          </cell>
          <cell r="F217">
            <v>8248727.7264537718</v>
          </cell>
          <cell r="G217">
            <v>518595</v>
          </cell>
          <cell r="H217">
            <v>24700</v>
          </cell>
          <cell r="I217">
            <v>7705400</v>
          </cell>
          <cell r="J217">
            <v>26.34375</v>
          </cell>
        </row>
        <row r="218">
          <cell r="C218">
            <v>52070</v>
          </cell>
          <cell r="D218"/>
          <cell r="E218">
            <v>0</v>
          </cell>
          <cell r="F218">
            <v>8622294.957172174</v>
          </cell>
          <cell r="G218">
            <v>518595</v>
          </cell>
          <cell r="H218">
            <v>24700</v>
          </cell>
          <cell r="I218">
            <v>8079000</v>
          </cell>
          <cell r="J218">
            <v>25</v>
          </cell>
        </row>
        <row r="219">
          <cell r="C219">
            <v>52085</v>
          </cell>
          <cell r="E219">
            <v>0</v>
          </cell>
          <cell r="F219">
            <v>8098938.5964947399</v>
          </cell>
          <cell r="G219">
            <v>518595</v>
          </cell>
          <cell r="H219">
            <v>24700</v>
          </cell>
          <cell r="I219">
            <v>7555600</v>
          </cell>
          <cell r="J219">
            <v>25</v>
          </cell>
        </row>
        <row r="220">
          <cell r="C220">
            <v>52101</v>
          </cell>
          <cell r="D220"/>
          <cell r="E220">
            <v>0</v>
          </cell>
          <cell r="F220">
            <v>8028583.1178404279</v>
          </cell>
          <cell r="G220">
            <v>518595</v>
          </cell>
          <cell r="H220">
            <v>24700</v>
          </cell>
          <cell r="I220">
            <v>7485300</v>
          </cell>
          <cell r="J220">
            <v>26.5</v>
          </cell>
        </row>
        <row r="221">
          <cell r="C221">
            <v>52137</v>
          </cell>
          <cell r="D221"/>
          <cell r="E221">
            <v>0</v>
          </cell>
          <cell r="F221">
            <v>9491143.9485816862</v>
          </cell>
          <cell r="G221">
            <v>518595</v>
          </cell>
          <cell r="H221">
            <v>24700</v>
          </cell>
          <cell r="I221">
            <v>8947800</v>
          </cell>
          <cell r="J221">
            <v>26.71875</v>
          </cell>
        </row>
        <row r="222">
          <cell r="C222">
            <v>52162</v>
          </cell>
          <cell r="D222"/>
          <cell r="E222">
            <v>0</v>
          </cell>
          <cell r="F222">
            <v>7648821.5105566522</v>
          </cell>
          <cell r="H222">
            <v>0</v>
          </cell>
          <cell r="I222">
            <v>7648800</v>
          </cell>
          <cell r="J222">
            <v>27.5</v>
          </cell>
        </row>
        <row r="223">
          <cell r="C223">
            <v>10316</v>
          </cell>
          <cell r="D223"/>
          <cell r="E223">
            <v>0</v>
          </cell>
          <cell r="F223">
            <v>7544930.7376200035</v>
          </cell>
          <cell r="H223">
            <v>0</v>
          </cell>
          <cell r="I223">
            <v>7544900</v>
          </cell>
          <cell r="J223">
            <v>27.5</v>
          </cell>
        </row>
        <row r="224">
          <cell r="C224">
            <v>50565</v>
          </cell>
          <cell r="D224"/>
          <cell r="E224">
            <v>0</v>
          </cell>
          <cell r="F224">
            <v>7689159.8799580429</v>
          </cell>
          <cell r="G224">
            <v>518595</v>
          </cell>
          <cell r="H224">
            <v>24700</v>
          </cell>
          <cell r="I224">
            <v>7145900</v>
          </cell>
          <cell r="J224">
            <v>23.15625</v>
          </cell>
        </row>
        <row r="225">
          <cell r="C225">
            <v>52146</v>
          </cell>
          <cell r="E225">
            <v>0</v>
          </cell>
          <cell r="F225">
            <v>7910826.4793711314</v>
          </cell>
          <cell r="G225">
            <v>518595</v>
          </cell>
          <cell r="H225">
            <v>24700</v>
          </cell>
          <cell r="I225">
            <v>7367500</v>
          </cell>
          <cell r="J225">
            <v>27.5</v>
          </cell>
        </row>
        <row r="226">
          <cell r="C226">
            <v>50547</v>
          </cell>
          <cell r="D226"/>
          <cell r="E226"/>
          <cell r="F226">
            <v>9199683.8942307699</v>
          </cell>
          <cell r="G226">
            <v>518595</v>
          </cell>
          <cell r="H226">
            <v>24700</v>
          </cell>
          <cell r="I226">
            <v>8656400</v>
          </cell>
          <cell r="J226">
            <v>27</v>
          </cell>
        </row>
        <row r="227">
          <cell r="C227" t="str">
            <v>Q.trị 3</v>
          </cell>
          <cell r="F227">
            <v>26160000</v>
          </cell>
          <cell r="G227">
            <v>1514205</v>
          </cell>
          <cell r="H227">
            <v>674579.5</v>
          </cell>
          <cell r="I227">
            <v>23971200</v>
          </cell>
          <cell r="J227">
            <v>27</v>
          </cell>
        </row>
        <row r="228">
          <cell r="C228">
            <v>80261</v>
          </cell>
          <cell r="D228"/>
          <cell r="E228"/>
          <cell r="F228">
            <v>18160000</v>
          </cell>
          <cell r="G228">
            <v>749805</v>
          </cell>
          <cell r="H228">
            <v>35700</v>
          </cell>
          <cell r="I228">
            <v>17374500</v>
          </cell>
          <cell r="J228">
            <v>27</v>
          </cell>
        </row>
        <row r="229">
          <cell r="C229">
            <v>50888</v>
          </cell>
          <cell r="D229"/>
          <cell r="E229"/>
          <cell r="F229">
            <v>15111067.52136752</v>
          </cell>
          <cell r="G229">
            <v>608900</v>
          </cell>
          <cell r="H229">
            <v>26900</v>
          </cell>
          <cell r="I229">
            <v>14475300</v>
          </cell>
          <cell r="J229">
            <v>26.5</v>
          </cell>
        </row>
        <row r="230">
          <cell r="C230">
            <v>51614</v>
          </cell>
          <cell r="D230"/>
          <cell r="E230"/>
          <cell r="F230">
            <v>1170962.4372436099</v>
          </cell>
          <cell r="G230">
            <v>0</v>
          </cell>
          <cell r="I230">
            <v>1171000</v>
          </cell>
          <cell r="J230">
            <v>6</v>
          </cell>
        </row>
        <row r="231">
          <cell r="C231">
            <v>52124</v>
          </cell>
          <cell r="F231">
            <v>2574780.8449321268</v>
          </cell>
          <cell r="G231">
            <v>0</v>
          </cell>
          <cell r="I231">
            <v>2574800</v>
          </cell>
          <cell r="J231">
            <v>13</v>
          </cell>
        </row>
        <row r="232">
          <cell r="C232">
            <v>52013</v>
          </cell>
          <cell r="F232">
            <v>5083295.9053365933</v>
          </cell>
          <cell r="G232">
            <v>518595</v>
          </cell>
          <cell r="I232">
            <v>4564700</v>
          </cell>
          <cell r="J232">
            <v>23.125</v>
          </cell>
        </row>
        <row r="233">
          <cell r="C233">
            <v>52201</v>
          </cell>
          <cell r="D233"/>
          <cell r="E233"/>
          <cell r="F233">
            <v>1139732.9211157116</v>
          </cell>
          <cell r="G233">
            <v>0</v>
          </cell>
          <cell r="I233">
            <v>1139700</v>
          </cell>
          <cell r="J233">
            <v>5</v>
          </cell>
        </row>
        <row r="234">
          <cell r="C234">
            <v>52149</v>
          </cell>
          <cell r="F234">
            <v>1808310.0752424919</v>
          </cell>
          <cell r="G234">
            <v>0</v>
          </cell>
          <cell r="I234">
            <v>1808300</v>
          </cell>
          <cell r="J234">
            <v>11</v>
          </cell>
        </row>
        <row r="235">
          <cell r="C235">
            <v>10353</v>
          </cell>
          <cell r="F235">
            <v>1672456.4238952538</v>
          </cell>
          <cell r="I235">
            <v>1672500</v>
          </cell>
          <cell r="J235">
            <v>15</v>
          </cell>
        </row>
        <row r="236">
          <cell r="C236">
            <v>10252</v>
          </cell>
          <cell r="F236">
            <v>4001683.6918328479</v>
          </cell>
          <cell r="I236">
            <v>4001700</v>
          </cell>
          <cell r="J236">
            <v>23.5</v>
          </cell>
        </row>
        <row r="237">
          <cell r="C237">
            <v>50035</v>
          </cell>
          <cell r="D237">
            <v>232772.96787566555</v>
          </cell>
          <cell r="E237">
            <v>0</v>
          </cell>
          <cell r="F237">
            <v>7469698.404065311</v>
          </cell>
          <cell r="G237">
            <v>518595</v>
          </cell>
          <cell r="H237">
            <v>25000</v>
          </cell>
          <cell r="I237">
            <v>6926100</v>
          </cell>
          <cell r="J237">
            <v>27.5</v>
          </cell>
        </row>
        <row r="238">
          <cell r="C238">
            <v>50247</v>
          </cell>
          <cell r="D238">
            <v>0</v>
          </cell>
          <cell r="E238">
            <v>0</v>
          </cell>
          <cell r="F238">
            <v>8512966.4306991175</v>
          </cell>
          <cell r="G238">
            <v>518595</v>
          </cell>
          <cell r="H238">
            <v>24700</v>
          </cell>
          <cell r="I238">
            <v>7969700</v>
          </cell>
          <cell r="J238">
            <v>27</v>
          </cell>
        </row>
        <row r="239">
          <cell r="C239">
            <v>50274</v>
          </cell>
          <cell r="D239">
            <v>315193.53570263064</v>
          </cell>
          <cell r="E239">
            <v>-265200</v>
          </cell>
          <cell r="F239">
            <v>6536671.3635117663</v>
          </cell>
          <cell r="G239">
            <v>518595</v>
          </cell>
          <cell r="H239">
            <v>24700</v>
          </cell>
          <cell r="I239">
            <v>5993400</v>
          </cell>
          <cell r="J239">
            <v>26</v>
          </cell>
        </row>
        <row r="240">
          <cell r="C240">
            <v>50329</v>
          </cell>
          <cell r="D240">
            <v>0</v>
          </cell>
          <cell r="E240">
            <v>0</v>
          </cell>
          <cell r="F240">
            <v>9217881.2922851704</v>
          </cell>
          <cell r="G240">
            <v>518595</v>
          </cell>
          <cell r="H240">
            <v>24700</v>
          </cell>
          <cell r="I240">
            <v>8674600</v>
          </cell>
          <cell r="J240">
            <v>27.5</v>
          </cell>
        </row>
        <row r="241">
          <cell r="C241">
            <v>50615</v>
          </cell>
          <cell r="D241">
            <v>175090.07766932488</v>
          </cell>
          <cell r="E241">
            <v>0</v>
          </cell>
          <cell r="F241">
            <v>7528451.6419920251</v>
          </cell>
          <cell r="G241">
            <v>518595</v>
          </cell>
          <cell r="H241">
            <v>24700</v>
          </cell>
          <cell r="I241">
            <v>6985200</v>
          </cell>
          <cell r="J241">
            <v>27</v>
          </cell>
        </row>
        <row r="242">
          <cell r="C242">
            <v>50878</v>
          </cell>
          <cell r="D242">
            <v>204714.64801083202</v>
          </cell>
          <cell r="E242">
            <v>0</v>
          </cell>
          <cell r="F242">
            <v>7906459.3011598112</v>
          </cell>
          <cell r="G242">
            <v>518595</v>
          </cell>
          <cell r="H242">
            <v>24700</v>
          </cell>
          <cell r="I242">
            <v>7363200</v>
          </cell>
          <cell r="J242">
            <v>27</v>
          </cell>
        </row>
        <row r="243">
          <cell r="C243">
            <v>50965</v>
          </cell>
          <cell r="D243">
            <v>92277.465497310652</v>
          </cell>
          <cell r="E243">
            <v>0</v>
          </cell>
          <cell r="F243">
            <v>7501817.0641562147</v>
          </cell>
          <cell r="G243">
            <v>518595</v>
          </cell>
          <cell r="H243">
            <v>24700</v>
          </cell>
          <cell r="I243">
            <v>6958500</v>
          </cell>
          <cell r="J243">
            <v>26.458333333333332</v>
          </cell>
        </row>
        <row r="244">
          <cell r="C244">
            <v>51118</v>
          </cell>
          <cell r="D244">
            <v>239708.31051891879</v>
          </cell>
          <cell r="E244">
            <v>0</v>
          </cell>
          <cell r="F244">
            <v>7506592.2025244413</v>
          </cell>
          <cell r="G244">
            <v>518595</v>
          </cell>
          <cell r="H244">
            <v>24700</v>
          </cell>
          <cell r="I244">
            <v>6963300</v>
          </cell>
          <cell r="J244">
            <v>26.84375</v>
          </cell>
        </row>
        <row r="245">
          <cell r="C245">
            <v>51120</v>
          </cell>
          <cell r="D245">
            <v>120033.87859300181</v>
          </cell>
          <cell r="E245">
            <v>0</v>
          </cell>
          <cell r="F245">
            <v>7235041.0891141575</v>
          </cell>
          <cell r="G245">
            <v>518595</v>
          </cell>
          <cell r="H245">
            <v>24700</v>
          </cell>
          <cell r="I245">
            <v>6691700</v>
          </cell>
          <cell r="J245">
            <v>25</v>
          </cell>
        </row>
        <row r="246">
          <cell r="C246">
            <v>51456</v>
          </cell>
          <cell r="D246">
            <v>317896.46606019372</v>
          </cell>
          <cell r="E246">
            <v>-275400</v>
          </cell>
          <cell r="F246">
            <v>6758102.5489348024</v>
          </cell>
          <cell r="G246">
            <v>518595</v>
          </cell>
          <cell r="H246">
            <v>24700</v>
          </cell>
          <cell r="I246">
            <v>6214800</v>
          </cell>
          <cell r="J246">
            <v>27.5</v>
          </cell>
        </row>
        <row r="247">
          <cell r="C247">
            <v>52071</v>
          </cell>
          <cell r="D247">
            <v>259982.36786524317</v>
          </cell>
          <cell r="E247">
            <v>0</v>
          </cell>
          <cell r="F247">
            <v>6837865.2762119621</v>
          </cell>
          <cell r="G247">
            <v>518595</v>
          </cell>
          <cell r="H247">
            <v>24700</v>
          </cell>
          <cell r="I247">
            <v>6294600</v>
          </cell>
          <cell r="J247">
            <v>27</v>
          </cell>
        </row>
        <row r="248">
          <cell r="C248">
            <v>52106</v>
          </cell>
          <cell r="D248">
            <v>252307.70194701685</v>
          </cell>
          <cell r="E248">
            <v>0</v>
          </cell>
          <cell r="F248">
            <v>6649395.1633897182</v>
          </cell>
          <cell r="G248">
            <v>518595</v>
          </cell>
          <cell r="H248">
            <v>24700</v>
          </cell>
          <cell r="I248">
            <v>6106100</v>
          </cell>
          <cell r="J248">
            <v>27</v>
          </cell>
        </row>
        <row r="249">
          <cell r="C249">
            <v>52114</v>
          </cell>
          <cell r="D249">
            <v>88708.57192003142</v>
          </cell>
          <cell r="E249">
            <v>-629000</v>
          </cell>
          <cell r="F249">
            <v>4175405.3109493069</v>
          </cell>
          <cell r="G249">
            <v>518595</v>
          </cell>
          <cell r="H249">
            <v>24700</v>
          </cell>
          <cell r="I249">
            <v>3632100</v>
          </cell>
          <cell r="J249">
            <v>18.5</v>
          </cell>
        </row>
        <row r="250">
          <cell r="C250">
            <v>52161</v>
          </cell>
          <cell r="D250">
            <v>252089.3811300653</v>
          </cell>
          <cell r="E250">
            <v>0</v>
          </cell>
          <cell r="F250">
            <v>6688042.4335328806</v>
          </cell>
          <cell r="G250">
            <v>518595</v>
          </cell>
          <cell r="H250">
            <v>24700</v>
          </cell>
          <cell r="I250">
            <v>6144700</v>
          </cell>
          <cell r="J250">
            <v>27</v>
          </cell>
        </row>
        <row r="251">
          <cell r="C251">
            <v>10276</v>
          </cell>
          <cell r="D251">
            <v>167465.15137212491</v>
          </cell>
          <cell r="E251">
            <v>0</v>
          </cell>
          <cell r="F251">
            <v>6668630.5074220859</v>
          </cell>
          <cell r="H251">
            <v>0</v>
          </cell>
          <cell r="I251">
            <v>6668600</v>
          </cell>
          <cell r="J251">
            <v>27.5</v>
          </cell>
        </row>
        <row r="252">
          <cell r="C252">
            <v>10271</v>
          </cell>
          <cell r="D252">
            <v>65833.347114169272</v>
          </cell>
          <cell r="E252">
            <v>0</v>
          </cell>
          <cell r="F252">
            <v>7084605.24711903</v>
          </cell>
          <cell r="H252">
            <v>0</v>
          </cell>
          <cell r="I252">
            <v>7084600</v>
          </cell>
          <cell r="J252">
            <v>27.5</v>
          </cell>
        </row>
        <row r="253">
          <cell r="C253">
            <v>10267</v>
          </cell>
          <cell r="D253">
            <v>198382.35032770503</v>
          </cell>
          <cell r="E253">
            <v>0</v>
          </cell>
          <cell r="F253">
            <v>5937657.2225211579</v>
          </cell>
          <cell r="H253">
            <v>0</v>
          </cell>
          <cell r="I253">
            <v>5937700</v>
          </cell>
          <cell r="J253">
            <v>26</v>
          </cell>
        </row>
        <row r="254">
          <cell r="C254">
            <v>10237</v>
          </cell>
          <cell r="D254">
            <v>205353.00264117584</v>
          </cell>
          <cell r="E254">
            <v>-265200</v>
          </cell>
          <cell r="F254">
            <v>5832433.4867345924</v>
          </cell>
          <cell r="H254">
            <v>0</v>
          </cell>
          <cell r="I254">
            <v>5832400</v>
          </cell>
          <cell r="J254">
            <v>26</v>
          </cell>
        </row>
        <row r="255">
          <cell r="C255">
            <v>10232</v>
          </cell>
          <cell r="D255">
            <v>148732.87782431353</v>
          </cell>
          <cell r="E255">
            <v>0</v>
          </cell>
          <cell r="F255">
            <v>5715904.1977236411</v>
          </cell>
          <cell r="H255">
            <v>0</v>
          </cell>
          <cell r="I255">
            <v>5715900</v>
          </cell>
          <cell r="J255">
            <v>26</v>
          </cell>
        </row>
        <row r="256">
          <cell r="C256">
            <v>50014</v>
          </cell>
          <cell r="D256">
            <v>0</v>
          </cell>
          <cell r="E256">
            <v>0</v>
          </cell>
          <cell r="F256">
            <v>9639079.7022846006</v>
          </cell>
          <cell r="G256">
            <v>518595</v>
          </cell>
          <cell r="H256">
            <v>25000</v>
          </cell>
          <cell r="I256">
            <v>9095500</v>
          </cell>
          <cell r="J256">
            <v>27.5</v>
          </cell>
        </row>
        <row r="257">
          <cell r="C257">
            <v>50139</v>
          </cell>
          <cell r="D257">
            <v>118961.35841351206</v>
          </cell>
          <cell r="E257">
            <v>0</v>
          </cell>
          <cell r="F257">
            <v>7932236.8426725697</v>
          </cell>
          <cell r="G257">
            <v>518595</v>
          </cell>
          <cell r="H257">
            <v>24700</v>
          </cell>
          <cell r="I257">
            <v>7388900</v>
          </cell>
          <cell r="J257">
            <v>26.952083333333334</v>
          </cell>
        </row>
        <row r="258">
          <cell r="C258">
            <v>50148</v>
          </cell>
          <cell r="D258">
            <v>22834.045018183533</v>
          </cell>
          <cell r="E258">
            <v>0</v>
          </cell>
          <cell r="F258">
            <v>8263153.3937916029</v>
          </cell>
          <cell r="G258">
            <v>518595</v>
          </cell>
          <cell r="H258">
            <v>24700</v>
          </cell>
          <cell r="I258">
            <v>7719900</v>
          </cell>
          <cell r="J258">
            <v>27</v>
          </cell>
        </row>
        <row r="259">
          <cell r="C259">
            <v>50787</v>
          </cell>
          <cell r="D259">
            <v>0</v>
          </cell>
          <cell r="E259">
            <v>0</v>
          </cell>
          <cell r="F259">
            <v>8157007.0392312026</v>
          </cell>
          <cell r="G259">
            <v>518595</v>
          </cell>
          <cell r="H259">
            <v>24700</v>
          </cell>
          <cell r="I259">
            <v>7613700</v>
          </cell>
          <cell r="J259">
            <v>26.5</v>
          </cell>
        </row>
        <row r="260">
          <cell r="C260">
            <v>50883</v>
          </cell>
          <cell r="D260">
            <v>83576.645042245334</v>
          </cell>
          <cell r="E260">
            <v>0</v>
          </cell>
          <cell r="F260">
            <v>7839820.0285484772</v>
          </cell>
          <cell r="G260">
            <v>518595</v>
          </cell>
          <cell r="H260">
            <v>24700</v>
          </cell>
          <cell r="I260">
            <v>7296500</v>
          </cell>
          <cell r="J260">
            <v>26.5</v>
          </cell>
        </row>
        <row r="261">
          <cell r="C261">
            <v>50892</v>
          </cell>
          <cell r="D261">
            <v>0</v>
          </cell>
          <cell r="E261">
            <v>-275400</v>
          </cell>
          <cell r="F261">
            <v>8119227.0609510764</v>
          </cell>
          <cell r="G261">
            <v>518595</v>
          </cell>
          <cell r="H261">
            <v>24700</v>
          </cell>
          <cell r="I261">
            <v>7575900</v>
          </cell>
          <cell r="J261">
            <v>27</v>
          </cell>
        </row>
        <row r="262">
          <cell r="C262">
            <v>51152</v>
          </cell>
          <cell r="D262">
            <v>0</v>
          </cell>
          <cell r="E262">
            <v>0</v>
          </cell>
          <cell r="F262">
            <v>8716155.0673601255</v>
          </cell>
          <cell r="G262">
            <v>518595</v>
          </cell>
          <cell r="H262">
            <v>24700</v>
          </cell>
          <cell r="I262">
            <v>8172900</v>
          </cell>
          <cell r="J262">
            <v>27.5</v>
          </cell>
        </row>
        <row r="263">
          <cell r="C263">
            <v>51223</v>
          </cell>
          <cell r="D263">
            <v>88660.265844644367</v>
          </cell>
          <cell r="E263">
            <v>0</v>
          </cell>
          <cell r="F263">
            <v>7267818.3450942719</v>
          </cell>
          <cell r="G263">
            <v>518595</v>
          </cell>
          <cell r="H263">
            <v>24700</v>
          </cell>
          <cell r="I263">
            <v>6724500</v>
          </cell>
          <cell r="J263">
            <v>24</v>
          </cell>
        </row>
        <row r="264">
          <cell r="C264">
            <v>51330</v>
          </cell>
          <cell r="D264">
            <v>146395.31729549688</v>
          </cell>
          <cell r="E264">
            <v>0</v>
          </cell>
          <cell r="F264">
            <v>7861459.974929749</v>
          </cell>
          <cell r="G264">
            <v>518595</v>
          </cell>
          <cell r="H264">
            <v>24700</v>
          </cell>
          <cell r="I264">
            <v>7318200</v>
          </cell>
          <cell r="J264">
            <v>26.96875</v>
          </cell>
        </row>
        <row r="265">
          <cell r="C265">
            <v>51334</v>
          </cell>
          <cell r="E265">
            <v>0</v>
          </cell>
          <cell r="F265">
            <v>8204805.9400903899</v>
          </cell>
          <cell r="G265">
            <v>518595</v>
          </cell>
          <cell r="H265">
            <v>24700</v>
          </cell>
          <cell r="I265">
            <v>7661500</v>
          </cell>
          <cell r="J265">
            <v>27</v>
          </cell>
        </row>
        <row r="266">
          <cell r="C266">
            <v>51668</v>
          </cell>
          <cell r="D266">
            <v>0</v>
          </cell>
          <cell r="E266">
            <v>0</v>
          </cell>
          <cell r="F266">
            <v>11824695.23578109</v>
          </cell>
          <cell r="G266">
            <v>518595</v>
          </cell>
          <cell r="H266">
            <v>24700</v>
          </cell>
          <cell r="I266">
            <v>11281400</v>
          </cell>
          <cell r="J266">
            <v>27.5</v>
          </cell>
        </row>
        <row r="267">
          <cell r="C267">
            <v>51920</v>
          </cell>
          <cell r="D267">
            <v>16455.3654522422</v>
          </cell>
          <cell r="E267">
            <v>0</v>
          </cell>
          <cell r="F267">
            <v>8254712.2690278878</v>
          </cell>
          <cell r="G267">
            <v>518595</v>
          </cell>
          <cell r="H267">
            <v>24700</v>
          </cell>
          <cell r="I267">
            <v>7711400</v>
          </cell>
          <cell r="J267">
            <v>27.5</v>
          </cell>
        </row>
        <row r="268">
          <cell r="C268">
            <v>51941</v>
          </cell>
          <cell r="D268">
            <v>132792.69525916755</v>
          </cell>
          <cell r="E268">
            <v>0</v>
          </cell>
          <cell r="F268">
            <v>7307514.7026840355</v>
          </cell>
          <cell r="G268">
            <v>518595</v>
          </cell>
          <cell r="H268">
            <v>24700</v>
          </cell>
          <cell r="I268">
            <v>6764200</v>
          </cell>
          <cell r="J268">
            <v>27</v>
          </cell>
        </row>
        <row r="269">
          <cell r="C269">
            <v>52189</v>
          </cell>
          <cell r="D269">
            <v>133812.08352740412</v>
          </cell>
          <cell r="E269">
            <v>0</v>
          </cell>
          <cell r="F269">
            <v>7444224.4940759083</v>
          </cell>
          <cell r="G269">
            <v>518595</v>
          </cell>
          <cell r="H269">
            <v>24700</v>
          </cell>
          <cell r="I269">
            <v>6900900</v>
          </cell>
          <cell r="J269">
            <v>26.5</v>
          </cell>
        </row>
        <row r="270">
          <cell r="C270">
            <v>52199</v>
          </cell>
          <cell r="D270">
            <v>311742.39472110209</v>
          </cell>
          <cell r="E270">
            <v>-251387.5</v>
          </cell>
          <cell r="F270">
            <v>5670617.4549036445</v>
          </cell>
          <cell r="G270">
            <v>518595</v>
          </cell>
          <cell r="H270">
            <v>24700</v>
          </cell>
          <cell r="I270">
            <v>5127300</v>
          </cell>
          <cell r="J270">
            <v>26.645833333333332</v>
          </cell>
        </row>
        <row r="271">
          <cell r="C271">
            <v>52202</v>
          </cell>
          <cell r="D271">
            <v>39689.017325824767</v>
          </cell>
          <cell r="E271">
            <v>0</v>
          </cell>
          <cell r="F271">
            <v>7454287.5153302178</v>
          </cell>
          <cell r="H271">
            <v>0</v>
          </cell>
          <cell r="I271">
            <v>7454300</v>
          </cell>
          <cell r="J271">
            <v>27.5</v>
          </cell>
        </row>
        <row r="272">
          <cell r="C272">
            <v>10351</v>
          </cell>
          <cell r="D272">
            <v>234934.58069943546</v>
          </cell>
          <cell r="E272">
            <v>0</v>
          </cell>
          <cell r="F272">
            <v>5729299.0890982747</v>
          </cell>
          <cell r="G272"/>
          <cell r="H272">
            <v>0</v>
          </cell>
          <cell r="I272">
            <v>5729300</v>
          </cell>
          <cell r="J272">
            <v>26</v>
          </cell>
        </row>
        <row r="273">
          <cell r="C273">
            <v>51828</v>
          </cell>
          <cell r="D273">
            <v>211785.17544063253</v>
          </cell>
          <cell r="E273">
            <v>-646000</v>
          </cell>
          <cell r="F273">
            <v>4040552.4597892128</v>
          </cell>
          <cell r="I273">
            <v>4040600</v>
          </cell>
          <cell r="J273">
            <v>19</v>
          </cell>
        </row>
        <row r="274">
          <cell r="C274">
            <v>50063</v>
          </cell>
          <cell r="D274">
            <v>0</v>
          </cell>
          <cell r="E274">
            <v>0</v>
          </cell>
          <cell r="F274">
            <v>8976778.7887291387</v>
          </cell>
          <cell r="G274">
            <v>518595</v>
          </cell>
          <cell r="H274">
            <v>25000</v>
          </cell>
          <cell r="I274">
            <v>8433200</v>
          </cell>
          <cell r="J274">
            <v>27</v>
          </cell>
        </row>
        <row r="275">
          <cell r="C275">
            <v>50616</v>
          </cell>
          <cell r="D275">
            <v>351688.08206900489</v>
          </cell>
          <cell r="E275">
            <v>-275400</v>
          </cell>
          <cell r="F275">
            <v>6997166.0422545243</v>
          </cell>
          <cell r="G275">
            <v>518595</v>
          </cell>
          <cell r="H275">
            <v>24700</v>
          </cell>
          <cell r="I275">
            <v>6453900</v>
          </cell>
          <cell r="J275">
            <v>27</v>
          </cell>
        </row>
        <row r="276">
          <cell r="C276">
            <v>50863</v>
          </cell>
          <cell r="D276">
            <v>138020.81025948573</v>
          </cell>
          <cell r="E276">
            <v>0</v>
          </cell>
          <cell r="F276">
            <v>7393511.9898055876</v>
          </cell>
          <cell r="G276">
            <v>518595</v>
          </cell>
          <cell r="H276">
            <v>24700</v>
          </cell>
          <cell r="I276">
            <v>6850200</v>
          </cell>
          <cell r="J276">
            <v>26.270833333333332</v>
          </cell>
        </row>
        <row r="277">
          <cell r="C277">
            <v>51062</v>
          </cell>
          <cell r="D277">
            <v>0</v>
          </cell>
          <cell r="E277">
            <v>0</v>
          </cell>
          <cell r="F277">
            <v>8441100.7086781301</v>
          </cell>
          <cell r="G277">
            <v>518595</v>
          </cell>
          <cell r="H277">
            <v>24700</v>
          </cell>
          <cell r="I277">
            <v>7897800</v>
          </cell>
          <cell r="J277">
            <v>26.875</v>
          </cell>
        </row>
        <row r="278">
          <cell r="C278">
            <v>51694</v>
          </cell>
          <cell r="D278">
            <v>371138.80091899494</v>
          </cell>
          <cell r="E278">
            <v>-273657.5</v>
          </cell>
          <cell r="F278">
            <v>6637364.2872358914</v>
          </cell>
          <cell r="G278">
            <v>518595</v>
          </cell>
          <cell r="H278">
            <v>24700</v>
          </cell>
          <cell r="I278">
            <v>6094100</v>
          </cell>
          <cell r="J278">
            <v>26.829166666666666</v>
          </cell>
        </row>
        <row r="279">
          <cell r="C279">
            <v>51823</v>
          </cell>
          <cell r="D279">
            <v>284989.34841557901</v>
          </cell>
          <cell r="E279">
            <v>-275400</v>
          </cell>
          <cell r="F279">
            <v>7032087.603791724</v>
          </cell>
          <cell r="G279">
            <v>518595</v>
          </cell>
          <cell r="H279">
            <v>24700</v>
          </cell>
          <cell r="I279">
            <v>6488800</v>
          </cell>
          <cell r="J279">
            <v>27</v>
          </cell>
        </row>
        <row r="280">
          <cell r="C280">
            <v>51962</v>
          </cell>
          <cell r="D280">
            <v>329548.77482931374</v>
          </cell>
          <cell r="E280">
            <v>-275400</v>
          </cell>
          <cell r="F280">
            <v>7012816.7764735986</v>
          </cell>
          <cell r="G280">
            <v>518595</v>
          </cell>
          <cell r="H280">
            <v>24700</v>
          </cell>
          <cell r="I280">
            <v>6469500</v>
          </cell>
          <cell r="J280">
            <v>27.5</v>
          </cell>
        </row>
        <row r="281">
          <cell r="C281">
            <v>51963</v>
          </cell>
          <cell r="D281">
            <v>374642.10103419889</v>
          </cell>
          <cell r="E281">
            <v>-263712.5</v>
          </cell>
          <cell r="F281">
            <v>6389539.351633871</v>
          </cell>
          <cell r="G281">
            <v>518595</v>
          </cell>
          <cell r="H281">
            <v>24700</v>
          </cell>
          <cell r="I281">
            <v>5846200</v>
          </cell>
          <cell r="J281">
            <v>26.354166666666668</v>
          </cell>
        </row>
        <row r="282">
          <cell r="C282">
            <v>51974</v>
          </cell>
          <cell r="D282">
            <v>166609.29303446575</v>
          </cell>
          <cell r="E282">
            <v>0</v>
          </cell>
          <cell r="F282">
            <v>7286797.529016261</v>
          </cell>
          <cell r="G282">
            <v>518595</v>
          </cell>
          <cell r="H282">
            <v>24700</v>
          </cell>
          <cell r="I282">
            <v>6743500</v>
          </cell>
          <cell r="J282">
            <v>26.5</v>
          </cell>
        </row>
        <row r="283">
          <cell r="C283">
            <v>52000</v>
          </cell>
          <cell r="D283">
            <v>202952.3681813234</v>
          </cell>
          <cell r="E283">
            <v>0</v>
          </cell>
          <cell r="F283">
            <v>7350571.2385828113</v>
          </cell>
          <cell r="G283">
            <v>518595</v>
          </cell>
          <cell r="H283">
            <v>24700</v>
          </cell>
          <cell r="I283">
            <v>6807300</v>
          </cell>
          <cell r="J283">
            <v>26.845833333333335</v>
          </cell>
        </row>
        <row r="284">
          <cell r="C284">
            <v>52009</v>
          </cell>
          <cell r="D284">
            <v>151635.89577570814</v>
          </cell>
          <cell r="E284">
            <v>0</v>
          </cell>
          <cell r="F284">
            <v>6783395.4317968078</v>
          </cell>
          <cell r="G284">
            <v>518595</v>
          </cell>
          <cell r="H284">
            <v>24700</v>
          </cell>
          <cell r="I284">
            <v>6240100</v>
          </cell>
          <cell r="J284">
            <v>25</v>
          </cell>
        </row>
        <row r="285">
          <cell r="C285">
            <v>52043</v>
          </cell>
          <cell r="D285">
            <v>443405.11700804101</v>
          </cell>
          <cell r="E285">
            <v>-275400</v>
          </cell>
          <cell r="F285">
            <v>6047337.2932066452</v>
          </cell>
          <cell r="G285">
            <v>518595</v>
          </cell>
          <cell r="H285">
            <v>24700</v>
          </cell>
          <cell r="I285">
            <v>5504000</v>
          </cell>
          <cell r="J285">
            <v>27</v>
          </cell>
        </row>
        <row r="286">
          <cell r="C286">
            <v>52088</v>
          </cell>
          <cell r="D286">
            <v>420088.49734106543</v>
          </cell>
          <cell r="E286">
            <v>-275400</v>
          </cell>
          <cell r="F286">
            <v>6447243.7627844959</v>
          </cell>
          <cell r="G286">
            <v>518595</v>
          </cell>
          <cell r="H286">
            <v>24700</v>
          </cell>
          <cell r="I286">
            <v>5903900</v>
          </cell>
          <cell r="J286">
            <v>27</v>
          </cell>
        </row>
        <row r="287">
          <cell r="C287">
            <v>52112</v>
          </cell>
          <cell r="D287">
            <v>417719.06991439464</v>
          </cell>
          <cell r="E287">
            <v>-265200</v>
          </cell>
          <cell r="F287">
            <v>5539403.0733764749</v>
          </cell>
          <cell r="G287">
            <v>518595</v>
          </cell>
          <cell r="H287">
            <v>24700</v>
          </cell>
          <cell r="I287">
            <v>4996100</v>
          </cell>
          <cell r="J287">
            <v>26</v>
          </cell>
        </row>
        <row r="288">
          <cell r="C288">
            <v>52139</v>
          </cell>
          <cell r="D288">
            <v>213672.71699788471</v>
          </cell>
          <cell r="E288">
            <v>-469200</v>
          </cell>
          <cell r="F288">
            <v>5107557.5968695944</v>
          </cell>
          <cell r="G288">
            <v>518595</v>
          </cell>
          <cell r="H288">
            <v>24700</v>
          </cell>
          <cell r="I288">
            <v>4564300</v>
          </cell>
          <cell r="J288">
            <v>23</v>
          </cell>
        </row>
        <row r="289">
          <cell r="C289">
            <v>52147</v>
          </cell>
          <cell r="D289">
            <v>224390.93630799669</v>
          </cell>
          <cell r="E289">
            <v>0</v>
          </cell>
          <cell r="F289">
            <v>7430836.9266529325</v>
          </cell>
          <cell r="G289">
            <v>518595</v>
          </cell>
          <cell r="H289">
            <v>24700</v>
          </cell>
          <cell r="I289">
            <v>6887500</v>
          </cell>
          <cell r="J289">
            <v>27.5</v>
          </cell>
        </row>
        <row r="290">
          <cell r="C290">
            <v>52177</v>
          </cell>
          <cell r="D290">
            <v>166379.3086660585</v>
          </cell>
          <cell r="E290">
            <v>0</v>
          </cell>
          <cell r="F290">
            <v>6853051.7241086625</v>
          </cell>
          <cell r="G290">
            <v>518595</v>
          </cell>
          <cell r="H290">
            <v>24700</v>
          </cell>
          <cell r="I290">
            <v>6309800</v>
          </cell>
          <cell r="J290">
            <v>26.1875</v>
          </cell>
        </row>
        <row r="291">
          <cell r="C291">
            <v>10268</v>
          </cell>
          <cell r="D291">
            <v>219835.57101638516</v>
          </cell>
          <cell r="E291">
            <v>0</v>
          </cell>
          <cell r="F291">
            <v>6322185.5946431514</v>
          </cell>
          <cell r="H291">
            <v>0</v>
          </cell>
          <cell r="I291">
            <v>6322200</v>
          </cell>
          <cell r="J291">
            <v>27</v>
          </cell>
        </row>
        <row r="292">
          <cell r="C292">
            <v>10213</v>
          </cell>
          <cell r="D292">
            <v>176865.18842987367</v>
          </cell>
          <cell r="E292">
            <v>0</v>
          </cell>
          <cell r="F292">
            <v>6774101.5500949929</v>
          </cell>
          <cell r="H292">
            <v>0</v>
          </cell>
          <cell r="I292">
            <v>6774100</v>
          </cell>
          <cell r="J292">
            <v>27</v>
          </cell>
        </row>
        <row r="293">
          <cell r="C293">
            <v>50137</v>
          </cell>
          <cell r="D293">
            <v>92744.742041427991</v>
          </cell>
          <cell r="E293">
            <v>-565250</v>
          </cell>
          <cell r="F293">
            <v>5057398.1036349675</v>
          </cell>
          <cell r="G293">
            <v>518595</v>
          </cell>
          <cell r="H293">
            <v>24700</v>
          </cell>
          <cell r="I293">
            <v>4514100</v>
          </cell>
          <cell r="J293">
            <v>16.625</v>
          </cell>
        </row>
        <row r="294">
          <cell r="C294">
            <v>50034</v>
          </cell>
          <cell r="D294">
            <v>223397.89997613794</v>
          </cell>
          <cell r="E294">
            <v>0</v>
          </cell>
          <cell r="F294">
            <v>7494531.901033124</v>
          </cell>
          <cell r="G294">
            <v>518595</v>
          </cell>
          <cell r="H294">
            <v>25000</v>
          </cell>
          <cell r="I294">
            <v>6950900</v>
          </cell>
          <cell r="J294">
            <v>27</v>
          </cell>
        </row>
        <row r="295">
          <cell r="C295">
            <v>50265</v>
          </cell>
          <cell r="D295">
            <v>144477.22906339512</v>
          </cell>
          <cell r="E295">
            <v>-270300</v>
          </cell>
          <cell r="F295">
            <v>7306650.0072542587</v>
          </cell>
          <cell r="G295">
            <v>518595</v>
          </cell>
          <cell r="H295">
            <v>24700</v>
          </cell>
          <cell r="I295">
            <v>6763400</v>
          </cell>
          <cell r="J295">
            <v>26.5</v>
          </cell>
        </row>
        <row r="296">
          <cell r="C296">
            <v>50292</v>
          </cell>
          <cell r="D296">
            <v>0</v>
          </cell>
          <cell r="E296">
            <v>0</v>
          </cell>
          <cell r="F296">
            <v>8256220.7388564413</v>
          </cell>
          <cell r="G296">
            <v>518595</v>
          </cell>
          <cell r="H296">
            <v>24700</v>
          </cell>
          <cell r="I296">
            <v>7712900</v>
          </cell>
          <cell r="J296">
            <v>27.5</v>
          </cell>
        </row>
        <row r="297">
          <cell r="C297">
            <v>51923</v>
          </cell>
          <cell r="D297">
            <v>302429.51282648451</v>
          </cell>
          <cell r="E297">
            <v>-273168.75</v>
          </cell>
          <cell r="F297">
            <v>6800844.7280803742</v>
          </cell>
          <cell r="G297">
            <v>518595</v>
          </cell>
          <cell r="H297">
            <v>24700</v>
          </cell>
          <cell r="I297">
            <v>6257500</v>
          </cell>
          <cell r="J297">
            <v>27.28125</v>
          </cell>
        </row>
        <row r="298">
          <cell r="C298">
            <v>51981</v>
          </cell>
          <cell r="D298">
            <v>310613.80756101198</v>
          </cell>
          <cell r="E298">
            <v>-275400</v>
          </cell>
          <cell r="F298">
            <v>6746953.168663118</v>
          </cell>
          <cell r="G298">
            <v>518595</v>
          </cell>
          <cell r="H298">
            <v>24700</v>
          </cell>
          <cell r="I298">
            <v>6203700</v>
          </cell>
          <cell r="J298">
            <v>27</v>
          </cell>
        </row>
        <row r="299">
          <cell r="C299">
            <v>52054</v>
          </cell>
          <cell r="D299">
            <v>241522.28555531957</v>
          </cell>
          <cell r="E299">
            <v>0</v>
          </cell>
          <cell r="F299">
            <v>7285491.5567955803</v>
          </cell>
          <cell r="G299">
            <v>518595</v>
          </cell>
          <cell r="H299">
            <v>24700</v>
          </cell>
          <cell r="I299">
            <v>6742200</v>
          </cell>
          <cell r="J299">
            <v>27.5</v>
          </cell>
        </row>
        <row r="300">
          <cell r="C300">
            <v>52072</v>
          </cell>
          <cell r="D300">
            <v>0</v>
          </cell>
          <cell r="E300">
            <v>-272000</v>
          </cell>
          <cell r="F300">
            <v>2067404.7939360901</v>
          </cell>
          <cell r="G300">
            <v>0</v>
          </cell>
          <cell r="H300">
            <v>24700</v>
          </cell>
          <cell r="I300">
            <v>2042700</v>
          </cell>
          <cell r="J300">
            <v>8</v>
          </cell>
        </row>
        <row r="301">
          <cell r="C301">
            <v>52178</v>
          </cell>
          <cell r="D301">
            <v>275069.47803990776</v>
          </cell>
          <cell r="E301">
            <v>-252768.75</v>
          </cell>
          <cell r="F301">
            <v>6176799.8890640363</v>
          </cell>
          <cell r="G301">
            <v>518595</v>
          </cell>
          <cell r="H301">
            <v>24700</v>
          </cell>
          <cell r="I301">
            <v>5633500</v>
          </cell>
          <cell r="J301">
            <v>25.28125</v>
          </cell>
        </row>
        <row r="302">
          <cell r="C302">
            <v>52211</v>
          </cell>
          <cell r="D302">
            <v>120660.88375452432</v>
          </cell>
          <cell r="E302">
            <v>-610725</v>
          </cell>
          <cell r="F302">
            <v>3567282.1724543753</v>
          </cell>
          <cell r="H302">
            <v>0</v>
          </cell>
          <cell r="I302">
            <v>3567300</v>
          </cell>
          <cell r="J302">
            <v>18.462499999999999</v>
          </cell>
        </row>
        <row r="303">
          <cell r="C303">
            <v>10354</v>
          </cell>
          <cell r="D303">
            <v>212663.92120250539</v>
          </cell>
          <cell r="E303">
            <v>0</v>
          </cell>
          <cell r="F303">
            <v>6684265.4479309442</v>
          </cell>
          <cell r="H303">
            <v>0</v>
          </cell>
          <cell r="I303">
            <v>6684300</v>
          </cell>
          <cell r="J303">
            <v>27</v>
          </cell>
        </row>
        <row r="304">
          <cell r="C304">
            <v>10350</v>
          </cell>
          <cell r="D304">
            <v>283808.87437170447</v>
          </cell>
          <cell r="E304">
            <v>-257975</v>
          </cell>
          <cell r="F304">
            <v>5131381.1582239186</v>
          </cell>
          <cell r="H304">
            <v>0</v>
          </cell>
          <cell r="I304">
            <v>5131400</v>
          </cell>
          <cell r="J304">
            <v>25.291666666666668</v>
          </cell>
        </row>
        <row r="305">
          <cell r="C305">
            <v>10349</v>
          </cell>
          <cell r="D305">
            <v>187810.14252460617</v>
          </cell>
          <cell r="E305">
            <v>0</v>
          </cell>
          <cell r="F305">
            <v>6205522.9378107963</v>
          </cell>
          <cell r="H305">
            <v>0</v>
          </cell>
          <cell r="I305">
            <v>6205500</v>
          </cell>
          <cell r="J305">
            <v>27</v>
          </cell>
        </row>
        <row r="306">
          <cell r="C306">
            <v>10345</v>
          </cell>
          <cell r="D306">
            <v>273812.3449105827</v>
          </cell>
          <cell r="E306">
            <v>-275400</v>
          </cell>
          <cell r="F306">
            <v>5352504.5518067125</v>
          </cell>
          <cell r="H306">
            <v>0</v>
          </cell>
          <cell r="I306">
            <v>5352500</v>
          </cell>
          <cell r="J306">
            <v>27</v>
          </cell>
        </row>
        <row r="307">
          <cell r="C307">
            <v>10343</v>
          </cell>
          <cell r="D307">
            <v>254933.67075586732</v>
          </cell>
          <cell r="E307">
            <v>0</v>
          </cell>
          <cell r="F307">
            <v>5462373.9076041924</v>
          </cell>
          <cell r="H307">
            <v>0</v>
          </cell>
          <cell r="I307">
            <v>5462400</v>
          </cell>
          <cell r="J307">
            <v>25.5</v>
          </cell>
        </row>
        <row r="308">
          <cell r="C308">
            <v>10338</v>
          </cell>
          <cell r="D308">
            <v>257113.08707368263</v>
          </cell>
          <cell r="E308">
            <v>0</v>
          </cell>
          <cell r="F308">
            <v>6515676.6041635675</v>
          </cell>
          <cell r="H308">
            <v>0</v>
          </cell>
          <cell r="I308">
            <v>6515700</v>
          </cell>
          <cell r="J308">
            <v>27</v>
          </cell>
        </row>
        <row r="309">
          <cell r="C309">
            <v>10336</v>
          </cell>
          <cell r="D309">
            <v>165025.49757452257</v>
          </cell>
          <cell r="E309">
            <v>0</v>
          </cell>
          <cell r="F309">
            <v>6731461.7284302777</v>
          </cell>
          <cell r="H309">
            <v>0</v>
          </cell>
          <cell r="I309">
            <v>6731500</v>
          </cell>
          <cell r="J309">
            <v>27</v>
          </cell>
        </row>
        <row r="310">
          <cell r="C310">
            <v>10327</v>
          </cell>
          <cell r="D310">
            <v>42294.440680871252</v>
          </cell>
          <cell r="E310">
            <v>0</v>
          </cell>
          <cell r="F310">
            <v>7148471.4856496938</v>
          </cell>
          <cell r="H310">
            <v>0</v>
          </cell>
          <cell r="I310">
            <v>7148500</v>
          </cell>
          <cell r="J310">
            <v>27.5</v>
          </cell>
        </row>
        <row r="311">
          <cell r="C311">
            <v>10326</v>
          </cell>
          <cell r="D311">
            <v>135703.6477571284</v>
          </cell>
          <cell r="E311">
            <v>0</v>
          </cell>
          <cell r="F311">
            <v>6901365.0182670765</v>
          </cell>
          <cell r="H311">
            <v>0</v>
          </cell>
          <cell r="I311">
            <v>6901400</v>
          </cell>
          <cell r="J311">
            <v>27.5</v>
          </cell>
        </row>
        <row r="312">
          <cell r="C312">
            <v>50046</v>
          </cell>
          <cell r="D312">
            <v>32176.527735925803</v>
          </cell>
          <cell r="E312">
            <v>0</v>
          </cell>
          <cell r="F312">
            <v>8393806.3542922214</v>
          </cell>
          <cell r="G312">
            <v>518595</v>
          </cell>
          <cell r="H312">
            <v>25000</v>
          </cell>
          <cell r="I312">
            <v>7850200</v>
          </cell>
          <cell r="J312">
            <v>27</v>
          </cell>
        </row>
        <row r="313">
          <cell r="C313">
            <v>50138</v>
          </cell>
          <cell r="D313">
            <v>0</v>
          </cell>
          <cell r="E313">
            <v>0</v>
          </cell>
          <cell r="F313">
            <v>9061000.7176457085</v>
          </cell>
          <cell r="G313">
            <v>518595</v>
          </cell>
          <cell r="H313">
            <v>24700</v>
          </cell>
          <cell r="I313">
            <v>8517700</v>
          </cell>
          <cell r="J313">
            <v>27</v>
          </cell>
        </row>
        <row r="314">
          <cell r="C314">
            <v>50394</v>
          </cell>
          <cell r="D314">
            <v>0</v>
          </cell>
          <cell r="E314">
            <v>0</v>
          </cell>
          <cell r="F314">
            <v>9353455.9474589732</v>
          </cell>
          <cell r="G314">
            <v>518595</v>
          </cell>
          <cell r="H314">
            <v>24700</v>
          </cell>
          <cell r="I314">
            <v>8810200</v>
          </cell>
          <cell r="J314">
            <v>26.7</v>
          </cell>
        </row>
        <row r="315">
          <cell r="C315">
            <v>50628</v>
          </cell>
          <cell r="D315">
            <v>0</v>
          </cell>
          <cell r="E315">
            <v>0</v>
          </cell>
          <cell r="F315">
            <v>8341653.8894203473</v>
          </cell>
          <cell r="G315">
            <v>518595</v>
          </cell>
          <cell r="H315">
            <v>24700</v>
          </cell>
          <cell r="I315">
            <v>7798400</v>
          </cell>
          <cell r="J315">
            <v>25.693750000000001</v>
          </cell>
        </row>
        <row r="316">
          <cell r="C316">
            <v>50788</v>
          </cell>
          <cell r="D316">
            <v>0</v>
          </cell>
          <cell r="E316">
            <v>0</v>
          </cell>
          <cell r="F316">
            <v>8662068.9088902436</v>
          </cell>
          <cell r="G316">
            <v>518595</v>
          </cell>
          <cell r="H316">
            <v>24700</v>
          </cell>
          <cell r="I316">
            <v>8118800</v>
          </cell>
          <cell r="J316">
            <v>27</v>
          </cell>
        </row>
        <row r="317">
          <cell r="C317">
            <v>50998</v>
          </cell>
          <cell r="D317">
            <v>0</v>
          </cell>
          <cell r="E317">
            <v>0</v>
          </cell>
          <cell r="F317">
            <v>8894769.4011727571</v>
          </cell>
          <cell r="G317">
            <v>518595</v>
          </cell>
          <cell r="H317">
            <v>24700</v>
          </cell>
          <cell r="I317">
            <v>8351500</v>
          </cell>
          <cell r="J317">
            <v>27</v>
          </cell>
        </row>
        <row r="318">
          <cell r="C318">
            <v>51440</v>
          </cell>
          <cell r="D318">
            <v>0</v>
          </cell>
          <cell r="E318">
            <v>0</v>
          </cell>
          <cell r="F318">
            <v>8705976.5874540508</v>
          </cell>
          <cell r="G318">
            <v>518595</v>
          </cell>
          <cell r="H318">
            <v>24700</v>
          </cell>
          <cell r="I318">
            <v>8162700</v>
          </cell>
          <cell r="J318">
            <v>27</v>
          </cell>
        </row>
        <row r="319">
          <cell r="C319">
            <v>51548</v>
          </cell>
          <cell r="D319">
            <v>219824.18320201797</v>
          </cell>
          <cell r="E319">
            <v>0</v>
          </cell>
          <cell r="F319">
            <v>7873928.1715477919</v>
          </cell>
          <cell r="G319">
            <v>518595</v>
          </cell>
          <cell r="H319">
            <v>24700</v>
          </cell>
          <cell r="I319">
            <v>7330600</v>
          </cell>
          <cell r="J319">
            <v>27</v>
          </cell>
        </row>
        <row r="320">
          <cell r="C320">
            <v>51586</v>
          </cell>
          <cell r="D320">
            <v>0</v>
          </cell>
          <cell r="E320">
            <v>0</v>
          </cell>
          <cell r="F320">
            <v>8514978.6101454403</v>
          </cell>
          <cell r="G320">
            <v>518595</v>
          </cell>
          <cell r="H320">
            <v>24700</v>
          </cell>
          <cell r="I320">
            <v>7971700</v>
          </cell>
          <cell r="J320">
            <v>26</v>
          </cell>
        </row>
        <row r="321">
          <cell r="C321">
            <v>51707</v>
          </cell>
          <cell r="D321">
            <v>0</v>
          </cell>
          <cell r="E321">
            <v>-270193.75</v>
          </cell>
          <cell r="F321">
            <v>8339712.9552876074</v>
          </cell>
          <cell r="G321">
            <v>518595</v>
          </cell>
          <cell r="H321">
            <v>24700</v>
          </cell>
          <cell r="I321">
            <v>7796400</v>
          </cell>
          <cell r="J321">
            <v>26.489583333333332</v>
          </cell>
        </row>
        <row r="322">
          <cell r="C322">
            <v>51742</v>
          </cell>
          <cell r="D322">
            <v>0</v>
          </cell>
          <cell r="E322">
            <v>0</v>
          </cell>
          <cell r="F322">
            <v>9298581.4903828949</v>
          </cell>
          <cell r="G322">
            <v>518595</v>
          </cell>
          <cell r="H322">
            <v>24700</v>
          </cell>
          <cell r="I322">
            <v>8755300</v>
          </cell>
          <cell r="J322">
            <v>27</v>
          </cell>
        </row>
        <row r="323">
          <cell r="C323">
            <v>52041</v>
          </cell>
          <cell r="D323">
            <v>0</v>
          </cell>
          <cell r="E323">
            <v>0</v>
          </cell>
          <cell r="F323">
            <v>8438033.49177102</v>
          </cell>
          <cell r="G323">
            <v>518595</v>
          </cell>
          <cell r="H323">
            <v>24700</v>
          </cell>
          <cell r="I323">
            <v>7894700</v>
          </cell>
          <cell r="J323">
            <v>27.5</v>
          </cell>
        </row>
        <row r="324">
          <cell r="C324">
            <v>10308</v>
          </cell>
          <cell r="D324">
            <v>177358.04199156153</v>
          </cell>
          <cell r="E324">
            <v>0</v>
          </cell>
          <cell r="F324">
            <v>6650437.8932560841</v>
          </cell>
          <cell r="H324">
            <v>0</v>
          </cell>
          <cell r="I324">
            <v>6650400</v>
          </cell>
          <cell r="J324">
            <v>27</v>
          </cell>
        </row>
        <row r="325">
          <cell r="C325">
            <v>10217</v>
          </cell>
          <cell r="D325">
            <v>0</v>
          </cell>
          <cell r="E325">
            <v>0</v>
          </cell>
          <cell r="F325">
            <v>7132076.3459474817</v>
          </cell>
          <cell r="H325">
            <v>0</v>
          </cell>
          <cell r="I325">
            <v>7132100</v>
          </cell>
          <cell r="J325">
            <v>26</v>
          </cell>
        </row>
        <row r="326">
          <cell r="C326">
            <v>10198</v>
          </cell>
          <cell r="D326">
            <v>246790.03074506184</v>
          </cell>
          <cell r="E326">
            <v>0</v>
          </cell>
          <cell r="F326">
            <v>6473414.7635340439</v>
          </cell>
          <cell r="H326">
            <v>0</v>
          </cell>
          <cell r="I326">
            <v>6473400</v>
          </cell>
          <cell r="J326">
            <v>27</v>
          </cell>
        </row>
        <row r="327">
          <cell r="C327">
            <v>50258</v>
          </cell>
          <cell r="D327">
            <v>168234.73858552921</v>
          </cell>
          <cell r="E327">
            <v>0</v>
          </cell>
          <cell r="F327">
            <v>7475476.3130895654</v>
          </cell>
          <cell r="G327">
            <v>518595</v>
          </cell>
          <cell r="H327">
            <v>25000</v>
          </cell>
          <cell r="I327">
            <v>6931900</v>
          </cell>
          <cell r="J327">
            <v>27</v>
          </cell>
        </row>
        <row r="328">
          <cell r="C328">
            <v>50343</v>
          </cell>
          <cell r="D328">
            <v>221364.6346419504</v>
          </cell>
          <cell r="E328">
            <v>0</v>
          </cell>
          <cell r="F328">
            <v>7188815.350881841</v>
          </cell>
          <cell r="G328">
            <v>518595</v>
          </cell>
          <cell r="H328">
            <v>24700</v>
          </cell>
          <cell r="I328">
            <v>6645500</v>
          </cell>
          <cell r="J328">
            <v>27.5</v>
          </cell>
        </row>
        <row r="329">
          <cell r="C329">
            <v>50427</v>
          </cell>
          <cell r="D329">
            <v>216524.83298072606</v>
          </cell>
          <cell r="E329">
            <v>0</v>
          </cell>
          <cell r="F329">
            <v>7247263.3616347443</v>
          </cell>
          <cell r="G329">
            <v>518595</v>
          </cell>
          <cell r="H329">
            <v>24700</v>
          </cell>
          <cell r="I329">
            <v>6704000</v>
          </cell>
          <cell r="J329">
            <v>27</v>
          </cell>
        </row>
        <row r="330">
          <cell r="C330">
            <v>50697</v>
          </cell>
          <cell r="D330">
            <v>0</v>
          </cell>
          <cell r="E330">
            <v>0</v>
          </cell>
          <cell r="F330">
            <v>7835212.577592073</v>
          </cell>
          <cell r="G330">
            <v>518595</v>
          </cell>
          <cell r="H330">
            <v>24700</v>
          </cell>
          <cell r="I330">
            <v>7291900</v>
          </cell>
          <cell r="J330">
            <v>26</v>
          </cell>
        </row>
        <row r="331">
          <cell r="C331">
            <v>50783</v>
          </cell>
          <cell r="D331">
            <v>198693.51370135567</v>
          </cell>
          <cell r="E331">
            <v>0</v>
          </cell>
          <cell r="F331">
            <v>7339149.6271651639</v>
          </cell>
          <cell r="G331">
            <v>518595</v>
          </cell>
          <cell r="H331">
            <v>24700</v>
          </cell>
          <cell r="I331">
            <v>6795900</v>
          </cell>
          <cell r="J331">
            <v>27.5</v>
          </cell>
        </row>
        <row r="332">
          <cell r="C332">
            <v>51343</v>
          </cell>
          <cell r="D332">
            <v>0</v>
          </cell>
          <cell r="E332">
            <v>0</v>
          </cell>
          <cell r="F332">
            <v>8126548.3513353253</v>
          </cell>
          <cell r="G332">
            <v>518595</v>
          </cell>
          <cell r="H332">
            <v>24700</v>
          </cell>
          <cell r="I332">
            <v>7583300</v>
          </cell>
          <cell r="J332">
            <v>27.5</v>
          </cell>
        </row>
        <row r="333">
          <cell r="C333">
            <v>51474</v>
          </cell>
          <cell r="D333">
            <v>0</v>
          </cell>
          <cell r="E333">
            <v>0</v>
          </cell>
          <cell r="F333">
            <v>8270156.8350337381</v>
          </cell>
          <cell r="G333">
            <v>518595</v>
          </cell>
          <cell r="H333">
            <v>24700</v>
          </cell>
          <cell r="I333">
            <v>7726900</v>
          </cell>
          <cell r="J333">
            <v>27.5</v>
          </cell>
        </row>
        <row r="334">
          <cell r="C334">
            <v>51581</v>
          </cell>
          <cell r="D334">
            <v>177902.07523773593</v>
          </cell>
          <cell r="E334">
            <v>0</v>
          </cell>
          <cell r="F334">
            <v>6699408.6508893566</v>
          </cell>
          <cell r="G334">
            <v>518595</v>
          </cell>
          <cell r="H334">
            <v>24700</v>
          </cell>
          <cell r="I334">
            <v>6156100</v>
          </cell>
          <cell r="J334">
            <v>26</v>
          </cell>
        </row>
        <row r="335">
          <cell r="C335">
            <v>51929</v>
          </cell>
          <cell r="D335">
            <v>255006.03883196303</v>
          </cell>
          <cell r="E335">
            <v>0</v>
          </cell>
          <cell r="F335">
            <v>7294613.9748502644</v>
          </cell>
          <cell r="G335">
            <v>518595</v>
          </cell>
          <cell r="H335">
            <v>24700</v>
          </cell>
          <cell r="I335">
            <v>6751300</v>
          </cell>
          <cell r="J335">
            <v>27</v>
          </cell>
        </row>
        <row r="336">
          <cell r="C336">
            <v>52018</v>
          </cell>
          <cell r="D336">
            <v>0</v>
          </cell>
          <cell r="E336">
            <v>0</v>
          </cell>
          <cell r="F336">
            <v>7429607.7732649473</v>
          </cell>
          <cell r="G336">
            <v>518595</v>
          </cell>
          <cell r="H336">
            <v>24700</v>
          </cell>
          <cell r="I336">
            <v>6886300</v>
          </cell>
          <cell r="J336">
            <v>24.302083333333332</v>
          </cell>
        </row>
        <row r="337">
          <cell r="C337">
            <v>52020</v>
          </cell>
          <cell r="D337">
            <v>70882.841245117976</v>
          </cell>
          <cell r="E337">
            <v>0</v>
          </cell>
          <cell r="F337">
            <v>6977074.9976321664</v>
          </cell>
          <cell r="G337">
            <v>518595</v>
          </cell>
          <cell r="H337">
            <v>24700</v>
          </cell>
          <cell r="I337">
            <v>6433800</v>
          </cell>
          <cell r="J337">
            <v>26.5</v>
          </cell>
        </row>
        <row r="338">
          <cell r="C338">
            <v>52036</v>
          </cell>
          <cell r="D338">
            <v>208529.79694543959</v>
          </cell>
          <cell r="E338">
            <v>0</v>
          </cell>
          <cell r="F338">
            <v>6078629.7138645351</v>
          </cell>
          <cell r="G338">
            <v>518595</v>
          </cell>
          <cell r="H338">
            <v>24700</v>
          </cell>
          <cell r="I338">
            <v>5535300</v>
          </cell>
          <cell r="J338">
            <v>25</v>
          </cell>
        </row>
        <row r="339">
          <cell r="C339">
            <v>52057</v>
          </cell>
          <cell r="D339">
            <v>0</v>
          </cell>
          <cell r="E339">
            <v>0</v>
          </cell>
          <cell r="F339">
            <v>7771335.9756370438</v>
          </cell>
          <cell r="G339">
            <v>518595</v>
          </cell>
          <cell r="H339">
            <v>24700</v>
          </cell>
          <cell r="I339">
            <v>7228000</v>
          </cell>
          <cell r="J339">
            <v>27.5</v>
          </cell>
        </row>
        <row r="340">
          <cell r="C340">
            <v>52116</v>
          </cell>
          <cell r="D340">
            <v>159769.93923688919</v>
          </cell>
          <cell r="E340">
            <v>0</v>
          </cell>
          <cell r="F340">
            <v>6884636.5038705291</v>
          </cell>
          <cell r="G340">
            <v>518595</v>
          </cell>
          <cell r="H340">
            <v>24700</v>
          </cell>
          <cell r="I340">
            <v>6341300</v>
          </cell>
          <cell r="J340">
            <v>26.5</v>
          </cell>
        </row>
        <row r="341">
          <cell r="C341">
            <v>10356</v>
          </cell>
          <cell r="D341">
            <v>133080.03388348699</v>
          </cell>
          <cell r="E341">
            <v>-612000</v>
          </cell>
          <cell r="F341">
            <v>3436664.9464264619</v>
          </cell>
          <cell r="H341">
            <v>0</v>
          </cell>
          <cell r="I341">
            <v>3436700</v>
          </cell>
          <cell r="J341">
            <v>18</v>
          </cell>
        </row>
        <row r="342">
          <cell r="C342">
            <v>10201</v>
          </cell>
          <cell r="D342">
            <v>257335.30803535393</v>
          </cell>
          <cell r="E342">
            <v>-265200</v>
          </cell>
          <cell r="F342">
            <v>5158366.8590135965</v>
          </cell>
          <cell r="H342">
            <v>0</v>
          </cell>
          <cell r="I342">
            <v>5158400</v>
          </cell>
          <cell r="J342">
            <v>26</v>
          </cell>
        </row>
        <row r="343">
          <cell r="C343">
            <v>50089</v>
          </cell>
          <cell r="D343">
            <v>388607.1562967354</v>
          </cell>
          <cell r="E343">
            <v>-254681.25</v>
          </cell>
          <cell r="F343">
            <v>6344525.596280735</v>
          </cell>
          <cell r="G343">
            <v>518595</v>
          </cell>
          <cell r="H343">
            <v>25000</v>
          </cell>
          <cell r="I343">
            <v>5800900</v>
          </cell>
          <cell r="J343">
            <v>24.96875</v>
          </cell>
        </row>
        <row r="344">
          <cell r="C344">
            <v>50198</v>
          </cell>
          <cell r="D344">
            <v>53072.453578781482</v>
          </cell>
          <cell r="E344">
            <v>0</v>
          </cell>
          <cell r="F344">
            <v>7868745.427191006</v>
          </cell>
          <cell r="G344">
            <v>518595</v>
          </cell>
          <cell r="H344">
            <v>24700</v>
          </cell>
          <cell r="I344">
            <v>7325500</v>
          </cell>
          <cell r="J344">
            <v>26</v>
          </cell>
        </row>
        <row r="345">
          <cell r="C345">
            <v>50871</v>
          </cell>
          <cell r="D345">
            <v>165916.6494767761</v>
          </cell>
          <cell r="E345">
            <v>0</v>
          </cell>
          <cell r="F345">
            <v>7406524.2940910393</v>
          </cell>
          <cell r="G345">
            <v>518595</v>
          </cell>
          <cell r="H345">
            <v>24700</v>
          </cell>
          <cell r="I345">
            <v>6863200</v>
          </cell>
          <cell r="J345">
            <v>26.887499999999999</v>
          </cell>
        </row>
        <row r="346">
          <cell r="C346">
            <v>50946</v>
          </cell>
          <cell r="D346">
            <v>0</v>
          </cell>
          <cell r="E346">
            <v>-680000</v>
          </cell>
          <cell r="F346">
            <v>5809417.8563689776</v>
          </cell>
          <cell r="G346">
            <v>518595</v>
          </cell>
          <cell r="H346">
            <v>24700</v>
          </cell>
          <cell r="I346">
            <v>5266100</v>
          </cell>
          <cell r="J346">
            <v>20</v>
          </cell>
        </row>
        <row r="347">
          <cell r="C347">
            <v>50952</v>
          </cell>
          <cell r="D347">
            <v>239499.11944134228</v>
          </cell>
          <cell r="E347">
            <v>0</v>
          </cell>
          <cell r="F347">
            <v>7224802.7930292496</v>
          </cell>
          <cell r="G347">
            <v>518595</v>
          </cell>
          <cell r="H347">
            <v>24700</v>
          </cell>
          <cell r="I347">
            <v>6681500</v>
          </cell>
          <cell r="J347">
            <v>26.270833333333332</v>
          </cell>
        </row>
        <row r="348">
          <cell r="C348">
            <v>51031</v>
          </cell>
          <cell r="D348"/>
          <cell r="E348">
            <v>0</v>
          </cell>
          <cell r="F348">
            <v>7783534.5196647542</v>
          </cell>
          <cell r="G348">
            <v>518595</v>
          </cell>
          <cell r="H348">
            <v>24700</v>
          </cell>
          <cell r="I348">
            <v>7240200</v>
          </cell>
          <cell r="J348">
            <v>26</v>
          </cell>
        </row>
        <row r="349">
          <cell r="C349">
            <v>51140</v>
          </cell>
          <cell r="D349">
            <v>29093.787260699377</v>
          </cell>
          <cell r="E349">
            <v>0</v>
          </cell>
          <cell r="F349">
            <v>8105421.4026409779</v>
          </cell>
          <cell r="G349">
            <v>518595</v>
          </cell>
          <cell r="H349">
            <v>24700</v>
          </cell>
          <cell r="I349">
            <v>7562100</v>
          </cell>
          <cell r="J349">
            <v>27</v>
          </cell>
        </row>
        <row r="350">
          <cell r="C350">
            <v>51230</v>
          </cell>
          <cell r="D350">
            <v>0</v>
          </cell>
          <cell r="E350">
            <v>0</v>
          </cell>
          <cell r="F350">
            <v>9661653.0428962894</v>
          </cell>
          <cell r="G350">
            <v>518595</v>
          </cell>
          <cell r="H350">
            <v>24700</v>
          </cell>
          <cell r="I350">
            <v>9118400</v>
          </cell>
          <cell r="J350">
            <v>27.483333333333334</v>
          </cell>
        </row>
        <row r="351">
          <cell r="C351">
            <v>51324</v>
          </cell>
          <cell r="D351">
            <v>0</v>
          </cell>
          <cell r="E351">
            <v>0</v>
          </cell>
          <cell r="F351">
            <v>8674715.8793926332</v>
          </cell>
          <cell r="G351">
            <v>518595</v>
          </cell>
          <cell r="H351">
            <v>24700</v>
          </cell>
          <cell r="I351">
            <v>8131400</v>
          </cell>
          <cell r="J351">
            <v>26.75</v>
          </cell>
        </row>
        <row r="352">
          <cell r="C352">
            <v>51441</v>
          </cell>
          <cell r="D352">
            <v>292702.3250609556</v>
          </cell>
          <cell r="E352">
            <v>-270300</v>
          </cell>
          <cell r="F352">
            <v>6856433.4933000384</v>
          </cell>
          <cell r="G352">
            <v>518595</v>
          </cell>
          <cell r="H352">
            <v>24700</v>
          </cell>
          <cell r="I352">
            <v>6313100</v>
          </cell>
          <cell r="J352">
            <v>26.5</v>
          </cell>
        </row>
        <row r="353">
          <cell r="C353">
            <v>51613</v>
          </cell>
          <cell r="D353">
            <v>0</v>
          </cell>
          <cell r="E353">
            <v>0</v>
          </cell>
          <cell r="F353">
            <v>9271048.0305943713</v>
          </cell>
          <cell r="G353">
            <v>518595</v>
          </cell>
          <cell r="H353">
            <v>24700</v>
          </cell>
          <cell r="I353">
            <v>8727800</v>
          </cell>
          <cell r="J353">
            <v>27.45</v>
          </cell>
        </row>
        <row r="354">
          <cell r="C354">
            <v>51753</v>
          </cell>
          <cell r="D354">
            <v>0</v>
          </cell>
          <cell r="E354">
            <v>0</v>
          </cell>
          <cell r="F354">
            <v>9247011.1056548227</v>
          </cell>
          <cell r="G354">
            <v>518595</v>
          </cell>
          <cell r="H354">
            <v>24700</v>
          </cell>
          <cell r="I354">
            <v>8703700</v>
          </cell>
          <cell r="J354">
            <v>26.429166666666667</v>
          </cell>
        </row>
        <row r="355">
          <cell r="C355">
            <v>51922</v>
          </cell>
          <cell r="D355">
            <v>93535.512876761961</v>
          </cell>
          <cell r="E355">
            <v>0</v>
          </cell>
          <cell r="F355">
            <v>7388747.7215192858</v>
          </cell>
          <cell r="G355">
            <v>518595</v>
          </cell>
          <cell r="H355">
            <v>24700</v>
          </cell>
          <cell r="I355">
            <v>6845500</v>
          </cell>
          <cell r="J355">
            <v>26.875</v>
          </cell>
        </row>
        <row r="356">
          <cell r="C356">
            <v>52105</v>
          </cell>
          <cell r="D356">
            <v>0</v>
          </cell>
          <cell r="E356">
            <v>0</v>
          </cell>
          <cell r="F356">
            <v>8374368.809982446</v>
          </cell>
          <cell r="G356">
            <v>518595</v>
          </cell>
          <cell r="H356">
            <v>24700</v>
          </cell>
          <cell r="I356">
            <v>7831100</v>
          </cell>
          <cell r="J356">
            <v>27.5</v>
          </cell>
        </row>
        <row r="357">
          <cell r="C357">
            <v>10352</v>
          </cell>
          <cell r="D357">
            <v>0</v>
          </cell>
          <cell r="E357">
            <v>0</v>
          </cell>
          <cell r="F357">
            <v>7233892.9996885275</v>
          </cell>
          <cell r="H357">
            <v>0</v>
          </cell>
          <cell r="I357">
            <v>7233900</v>
          </cell>
          <cell r="J357">
            <v>27</v>
          </cell>
        </row>
        <row r="358">
          <cell r="C358">
            <v>10286</v>
          </cell>
          <cell r="D358">
            <v>0</v>
          </cell>
          <cell r="E358">
            <v>-646000</v>
          </cell>
          <cell r="F358">
            <v>4556781.2458233964</v>
          </cell>
          <cell r="H358">
            <v>0</v>
          </cell>
          <cell r="I358">
            <v>4556800</v>
          </cell>
          <cell r="J358">
            <v>19.5</v>
          </cell>
        </row>
        <row r="359">
          <cell r="C359">
            <v>50101</v>
          </cell>
          <cell r="D359">
            <v>366630.84115351544</v>
          </cell>
          <cell r="E359">
            <v>-265200</v>
          </cell>
          <cell r="F359">
            <v>6506104.7596591124</v>
          </cell>
          <cell r="G359">
            <v>518595</v>
          </cell>
          <cell r="H359">
            <v>25000</v>
          </cell>
          <cell r="I359">
            <v>5962500</v>
          </cell>
          <cell r="J359">
            <v>26.5</v>
          </cell>
        </row>
        <row r="360">
          <cell r="C360">
            <v>50404</v>
          </cell>
          <cell r="D360">
            <v>124951.67939506279</v>
          </cell>
          <cell r="E360">
            <v>-254893.75</v>
          </cell>
          <cell r="F360">
            <v>6447871.4219287708</v>
          </cell>
          <cell r="G360">
            <v>518595</v>
          </cell>
          <cell r="H360">
            <v>24700</v>
          </cell>
          <cell r="I360">
            <v>5904600</v>
          </cell>
          <cell r="J360">
            <v>25.489583333333332</v>
          </cell>
        </row>
        <row r="361">
          <cell r="C361">
            <v>50872</v>
          </cell>
          <cell r="D361">
            <v>10483.206884372368</v>
          </cell>
          <cell r="E361">
            <v>0</v>
          </cell>
          <cell r="F361">
            <v>8016468.612252865</v>
          </cell>
          <cell r="G361">
            <v>518595</v>
          </cell>
          <cell r="H361">
            <v>24700</v>
          </cell>
          <cell r="I361">
            <v>7473200</v>
          </cell>
          <cell r="J361">
            <v>26.5</v>
          </cell>
        </row>
        <row r="362">
          <cell r="C362">
            <v>50879</v>
          </cell>
          <cell r="D362">
            <v>359748.93193741358</v>
          </cell>
          <cell r="E362">
            <v>-275400</v>
          </cell>
          <cell r="F362">
            <v>7031049.3580339113</v>
          </cell>
          <cell r="G362">
            <v>518595</v>
          </cell>
          <cell r="H362">
            <v>24700</v>
          </cell>
          <cell r="I362">
            <v>6487800</v>
          </cell>
          <cell r="J362">
            <v>27.5</v>
          </cell>
        </row>
        <row r="363">
          <cell r="C363">
            <v>50882</v>
          </cell>
          <cell r="D363">
            <v>192478.79396951321</v>
          </cell>
          <cell r="E363">
            <v>0</v>
          </cell>
          <cell r="F363">
            <v>7838843.1853991514</v>
          </cell>
          <cell r="G363">
            <v>518595</v>
          </cell>
          <cell r="H363">
            <v>24700</v>
          </cell>
          <cell r="I363">
            <v>7295500</v>
          </cell>
          <cell r="J363">
            <v>27.5</v>
          </cell>
        </row>
        <row r="364">
          <cell r="C364">
            <v>51317</v>
          </cell>
          <cell r="D364">
            <v>140167.41599869711</v>
          </cell>
          <cell r="E364">
            <v>0</v>
          </cell>
          <cell r="F364">
            <v>7901411.8145039082</v>
          </cell>
          <cell r="G364">
            <v>518595</v>
          </cell>
          <cell r="H364">
            <v>24700</v>
          </cell>
          <cell r="I364">
            <v>7358100</v>
          </cell>
          <cell r="J364">
            <v>27</v>
          </cell>
        </row>
        <row r="365">
          <cell r="C365">
            <v>51521</v>
          </cell>
          <cell r="D365">
            <v>115362.3185169776</v>
          </cell>
          <cell r="E365">
            <v>0</v>
          </cell>
          <cell r="F365">
            <v>7808760.7843561098</v>
          </cell>
          <cell r="G365">
            <v>518595</v>
          </cell>
          <cell r="H365">
            <v>24700</v>
          </cell>
          <cell r="I365">
            <v>7265500</v>
          </cell>
          <cell r="J365">
            <v>25</v>
          </cell>
        </row>
        <row r="366">
          <cell r="C366">
            <v>51655</v>
          </cell>
          <cell r="D366">
            <v>234628.85951222855</v>
          </cell>
          <cell r="E366">
            <v>0</v>
          </cell>
          <cell r="F366">
            <v>7021968.0363137415</v>
          </cell>
          <cell r="G366">
            <v>518595</v>
          </cell>
          <cell r="H366">
            <v>24700</v>
          </cell>
          <cell r="I366">
            <v>6478700</v>
          </cell>
          <cell r="J366">
            <v>26.5</v>
          </cell>
        </row>
        <row r="367">
          <cell r="C367">
            <v>51704</v>
          </cell>
          <cell r="D367">
            <v>346344.30324761616</v>
          </cell>
          <cell r="E367">
            <v>-275400</v>
          </cell>
          <cell r="F367">
            <v>6832764.085449459</v>
          </cell>
          <cell r="G367">
            <v>518595</v>
          </cell>
          <cell r="H367">
            <v>24700</v>
          </cell>
          <cell r="I367">
            <v>6289500</v>
          </cell>
          <cell r="J367">
            <v>27</v>
          </cell>
        </row>
        <row r="368">
          <cell r="C368">
            <v>51897</v>
          </cell>
          <cell r="D368">
            <v>83220.862566216587</v>
          </cell>
          <cell r="E368">
            <v>0</v>
          </cell>
          <cell r="F368">
            <v>7516434.2146517774</v>
          </cell>
          <cell r="G368">
            <v>518595</v>
          </cell>
          <cell r="H368">
            <v>24700</v>
          </cell>
          <cell r="I368">
            <v>6973100</v>
          </cell>
          <cell r="J368">
            <v>26</v>
          </cell>
        </row>
        <row r="369">
          <cell r="C369">
            <v>51907</v>
          </cell>
          <cell r="D369">
            <v>333125.31627974741</v>
          </cell>
          <cell r="E369">
            <v>-275400</v>
          </cell>
          <cell r="F369">
            <v>6285455.6617376804</v>
          </cell>
          <cell r="G369">
            <v>518595</v>
          </cell>
          <cell r="H369">
            <v>24700</v>
          </cell>
          <cell r="I369">
            <v>5742200</v>
          </cell>
          <cell r="J369">
            <v>26</v>
          </cell>
        </row>
        <row r="370">
          <cell r="C370">
            <v>51911</v>
          </cell>
          <cell r="D370">
            <v>309388.89030991716</v>
          </cell>
          <cell r="E370">
            <v>-275400</v>
          </cell>
          <cell r="F370">
            <v>6964499.0742625548</v>
          </cell>
          <cell r="G370">
            <v>518595</v>
          </cell>
          <cell r="H370">
            <v>24700</v>
          </cell>
          <cell r="I370">
            <v>6421200</v>
          </cell>
          <cell r="J370">
            <v>27</v>
          </cell>
        </row>
        <row r="371">
          <cell r="C371">
            <v>51961</v>
          </cell>
          <cell r="D371">
            <v>237649.90146262402</v>
          </cell>
          <cell r="E371">
            <v>0</v>
          </cell>
          <cell r="F371">
            <v>7111164.2364953179</v>
          </cell>
          <cell r="G371">
            <v>518595</v>
          </cell>
          <cell r="H371">
            <v>24700</v>
          </cell>
          <cell r="I371">
            <v>6567900</v>
          </cell>
          <cell r="J371">
            <v>26.464583333333334</v>
          </cell>
        </row>
        <row r="372">
          <cell r="C372">
            <v>51982</v>
          </cell>
          <cell r="D372">
            <v>163819.361022572</v>
          </cell>
          <cell r="E372">
            <v>0</v>
          </cell>
          <cell r="F372">
            <v>7707509.585201514</v>
          </cell>
          <cell r="G372">
            <v>518595</v>
          </cell>
          <cell r="H372">
            <v>24700</v>
          </cell>
          <cell r="I372">
            <v>7164200</v>
          </cell>
          <cell r="J372">
            <v>27.5</v>
          </cell>
        </row>
        <row r="373">
          <cell r="C373">
            <v>52005</v>
          </cell>
          <cell r="D373">
            <v>316863.33946083451</v>
          </cell>
          <cell r="E373">
            <v>-275400</v>
          </cell>
          <cell r="F373">
            <v>6485082.3373867264</v>
          </cell>
          <cell r="G373">
            <v>518595</v>
          </cell>
          <cell r="H373">
            <v>24700</v>
          </cell>
          <cell r="I373">
            <v>5941800</v>
          </cell>
          <cell r="J373">
            <v>27</v>
          </cell>
        </row>
        <row r="374">
          <cell r="C374">
            <v>52120</v>
          </cell>
          <cell r="D374">
            <v>309990.53040405421</v>
          </cell>
          <cell r="E374">
            <v>-255000</v>
          </cell>
          <cell r="F374">
            <v>6055050.3404117692</v>
          </cell>
          <cell r="G374">
            <v>518595</v>
          </cell>
          <cell r="H374">
            <v>24700</v>
          </cell>
          <cell r="I374">
            <v>5511800</v>
          </cell>
          <cell r="J374">
            <v>25</v>
          </cell>
        </row>
        <row r="375">
          <cell r="C375">
            <v>10313</v>
          </cell>
          <cell r="D375">
            <v>242810.63286132028</v>
          </cell>
          <cell r="E375">
            <v>0</v>
          </cell>
          <cell r="F375">
            <v>6613064.985319173</v>
          </cell>
          <cell r="H375">
            <v>0</v>
          </cell>
          <cell r="I375">
            <v>6613100</v>
          </cell>
          <cell r="J375">
            <v>26.979166666666668</v>
          </cell>
        </row>
        <row r="376">
          <cell r="C376">
            <v>10312</v>
          </cell>
          <cell r="D376">
            <v>185814.45533232411</v>
          </cell>
          <cell r="E376">
            <v>0</v>
          </cell>
          <cell r="F376">
            <v>6385599.0129204066</v>
          </cell>
          <cell r="H376">
            <v>0</v>
          </cell>
          <cell r="I376">
            <v>6385600</v>
          </cell>
          <cell r="J376">
            <v>26.270833333333332</v>
          </cell>
        </row>
        <row r="377">
          <cell r="C377">
            <v>10292</v>
          </cell>
          <cell r="D377">
            <v>201129.1681313806</v>
          </cell>
          <cell r="E377">
            <v>0</v>
          </cell>
          <cell r="F377">
            <v>6350588.4571443181</v>
          </cell>
          <cell r="H377">
            <v>0</v>
          </cell>
          <cell r="I377">
            <v>6350600</v>
          </cell>
          <cell r="J377">
            <v>27</v>
          </cell>
        </row>
        <row r="378">
          <cell r="C378">
            <v>10233</v>
          </cell>
          <cell r="D378">
            <v>121378.53787880734</v>
          </cell>
          <cell r="E378">
            <v>0</v>
          </cell>
          <cell r="F378">
            <v>5137757.148115715</v>
          </cell>
          <cell r="H378">
            <v>0</v>
          </cell>
          <cell r="I378">
            <v>5137800</v>
          </cell>
          <cell r="J378">
            <v>22.5</v>
          </cell>
        </row>
        <row r="379">
          <cell r="C379">
            <v>10163</v>
          </cell>
          <cell r="D379">
            <v>196033.59963533137</v>
          </cell>
          <cell r="E379">
            <v>0</v>
          </cell>
          <cell r="F379">
            <v>6441396.5301538333</v>
          </cell>
          <cell r="H379">
            <v>0</v>
          </cell>
          <cell r="I379">
            <v>6441400</v>
          </cell>
          <cell r="J379">
            <v>27</v>
          </cell>
        </row>
        <row r="380">
          <cell r="C380">
            <v>50364</v>
          </cell>
          <cell r="D380">
            <v>115629.55565977556</v>
          </cell>
          <cell r="E380">
            <v>0</v>
          </cell>
          <cell r="F380">
            <v>8367085.0109052891</v>
          </cell>
          <cell r="G380">
            <v>518595</v>
          </cell>
          <cell r="H380">
            <v>25000</v>
          </cell>
          <cell r="I380">
            <v>7823500</v>
          </cell>
          <cell r="J380">
            <v>27.5</v>
          </cell>
        </row>
        <row r="381">
          <cell r="C381">
            <v>50522</v>
          </cell>
          <cell r="D381">
            <v>108035.10992634599</v>
          </cell>
          <cell r="E381">
            <v>0</v>
          </cell>
          <cell r="F381">
            <v>8206991.3456444237</v>
          </cell>
          <cell r="G381">
            <v>518595</v>
          </cell>
          <cell r="H381">
            <v>24700</v>
          </cell>
          <cell r="I381">
            <v>7663700</v>
          </cell>
          <cell r="J381">
            <v>25.875</v>
          </cell>
        </row>
        <row r="382">
          <cell r="C382">
            <v>50786</v>
          </cell>
          <cell r="D382">
            <v>138966.49820776365</v>
          </cell>
          <cell r="E382">
            <v>0</v>
          </cell>
          <cell r="F382">
            <v>7888440.1325134607</v>
          </cell>
          <cell r="G382">
            <v>518595</v>
          </cell>
          <cell r="H382">
            <v>24700</v>
          </cell>
          <cell r="I382">
            <v>7345100</v>
          </cell>
          <cell r="J382">
            <v>27</v>
          </cell>
        </row>
        <row r="383">
          <cell r="C383">
            <v>51048</v>
          </cell>
          <cell r="D383">
            <v>34149.07704269659</v>
          </cell>
          <cell r="E383">
            <v>0</v>
          </cell>
          <cell r="F383">
            <v>7873890.0760300308</v>
          </cell>
          <cell r="G383">
            <v>518595</v>
          </cell>
          <cell r="H383">
            <v>24700</v>
          </cell>
          <cell r="I383">
            <v>7330600</v>
          </cell>
          <cell r="J383">
            <v>26.5</v>
          </cell>
        </row>
        <row r="384">
          <cell r="C384">
            <v>51340</v>
          </cell>
          <cell r="D384">
            <v>111009.08889353712</v>
          </cell>
          <cell r="E384">
            <v>0</v>
          </cell>
          <cell r="F384">
            <v>7520607.0810757997</v>
          </cell>
          <cell r="G384">
            <v>518595</v>
          </cell>
          <cell r="H384">
            <v>24700</v>
          </cell>
          <cell r="I384">
            <v>6977300</v>
          </cell>
          <cell r="J384">
            <v>26</v>
          </cell>
        </row>
        <row r="385">
          <cell r="C385">
            <v>51373</v>
          </cell>
          <cell r="D385">
            <v>0</v>
          </cell>
          <cell r="E385">
            <v>0</v>
          </cell>
          <cell r="F385">
            <v>8722526.1863743551</v>
          </cell>
          <cell r="G385">
            <v>518595</v>
          </cell>
          <cell r="H385">
            <v>24700</v>
          </cell>
          <cell r="I385">
            <v>8179200</v>
          </cell>
          <cell r="J385">
            <v>27.5</v>
          </cell>
        </row>
        <row r="386">
          <cell r="C386">
            <v>51374</v>
          </cell>
          <cell r="D386">
            <v>64354.775939948333</v>
          </cell>
          <cell r="E386">
            <v>0</v>
          </cell>
          <cell r="F386">
            <v>8157903.3181915516</v>
          </cell>
          <cell r="G386">
            <v>518595</v>
          </cell>
          <cell r="H386">
            <v>24700</v>
          </cell>
          <cell r="I386">
            <v>7614600</v>
          </cell>
          <cell r="J386">
            <v>27.458333333333332</v>
          </cell>
        </row>
        <row r="387">
          <cell r="C387">
            <v>51426</v>
          </cell>
          <cell r="D387">
            <v>122246.96779020416</v>
          </cell>
          <cell r="E387">
            <v>0</v>
          </cell>
          <cell r="F387">
            <v>8173039.2648986187</v>
          </cell>
          <cell r="G387">
            <v>518595</v>
          </cell>
          <cell r="H387">
            <v>24700</v>
          </cell>
          <cell r="I387">
            <v>7629700</v>
          </cell>
          <cell r="J387">
            <v>27.5</v>
          </cell>
        </row>
        <row r="388">
          <cell r="C388">
            <v>51438</v>
          </cell>
          <cell r="D388">
            <v>221945.96844349528</v>
          </cell>
          <cell r="E388">
            <v>0</v>
          </cell>
          <cell r="F388">
            <v>7720694.0658233603</v>
          </cell>
          <cell r="G388">
            <v>518595</v>
          </cell>
          <cell r="H388">
            <v>24700</v>
          </cell>
          <cell r="I388">
            <v>7177400</v>
          </cell>
          <cell r="J388">
            <v>27.5</v>
          </cell>
        </row>
        <row r="389">
          <cell r="C389">
            <v>51493</v>
          </cell>
          <cell r="D389">
            <v>56716.57710820128</v>
          </cell>
          <cell r="E389">
            <v>0</v>
          </cell>
          <cell r="F389">
            <v>8180947.8648292432</v>
          </cell>
          <cell r="G389">
            <v>518595</v>
          </cell>
          <cell r="H389">
            <v>24700</v>
          </cell>
          <cell r="I389">
            <v>7637700</v>
          </cell>
          <cell r="J389">
            <v>27.5</v>
          </cell>
        </row>
        <row r="390">
          <cell r="C390">
            <v>51526</v>
          </cell>
          <cell r="D390">
            <v>254721.06693084459</v>
          </cell>
          <cell r="E390">
            <v>0</v>
          </cell>
          <cell r="F390">
            <v>7537663.1213228507</v>
          </cell>
          <cell r="G390">
            <v>518595</v>
          </cell>
          <cell r="H390">
            <v>24700</v>
          </cell>
          <cell r="I390">
            <v>6994400</v>
          </cell>
          <cell r="J390">
            <v>27.5</v>
          </cell>
        </row>
        <row r="391">
          <cell r="C391">
            <v>51662</v>
          </cell>
          <cell r="D391">
            <v>379776.8265863703</v>
          </cell>
          <cell r="E391">
            <v>-271893.75</v>
          </cell>
          <cell r="F391">
            <v>7043145.027719521</v>
          </cell>
          <cell r="G391">
            <v>518595</v>
          </cell>
          <cell r="H391">
            <v>24700</v>
          </cell>
          <cell r="I391">
            <v>6499900</v>
          </cell>
          <cell r="J391">
            <v>27.15625</v>
          </cell>
        </row>
        <row r="392">
          <cell r="C392">
            <v>51715</v>
          </cell>
          <cell r="D392">
            <v>109363.84592536557</v>
          </cell>
          <cell r="E392">
            <v>-265200</v>
          </cell>
          <cell r="F392">
            <v>7060630.4039974073</v>
          </cell>
          <cell r="G392">
            <v>518595</v>
          </cell>
          <cell r="H392">
            <v>24700</v>
          </cell>
          <cell r="I392">
            <v>6517300</v>
          </cell>
          <cell r="J392">
            <v>26</v>
          </cell>
        </row>
        <row r="393">
          <cell r="C393">
            <v>51808</v>
          </cell>
          <cell r="D393">
            <v>0</v>
          </cell>
          <cell r="E393">
            <v>0</v>
          </cell>
          <cell r="F393">
            <v>8779275.3723248318</v>
          </cell>
          <cell r="G393">
            <v>518595</v>
          </cell>
          <cell r="H393">
            <v>24700</v>
          </cell>
          <cell r="I393">
            <v>8236000</v>
          </cell>
          <cell r="J393">
            <v>27.5</v>
          </cell>
        </row>
        <row r="394">
          <cell r="C394">
            <v>52135</v>
          </cell>
          <cell r="D394">
            <v>0</v>
          </cell>
          <cell r="E394">
            <v>0</v>
          </cell>
          <cell r="F394">
            <v>8380784.7299251715</v>
          </cell>
          <cell r="H394">
            <v>0</v>
          </cell>
          <cell r="I394">
            <v>8380800</v>
          </cell>
          <cell r="J394">
            <v>27.375</v>
          </cell>
        </row>
        <row r="395">
          <cell r="C395">
            <v>52154</v>
          </cell>
          <cell r="D395">
            <v>492239.21649488591</v>
          </cell>
          <cell r="E395">
            <v>-265200</v>
          </cell>
          <cell r="F395">
            <v>4751626.8216691893</v>
          </cell>
          <cell r="H395">
            <v>0</v>
          </cell>
          <cell r="I395">
            <v>4751600</v>
          </cell>
          <cell r="J395">
            <v>26.5</v>
          </cell>
        </row>
        <row r="396">
          <cell r="C396">
            <v>52166</v>
          </cell>
          <cell r="D396">
            <v>37301.644751984684</v>
          </cell>
          <cell r="E396">
            <v>0</v>
          </cell>
          <cell r="F396">
            <v>3543246.7306300853</v>
          </cell>
          <cell r="H396">
            <v>0</v>
          </cell>
          <cell r="I396">
            <v>3543200</v>
          </cell>
          <cell r="J396">
            <v>14.966666666666667</v>
          </cell>
        </row>
        <row r="397">
          <cell r="C397">
            <v>10348</v>
          </cell>
          <cell r="D397">
            <v>272794.35461538448</v>
          </cell>
          <cell r="E397">
            <v>-275400</v>
          </cell>
          <cell r="F397">
            <v>5803271.7438461538</v>
          </cell>
          <cell r="H397">
            <v>0</v>
          </cell>
          <cell r="I397">
            <v>5803300</v>
          </cell>
          <cell r="J397">
            <v>27</v>
          </cell>
        </row>
        <row r="398">
          <cell r="C398">
            <v>50289</v>
          </cell>
          <cell r="D398">
            <v>134451.63582202111</v>
          </cell>
          <cell r="E398">
            <v>0</v>
          </cell>
          <cell r="F398">
            <v>7794905.6694570128</v>
          </cell>
          <cell r="G398">
            <v>518595</v>
          </cell>
          <cell r="H398">
            <v>25000</v>
          </cell>
          <cell r="I398">
            <v>7251300</v>
          </cell>
          <cell r="J398">
            <v>27.5</v>
          </cell>
        </row>
        <row r="399">
          <cell r="C399">
            <v>50528</v>
          </cell>
          <cell r="D399">
            <v>332527.85352745338</v>
          </cell>
          <cell r="E399">
            <v>-275400</v>
          </cell>
          <cell r="F399">
            <v>6924343.2423022548</v>
          </cell>
          <cell r="G399">
            <v>518595</v>
          </cell>
          <cell r="H399">
            <v>24700</v>
          </cell>
          <cell r="I399">
            <v>6381000</v>
          </cell>
          <cell r="J399">
            <v>27</v>
          </cell>
        </row>
        <row r="400">
          <cell r="C400">
            <v>50757</v>
          </cell>
          <cell r="D400">
            <v>311692.96000997408</v>
          </cell>
          <cell r="E400">
            <v>-275400</v>
          </cell>
          <cell r="F400">
            <v>6786702.7305470016</v>
          </cell>
          <cell r="G400">
            <v>518595</v>
          </cell>
          <cell r="H400">
            <v>24700</v>
          </cell>
          <cell r="I400">
            <v>6243400</v>
          </cell>
          <cell r="J400">
            <v>27.5</v>
          </cell>
        </row>
        <row r="401">
          <cell r="C401">
            <v>51141</v>
          </cell>
          <cell r="D401">
            <v>20650.510292727791</v>
          </cell>
          <cell r="E401">
            <v>0</v>
          </cell>
          <cell r="F401">
            <v>8101413.4931602776</v>
          </cell>
          <cell r="G401">
            <v>518595</v>
          </cell>
          <cell r="H401">
            <v>24700</v>
          </cell>
          <cell r="I401">
            <v>7558100</v>
          </cell>
          <cell r="J401">
            <v>27.5</v>
          </cell>
        </row>
        <row r="402">
          <cell r="C402">
            <v>51239</v>
          </cell>
          <cell r="D402">
            <v>100940.60183131986</v>
          </cell>
          <cell r="E402">
            <v>0</v>
          </cell>
          <cell r="F402">
            <v>7760586.6079675779</v>
          </cell>
          <cell r="G402">
            <v>518595</v>
          </cell>
          <cell r="H402">
            <v>24700</v>
          </cell>
          <cell r="I402">
            <v>7217300</v>
          </cell>
          <cell r="J402">
            <v>27</v>
          </cell>
        </row>
        <row r="403">
          <cell r="C403">
            <v>51280</v>
          </cell>
          <cell r="D403">
            <v>294692.61104738823</v>
          </cell>
          <cell r="E403">
            <v>-270300</v>
          </cell>
          <cell r="F403">
            <v>7563471.890148432</v>
          </cell>
          <cell r="G403">
            <v>518595</v>
          </cell>
          <cell r="H403">
            <v>24700</v>
          </cell>
          <cell r="I403">
            <v>7020200</v>
          </cell>
          <cell r="J403">
            <v>26.5</v>
          </cell>
        </row>
        <row r="404">
          <cell r="C404">
            <v>51288</v>
          </cell>
          <cell r="D404">
            <v>154933.14128594968</v>
          </cell>
          <cell r="E404">
            <v>0</v>
          </cell>
          <cell r="F404">
            <v>7752138.797295996</v>
          </cell>
          <cell r="G404">
            <v>518595</v>
          </cell>
          <cell r="H404">
            <v>24700</v>
          </cell>
          <cell r="I404">
            <v>7208800</v>
          </cell>
          <cell r="J404">
            <v>27.5</v>
          </cell>
        </row>
        <row r="405">
          <cell r="C405">
            <v>51292</v>
          </cell>
          <cell r="D405">
            <v>470931.93477675808</v>
          </cell>
          <cell r="E405">
            <v>-748000</v>
          </cell>
          <cell r="F405">
            <v>3866006.5535757085</v>
          </cell>
          <cell r="G405">
            <v>518595</v>
          </cell>
          <cell r="H405">
            <v>24700</v>
          </cell>
          <cell r="I405">
            <v>3322700</v>
          </cell>
          <cell r="J405">
            <v>22</v>
          </cell>
        </row>
        <row r="406">
          <cell r="C406">
            <v>51302</v>
          </cell>
          <cell r="D406">
            <v>0</v>
          </cell>
          <cell r="E406">
            <v>0</v>
          </cell>
          <cell r="F406">
            <v>8261778.1548731271</v>
          </cell>
          <cell r="G406">
            <v>518595</v>
          </cell>
          <cell r="H406">
            <v>24700</v>
          </cell>
          <cell r="I406">
            <v>7718500</v>
          </cell>
          <cell r="J406">
            <v>27.5</v>
          </cell>
        </row>
        <row r="407">
          <cell r="C407">
            <v>51336</v>
          </cell>
          <cell r="D407">
            <v>267902.44497712085</v>
          </cell>
          <cell r="E407">
            <v>0</v>
          </cell>
          <cell r="F407">
            <v>6763561.3424190646</v>
          </cell>
          <cell r="G407">
            <v>518595</v>
          </cell>
          <cell r="H407">
            <v>24700</v>
          </cell>
          <cell r="I407">
            <v>6220300</v>
          </cell>
          <cell r="J407">
            <v>26</v>
          </cell>
        </row>
        <row r="408">
          <cell r="C408">
            <v>51349</v>
          </cell>
          <cell r="D408">
            <v>134234.34182977892</v>
          </cell>
          <cell r="E408">
            <v>0</v>
          </cell>
          <cell r="F408">
            <v>7719474.7389337402</v>
          </cell>
          <cell r="G408">
            <v>518595</v>
          </cell>
          <cell r="H408">
            <v>24700</v>
          </cell>
          <cell r="I408">
            <v>7176200</v>
          </cell>
          <cell r="J408">
            <v>27</v>
          </cell>
        </row>
        <row r="409">
          <cell r="C409">
            <v>51624</v>
          </cell>
          <cell r="D409">
            <v>105036.57102175275</v>
          </cell>
          <cell r="E409">
            <v>0</v>
          </cell>
          <cell r="F409">
            <v>7692958.6763578188</v>
          </cell>
          <cell r="G409">
            <v>518595</v>
          </cell>
          <cell r="H409">
            <v>24700</v>
          </cell>
          <cell r="I409">
            <v>7149700</v>
          </cell>
          <cell r="J409">
            <v>27</v>
          </cell>
        </row>
        <row r="410">
          <cell r="C410">
            <v>51845</v>
          </cell>
          <cell r="D410">
            <v>248670.8653672653</v>
          </cell>
          <cell r="E410">
            <v>0</v>
          </cell>
          <cell r="F410">
            <v>6525245.2003725637</v>
          </cell>
          <cell r="G410">
            <v>518595</v>
          </cell>
          <cell r="H410">
            <v>24700</v>
          </cell>
          <cell r="I410">
            <v>5982000</v>
          </cell>
          <cell r="J410">
            <v>24.5</v>
          </cell>
        </row>
        <row r="411">
          <cell r="C411">
            <v>51874</v>
          </cell>
          <cell r="D411">
            <v>185521.86927661503</v>
          </cell>
          <cell r="E411">
            <v>0</v>
          </cell>
          <cell r="F411">
            <v>7245544.8667071927</v>
          </cell>
          <cell r="G411">
            <v>518595</v>
          </cell>
          <cell r="H411">
            <v>24700</v>
          </cell>
          <cell r="I411">
            <v>6702200</v>
          </cell>
          <cell r="J411">
            <v>27.083333333333332</v>
          </cell>
        </row>
        <row r="412">
          <cell r="C412">
            <v>51953</v>
          </cell>
          <cell r="D412">
            <v>353845.55533038737</v>
          </cell>
          <cell r="E412">
            <v>-234600</v>
          </cell>
          <cell r="F412">
            <v>5526979.192449009</v>
          </cell>
          <cell r="G412">
            <v>518595</v>
          </cell>
          <cell r="H412">
            <v>24700</v>
          </cell>
          <cell r="I412">
            <v>4983700</v>
          </cell>
          <cell r="J412">
            <v>23</v>
          </cell>
        </row>
        <row r="413">
          <cell r="C413">
            <v>52087</v>
          </cell>
          <cell r="D413">
            <v>416064.21715891815</v>
          </cell>
          <cell r="E413">
            <v>-275400</v>
          </cell>
          <cell r="F413">
            <v>5884236.4350617062</v>
          </cell>
          <cell r="G413">
            <v>518595</v>
          </cell>
          <cell r="H413">
            <v>24700</v>
          </cell>
          <cell r="I413">
            <v>5340900</v>
          </cell>
          <cell r="J413">
            <v>27</v>
          </cell>
        </row>
        <row r="414">
          <cell r="C414">
            <v>52117</v>
          </cell>
          <cell r="D414">
            <v>71418.033101221023</v>
          </cell>
          <cell r="E414">
            <v>0</v>
          </cell>
          <cell r="F414">
            <v>7604769.6186450552</v>
          </cell>
          <cell r="G414">
            <v>518595</v>
          </cell>
          <cell r="H414">
            <v>24700</v>
          </cell>
          <cell r="I414">
            <v>7061500</v>
          </cell>
          <cell r="J414">
            <v>27.125</v>
          </cell>
        </row>
        <row r="415">
          <cell r="C415">
            <v>52195</v>
          </cell>
          <cell r="D415">
            <v>251571.58754042958</v>
          </cell>
          <cell r="E415">
            <v>0</v>
          </cell>
          <cell r="F415">
            <v>5526802.7320368309</v>
          </cell>
          <cell r="H415">
            <v>0</v>
          </cell>
          <cell r="I415">
            <v>5526800</v>
          </cell>
          <cell r="J415">
            <v>26</v>
          </cell>
        </row>
        <row r="416">
          <cell r="C416">
            <v>10226</v>
          </cell>
          <cell r="D416">
            <v>241055.21508305884</v>
          </cell>
          <cell r="E416">
            <v>0</v>
          </cell>
          <cell r="F416">
            <v>6050739.4028277453</v>
          </cell>
          <cell r="H416">
            <v>0</v>
          </cell>
          <cell r="I416">
            <v>6050700</v>
          </cell>
          <cell r="J416">
            <v>27</v>
          </cell>
        </row>
        <row r="417">
          <cell r="C417">
            <v>50062</v>
          </cell>
          <cell r="D417">
            <v>129391.47173756652</v>
          </cell>
          <cell r="E417">
            <v>0</v>
          </cell>
          <cell r="F417">
            <v>7852693.6136334538</v>
          </cell>
          <cell r="G417">
            <v>518595</v>
          </cell>
          <cell r="H417">
            <v>25000</v>
          </cell>
          <cell r="I417">
            <v>7309100</v>
          </cell>
          <cell r="J417">
            <v>27</v>
          </cell>
        </row>
        <row r="418">
          <cell r="C418">
            <v>50136</v>
          </cell>
          <cell r="D418">
            <v>133677.84257296834</v>
          </cell>
          <cell r="E418">
            <v>0</v>
          </cell>
          <cell r="F418">
            <v>8192626.9290118637</v>
          </cell>
          <cell r="G418">
            <v>518595</v>
          </cell>
          <cell r="H418">
            <v>24700</v>
          </cell>
          <cell r="I418">
            <v>7649300</v>
          </cell>
          <cell r="J418">
            <v>27</v>
          </cell>
        </row>
        <row r="419">
          <cell r="C419">
            <v>50252</v>
          </cell>
          <cell r="D419">
            <v>0</v>
          </cell>
          <cell r="E419">
            <v>0</v>
          </cell>
          <cell r="F419">
            <v>8094246.3438836029</v>
          </cell>
          <cell r="G419">
            <v>518595</v>
          </cell>
          <cell r="H419">
            <v>24700</v>
          </cell>
          <cell r="I419">
            <v>7551000</v>
          </cell>
          <cell r="J419">
            <v>26.583333333333332</v>
          </cell>
        </row>
        <row r="420">
          <cell r="C420">
            <v>50263</v>
          </cell>
          <cell r="D420">
            <v>58450.601954800135</v>
          </cell>
          <cell r="E420">
            <v>0</v>
          </cell>
          <cell r="F420">
            <v>7831143.1594133768</v>
          </cell>
          <cell r="G420">
            <v>518595</v>
          </cell>
          <cell r="H420">
            <v>24700</v>
          </cell>
          <cell r="I420">
            <v>7287800</v>
          </cell>
          <cell r="J420">
            <v>27.1875</v>
          </cell>
        </row>
        <row r="421">
          <cell r="C421">
            <v>50313</v>
          </cell>
          <cell r="D421">
            <v>126375.96885625081</v>
          </cell>
          <cell r="E421">
            <v>0</v>
          </cell>
          <cell r="F421">
            <v>7783279.0645850925</v>
          </cell>
          <cell r="G421">
            <v>518595</v>
          </cell>
          <cell r="H421">
            <v>24700</v>
          </cell>
          <cell r="I421">
            <v>7240000</v>
          </cell>
          <cell r="J421">
            <v>27</v>
          </cell>
        </row>
        <row r="422">
          <cell r="C422">
            <v>50773</v>
          </cell>
          <cell r="D422">
            <v>0</v>
          </cell>
          <cell r="E422">
            <v>-275400</v>
          </cell>
          <cell r="F422">
            <v>7821611.3989268551</v>
          </cell>
          <cell r="G422">
            <v>518595</v>
          </cell>
          <cell r="H422">
            <v>24700</v>
          </cell>
          <cell r="I422">
            <v>7278300</v>
          </cell>
          <cell r="J422">
            <v>27</v>
          </cell>
        </row>
        <row r="423">
          <cell r="C423">
            <v>50948</v>
          </cell>
          <cell r="D423">
            <v>21791.048340099049</v>
          </cell>
          <cell r="E423">
            <v>0</v>
          </cell>
          <cell r="F423">
            <v>8014440.5569027802</v>
          </cell>
          <cell r="G423">
            <v>518595</v>
          </cell>
          <cell r="H423">
            <v>24700</v>
          </cell>
          <cell r="I423">
            <v>7471100</v>
          </cell>
          <cell r="J423">
            <v>27</v>
          </cell>
        </row>
        <row r="424">
          <cell r="C424">
            <v>50954</v>
          </cell>
          <cell r="D424"/>
          <cell r="E424">
            <v>0</v>
          </cell>
          <cell r="F424">
            <v>8070946.9176401552</v>
          </cell>
          <cell r="G424">
            <v>518595</v>
          </cell>
          <cell r="H424">
            <v>24700</v>
          </cell>
          <cell r="I424">
            <v>7527700</v>
          </cell>
          <cell r="J424">
            <v>27</v>
          </cell>
        </row>
        <row r="425">
          <cell r="C425">
            <v>51040</v>
          </cell>
          <cell r="D425">
            <v>116264.51142069473</v>
          </cell>
          <cell r="E425">
            <v>-646000</v>
          </cell>
          <cell r="F425">
            <v>4744882.0431951806</v>
          </cell>
          <cell r="G425">
            <v>518595</v>
          </cell>
          <cell r="H425">
            <v>24700</v>
          </cell>
          <cell r="I425">
            <v>4201600</v>
          </cell>
          <cell r="J425">
            <v>19</v>
          </cell>
        </row>
        <row r="426">
          <cell r="C426">
            <v>51237</v>
          </cell>
          <cell r="D426">
            <v>190365.37802764657</v>
          </cell>
          <cell r="E426">
            <v>0</v>
          </cell>
          <cell r="F426">
            <v>7169525.0673059495</v>
          </cell>
          <cell r="G426">
            <v>518595</v>
          </cell>
          <cell r="H426">
            <v>24700</v>
          </cell>
          <cell r="I426">
            <v>6626200</v>
          </cell>
          <cell r="J426">
            <v>26</v>
          </cell>
        </row>
        <row r="427">
          <cell r="C427">
            <v>51238</v>
          </cell>
          <cell r="D427">
            <v>27841.055944763124</v>
          </cell>
          <cell r="E427">
            <v>0</v>
          </cell>
          <cell r="F427">
            <v>8183520.4120120676</v>
          </cell>
          <cell r="G427">
            <v>518595</v>
          </cell>
          <cell r="H427">
            <v>24700</v>
          </cell>
          <cell r="I427">
            <v>7640200</v>
          </cell>
          <cell r="J427">
            <v>25.5</v>
          </cell>
        </row>
        <row r="428">
          <cell r="C428">
            <v>51364</v>
          </cell>
          <cell r="D428">
            <v>184339.25645989325</v>
          </cell>
          <cell r="E428">
            <v>0</v>
          </cell>
          <cell r="F428">
            <v>7801873.4565818589</v>
          </cell>
          <cell r="G428">
            <v>518595</v>
          </cell>
          <cell r="H428">
            <v>24700</v>
          </cell>
          <cell r="I428">
            <v>7258600</v>
          </cell>
          <cell r="J428">
            <v>27</v>
          </cell>
        </row>
        <row r="429">
          <cell r="C429">
            <v>51547</v>
          </cell>
          <cell r="D429">
            <v>233428.62926571089</v>
          </cell>
          <cell r="E429">
            <v>0</v>
          </cell>
          <cell r="F429">
            <v>7454143.9198951749</v>
          </cell>
          <cell r="G429">
            <v>518595</v>
          </cell>
          <cell r="H429">
            <v>24700</v>
          </cell>
          <cell r="I429">
            <v>6910800</v>
          </cell>
          <cell r="J429">
            <v>27</v>
          </cell>
        </row>
        <row r="430">
          <cell r="C430">
            <v>51603</v>
          </cell>
          <cell r="E430">
            <v>0</v>
          </cell>
          <cell r="F430">
            <v>7499244.3053397378</v>
          </cell>
          <cell r="G430">
            <v>518595</v>
          </cell>
          <cell r="H430">
            <v>24700</v>
          </cell>
          <cell r="I430">
            <v>6955900</v>
          </cell>
          <cell r="J430">
            <v>26</v>
          </cell>
        </row>
        <row r="431">
          <cell r="C431">
            <v>52191</v>
          </cell>
          <cell r="D431">
            <v>295169.09913891112</v>
          </cell>
          <cell r="E431">
            <v>-253300</v>
          </cell>
          <cell r="F431">
            <v>5768569.0900476547</v>
          </cell>
          <cell r="G431">
            <v>518595</v>
          </cell>
          <cell r="H431">
            <v>24700</v>
          </cell>
          <cell r="I431">
            <v>5225300</v>
          </cell>
          <cell r="J431">
            <v>24.833333333333332</v>
          </cell>
        </row>
        <row r="432">
          <cell r="C432">
            <v>10258</v>
          </cell>
          <cell r="D432">
            <v>176456.50532102148</v>
          </cell>
          <cell r="E432">
            <v>0</v>
          </cell>
          <cell r="F432">
            <v>6126634.0898061646</v>
          </cell>
          <cell r="H432">
            <v>0</v>
          </cell>
          <cell r="I432">
            <v>6126600</v>
          </cell>
          <cell r="J432">
            <v>27</v>
          </cell>
        </row>
        <row r="433">
          <cell r="C433">
            <v>10127</v>
          </cell>
          <cell r="D433">
            <v>120151.86649217698</v>
          </cell>
          <cell r="E433">
            <v>0</v>
          </cell>
          <cell r="F433">
            <v>6695788.6045832979</v>
          </cell>
          <cell r="H433">
            <v>0</v>
          </cell>
          <cell r="I433">
            <v>6695800</v>
          </cell>
          <cell r="J433">
            <v>26.5</v>
          </cell>
        </row>
        <row r="434">
          <cell r="C434">
            <v>51191</v>
          </cell>
          <cell r="E434">
            <v>-40800</v>
          </cell>
          <cell r="F434">
            <v>1463395.8395511194</v>
          </cell>
          <cell r="G434">
            <v>0</v>
          </cell>
          <cell r="I434">
            <v>1463400</v>
          </cell>
          <cell r="J434">
            <v>4</v>
          </cell>
        </row>
        <row r="435">
          <cell r="C435">
            <v>50284</v>
          </cell>
          <cell r="D435">
            <v>143704.69921476045</v>
          </cell>
          <cell r="E435">
            <v>0</v>
          </cell>
          <cell r="F435">
            <v>8140874.1292368723</v>
          </cell>
          <cell r="G435">
            <v>518595</v>
          </cell>
          <cell r="H435">
            <v>25000</v>
          </cell>
          <cell r="I435">
            <v>7597300</v>
          </cell>
          <cell r="J435">
            <v>26.933333333333334</v>
          </cell>
        </row>
        <row r="436">
          <cell r="C436">
            <v>51125</v>
          </cell>
          <cell r="D436">
            <v>133685.03317178966</v>
          </cell>
          <cell r="E436">
            <v>0</v>
          </cell>
          <cell r="F436">
            <v>7047971.4437538618</v>
          </cell>
          <cell r="G436">
            <v>518595</v>
          </cell>
          <cell r="H436">
            <v>24700</v>
          </cell>
          <cell r="I436">
            <v>6504700</v>
          </cell>
          <cell r="J436">
            <v>26.375</v>
          </cell>
        </row>
        <row r="437">
          <cell r="C437">
            <v>51156</v>
          </cell>
          <cell r="D437">
            <v>140129.99937723414</v>
          </cell>
          <cell r="E437">
            <v>0</v>
          </cell>
          <cell r="F437">
            <v>7932056.7318512006</v>
          </cell>
          <cell r="G437">
            <v>518595</v>
          </cell>
          <cell r="H437">
            <v>24700</v>
          </cell>
          <cell r="I437">
            <v>7388800</v>
          </cell>
          <cell r="J437">
            <v>27</v>
          </cell>
        </row>
        <row r="438">
          <cell r="C438">
            <v>51523</v>
          </cell>
          <cell r="D438">
            <v>326317.37854209874</v>
          </cell>
          <cell r="E438">
            <v>-275400</v>
          </cell>
          <cell r="F438">
            <v>7163989.8114890885</v>
          </cell>
          <cell r="G438">
            <v>518595</v>
          </cell>
          <cell r="H438">
            <v>24700</v>
          </cell>
          <cell r="I438">
            <v>6620700</v>
          </cell>
          <cell r="J438">
            <v>27</v>
          </cell>
        </row>
        <row r="439">
          <cell r="C439">
            <v>51680</v>
          </cell>
          <cell r="D439">
            <v>173306.55906848179</v>
          </cell>
          <cell r="E439">
            <v>-806791.66666666674</v>
          </cell>
          <cell r="F439">
            <v>5549934.5058429874</v>
          </cell>
          <cell r="G439">
            <v>518595</v>
          </cell>
          <cell r="H439">
            <v>24700</v>
          </cell>
          <cell r="I439">
            <v>5006600</v>
          </cell>
          <cell r="J439">
            <v>23.729166666666668</v>
          </cell>
        </row>
        <row r="440">
          <cell r="C440">
            <v>51780</v>
          </cell>
          <cell r="D440">
            <v>173774.73545733537</v>
          </cell>
          <cell r="E440">
            <v>0</v>
          </cell>
          <cell r="F440">
            <v>6944625.8865767121</v>
          </cell>
          <cell r="G440">
            <v>518595</v>
          </cell>
          <cell r="H440">
            <v>24700</v>
          </cell>
          <cell r="I440">
            <v>6401300</v>
          </cell>
          <cell r="J440">
            <v>26</v>
          </cell>
        </row>
        <row r="441">
          <cell r="C441">
            <v>51938</v>
          </cell>
          <cell r="D441">
            <v>288876.47414461244</v>
          </cell>
          <cell r="E441">
            <v>-265200</v>
          </cell>
          <cell r="F441">
            <v>5896076.2741473587</v>
          </cell>
          <cell r="G441">
            <v>518595</v>
          </cell>
          <cell r="H441">
            <v>24700</v>
          </cell>
          <cell r="I441">
            <v>5352800</v>
          </cell>
          <cell r="J441">
            <v>26</v>
          </cell>
        </row>
        <row r="442">
          <cell r="C442">
            <v>52064</v>
          </cell>
          <cell r="D442">
            <v>320729.79308538954</v>
          </cell>
          <cell r="E442">
            <v>-275400</v>
          </cell>
          <cell r="F442">
            <v>6029235.8611284457</v>
          </cell>
          <cell r="G442">
            <v>518595</v>
          </cell>
          <cell r="H442">
            <v>24700</v>
          </cell>
          <cell r="I442">
            <v>5485900</v>
          </cell>
          <cell r="J442">
            <v>27</v>
          </cell>
        </row>
        <row r="443">
          <cell r="C443">
            <v>52065</v>
          </cell>
          <cell r="D443">
            <v>139670.29152453865</v>
          </cell>
          <cell r="E443">
            <v>0</v>
          </cell>
          <cell r="F443">
            <v>7327099.2653836496</v>
          </cell>
          <cell r="G443">
            <v>518595</v>
          </cell>
          <cell r="H443">
            <v>24700</v>
          </cell>
          <cell r="I443">
            <v>6783800</v>
          </cell>
          <cell r="J443">
            <v>26.8125</v>
          </cell>
        </row>
        <row r="444">
          <cell r="C444">
            <v>52074</v>
          </cell>
          <cell r="D444">
            <v>97786.77822229726</v>
          </cell>
          <cell r="E444">
            <v>0</v>
          </cell>
          <cell r="F444">
            <v>7767262.9826408001</v>
          </cell>
          <cell r="G444">
            <v>518595</v>
          </cell>
          <cell r="H444">
            <v>24700</v>
          </cell>
          <cell r="I444">
            <v>7224000</v>
          </cell>
          <cell r="J444">
            <v>27</v>
          </cell>
        </row>
        <row r="445">
          <cell r="C445">
            <v>52092</v>
          </cell>
          <cell r="D445">
            <v>390075.15634390537</v>
          </cell>
          <cell r="E445">
            <v>-265200</v>
          </cell>
          <cell r="F445">
            <v>5990650.1987033263</v>
          </cell>
          <cell r="G445">
            <v>518595</v>
          </cell>
          <cell r="H445">
            <v>24700</v>
          </cell>
          <cell r="I445">
            <v>5447400</v>
          </cell>
          <cell r="J445">
            <v>26.5</v>
          </cell>
        </row>
        <row r="446">
          <cell r="C446">
            <v>52159</v>
          </cell>
          <cell r="D446">
            <v>53008.077269885864</v>
          </cell>
          <cell r="E446">
            <v>0</v>
          </cell>
          <cell r="F446">
            <v>7851609.301844188</v>
          </cell>
          <cell r="G446">
            <v>518595</v>
          </cell>
          <cell r="H446">
            <v>24700</v>
          </cell>
          <cell r="I446">
            <v>7308300</v>
          </cell>
          <cell r="J446">
            <v>27.5</v>
          </cell>
        </row>
        <row r="447">
          <cell r="C447">
            <v>52168</v>
          </cell>
          <cell r="D447">
            <v>285822.37273426179</v>
          </cell>
          <cell r="E447">
            <v>-244800</v>
          </cell>
          <cell r="F447">
            <v>5790355.96192542</v>
          </cell>
          <cell r="G447">
            <v>518595</v>
          </cell>
          <cell r="H447">
            <v>24700</v>
          </cell>
          <cell r="I447">
            <v>5247100</v>
          </cell>
          <cell r="J447">
            <v>24.5</v>
          </cell>
        </row>
        <row r="448">
          <cell r="C448">
            <v>10322</v>
          </cell>
          <cell r="D448">
            <v>187734.35845264519</v>
          </cell>
          <cell r="E448">
            <v>0</v>
          </cell>
          <cell r="F448">
            <v>6730055.3381036017</v>
          </cell>
          <cell r="H448">
            <v>0</v>
          </cell>
          <cell r="I448">
            <v>6730100</v>
          </cell>
          <cell r="J448">
            <v>27</v>
          </cell>
        </row>
        <row r="449">
          <cell r="C449">
            <v>10285</v>
          </cell>
          <cell r="D449">
            <v>185967.30334856303</v>
          </cell>
          <cell r="E449">
            <v>0</v>
          </cell>
          <cell r="F449">
            <v>6434203.8591850791</v>
          </cell>
          <cell r="H449">
            <v>0</v>
          </cell>
          <cell r="I449">
            <v>6434200</v>
          </cell>
          <cell r="J449">
            <v>27</v>
          </cell>
        </row>
        <row r="450">
          <cell r="C450">
            <v>10272</v>
          </cell>
          <cell r="D450">
            <v>172845.21298357885</v>
          </cell>
          <cell r="E450">
            <v>0</v>
          </cell>
          <cell r="F450">
            <v>5578670.5576304588</v>
          </cell>
          <cell r="G450"/>
          <cell r="H450">
            <v>0</v>
          </cell>
          <cell r="I450">
            <v>5578700</v>
          </cell>
          <cell r="J450">
            <v>26</v>
          </cell>
        </row>
        <row r="451">
          <cell r="C451">
            <v>10238</v>
          </cell>
          <cell r="D451">
            <v>126208.88410533199</v>
          </cell>
          <cell r="E451">
            <v>0</v>
          </cell>
          <cell r="F451">
            <v>6079288.6788805854</v>
          </cell>
          <cell r="H451">
            <v>0</v>
          </cell>
          <cell r="I451">
            <v>6079300</v>
          </cell>
          <cell r="J451">
            <v>26</v>
          </cell>
        </row>
        <row r="452">
          <cell r="C452">
            <v>10225</v>
          </cell>
          <cell r="D452">
            <v>93764.07819082457</v>
          </cell>
          <cell r="E452">
            <v>0</v>
          </cell>
          <cell r="F452">
            <v>6076909.020769407</v>
          </cell>
          <cell r="H452">
            <v>0</v>
          </cell>
          <cell r="I452">
            <v>6076900</v>
          </cell>
          <cell r="J452">
            <v>25.75</v>
          </cell>
        </row>
        <row r="453">
          <cell r="C453">
            <v>50024</v>
          </cell>
          <cell r="D453"/>
          <cell r="E453">
            <v>-274656.25</v>
          </cell>
          <cell r="F453">
            <v>11349144.704237105</v>
          </cell>
          <cell r="G453">
            <v>541800</v>
          </cell>
          <cell r="H453">
            <v>24700</v>
          </cell>
          <cell r="I453">
            <v>10782600</v>
          </cell>
          <cell r="J453">
            <v>26.927083333333332</v>
          </cell>
        </row>
        <row r="454">
          <cell r="C454">
            <v>50222</v>
          </cell>
          <cell r="E454">
            <v>0</v>
          </cell>
          <cell r="F454">
            <v>12417228.376576595</v>
          </cell>
          <cell r="G454">
            <v>518595</v>
          </cell>
          <cell r="H454">
            <v>24700</v>
          </cell>
          <cell r="I454">
            <v>11873900</v>
          </cell>
          <cell r="J454">
            <v>27.458333333333332</v>
          </cell>
        </row>
        <row r="455">
          <cell r="C455">
            <v>50581</v>
          </cell>
          <cell r="E455">
            <v>0</v>
          </cell>
          <cell r="F455">
            <v>11174926.980741316</v>
          </cell>
          <cell r="G455">
            <v>541800</v>
          </cell>
          <cell r="H455">
            <v>24700</v>
          </cell>
          <cell r="I455">
            <v>10608400</v>
          </cell>
          <cell r="J455">
            <v>27.5</v>
          </cell>
        </row>
        <row r="456">
          <cell r="C456">
            <v>50894</v>
          </cell>
          <cell r="E456">
            <v>-272212.5</v>
          </cell>
          <cell r="F456">
            <v>10119070.512933005</v>
          </cell>
          <cell r="G456">
            <v>518595</v>
          </cell>
          <cell r="H456">
            <v>24700</v>
          </cell>
          <cell r="I456">
            <v>9575800</v>
          </cell>
          <cell r="J456">
            <v>27.1875</v>
          </cell>
        </row>
        <row r="457">
          <cell r="C457">
            <v>50918</v>
          </cell>
          <cell r="E457">
            <v>-269556.25</v>
          </cell>
          <cell r="F457">
            <v>10222751.915039526</v>
          </cell>
          <cell r="G457">
            <v>518595</v>
          </cell>
          <cell r="H457">
            <v>24700</v>
          </cell>
          <cell r="I457">
            <v>9679500</v>
          </cell>
          <cell r="J457">
            <v>26.927083333333332</v>
          </cell>
        </row>
        <row r="458">
          <cell r="C458">
            <v>51130</v>
          </cell>
          <cell r="E458">
            <v>0</v>
          </cell>
          <cell r="F458">
            <v>11014556.483906947</v>
          </cell>
          <cell r="G458">
            <v>541800</v>
          </cell>
          <cell r="H458">
            <v>24700</v>
          </cell>
          <cell r="I458">
            <v>10448100</v>
          </cell>
          <cell r="J458">
            <v>27.114583333333332</v>
          </cell>
        </row>
        <row r="459">
          <cell r="C459">
            <v>51473</v>
          </cell>
          <cell r="E459">
            <v>0</v>
          </cell>
          <cell r="F459">
            <v>10544668.582374226</v>
          </cell>
          <cell r="G459">
            <v>518595</v>
          </cell>
          <cell r="H459">
            <v>24700</v>
          </cell>
          <cell r="I459">
            <v>10001400</v>
          </cell>
          <cell r="J459">
            <v>27.375</v>
          </cell>
        </row>
        <row r="460">
          <cell r="C460">
            <v>51618</v>
          </cell>
          <cell r="D460"/>
          <cell r="E460">
            <v>-260100</v>
          </cell>
          <cell r="F460">
            <v>10188881.454361863</v>
          </cell>
          <cell r="G460">
            <v>541800</v>
          </cell>
          <cell r="H460">
            <v>24700</v>
          </cell>
          <cell r="I460">
            <v>9622400</v>
          </cell>
          <cell r="J460">
            <v>25.5</v>
          </cell>
        </row>
        <row r="461">
          <cell r="C461">
            <v>51652</v>
          </cell>
          <cell r="E461">
            <v>0</v>
          </cell>
          <cell r="F461">
            <v>9607621.8737090938</v>
          </cell>
          <cell r="G461">
            <v>541800</v>
          </cell>
          <cell r="H461">
            <v>24700</v>
          </cell>
          <cell r="I461">
            <v>9041100</v>
          </cell>
          <cell r="J461">
            <v>21.791666666666668</v>
          </cell>
        </row>
        <row r="462">
          <cell r="C462">
            <v>51723</v>
          </cell>
          <cell r="E462">
            <v>-275400</v>
          </cell>
          <cell r="F462">
            <v>11364704.641197706</v>
          </cell>
          <cell r="G462">
            <v>518595</v>
          </cell>
          <cell r="H462">
            <v>24700</v>
          </cell>
          <cell r="I462">
            <v>10821400</v>
          </cell>
          <cell r="J462">
            <v>27.5</v>
          </cell>
        </row>
        <row r="463">
          <cell r="C463">
            <v>51946</v>
          </cell>
          <cell r="E463">
            <v>0</v>
          </cell>
          <cell r="F463">
            <v>10591892.983639041</v>
          </cell>
          <cell r="G463">
            <v>518595</v>
          </cell>
          <cell r="H463">
            <v>24700</v>
          </cell>
          <cell r="I463">
            <v>10048600</v>
          </cell>
          <cell r="J463">
            <v>27.5</v>
          </cell>
        </row>
        <row r="464">
          <cell r="C464">
            <v>51948</v>
          </cell>
          <cell r="E464">
            <v>-163200</v>
          </cell>
          <cell r="F464">
            <v>7426005.1443494055</v>
          </cell>
          <cell r="G464">
            <v>518595</v>
          </cell>
          <cell r="H464">
            <v>24700</v>
          </cell>
          <cell r="I464">
            <v>6882700</v>
          </cell>
          <cell r="J464">
            <v>16</v>
          </cell>
        </row>
        <row r="465">
          <cell r="C465">
            <v>50005</v>
          </cell>
          <cell r="D465"/>
          <cell r="E465"/>
          <cell r="F465">
            <v>15607512.82051282</v>
          </cell>
          <cell r="G465">
            <v>696570</v>
          </cell>
          <cell r="H465">
            <v>174294</v>
          </cell>
          <cell r="I465">
            <v>14736600</v>
          </cell>
          <cell r="J465">
            <v>24</v>
          </cell>
        </row>
        <row r="466">
          <cell r="C466">
            <v>50928</v>
          </cell>
          <cell r="F466">
            <v>9290993.7460317444</v>
          </cell>
          <cell r="G466">
            <v>518595</v>
          </cell>
          <cell r="H466">
            <v>24700</v>
          </cell>
          <cell r="I466">
            <v>8747700</v>
          </cell>
          <cell r="J466">
            <v>26</v>
          </cell>
        </row>
        <row r="467">
          <cell r="C467">
            <v>51394</v>
          </cell>
          <cell r="F467">
            <v>9382134.0325146895</v>
          </cell>
          <cell r="G467">
            <v>518595</v>
          </cell>
          <cell r="H467">
            <v>24700</v>
          </cell>
          <cell r="I467">
            <v>8838800</v>
          </cell>
          <cell r="J467">
            <v>27</v>
          </cell>
        </row>
        <row r="468">
          <cell r="C468">
            <v>51905</v>
          </cell>
          <cell r="F468">
            <v>8934946.9700954054</v>
          </cell>
          <cell r="G468">
            <v>518595</v>
          </cell>
          <cell r="H468">
            <v>24700</v>
          </cell>
          <cell r="I468">
            <v>8391700</v>
          </cell>
          <cell r="J468">
            <v>27</v>
          </cell>
        </row>
        <row r="469">
          <cell r="C469">
            <v>51759</v>
          </cell>
          <cell r="F469">
            <v>1000000</v>
          </cell>
          <cell r="I469">
            <v>1000000</v>
          </cell>
        </row>
        <row r="470">
          <cell r="D470"/>
          <cell r="E470"/>
          <cell r="J470"/>
        </row>
        <row r="471">
          <cell r="D471">
            <v>43151631.329809748</v>
          </cell>
          <cell r="E471">
            <v>-27032790.833333332</v>
          </cell>
          <cell r="F471">
            <v>3435062383.3161502</v>
          </cell>
          <cell r="G471">
            <v>181531355</v>
          </cell>
          <cell r="H471">
            <v>9488173.5</v>
          </cell>
          <cell r="I471">
            <v>3244044300</v>
          </cell>
          <cell r="J471">
            <v>11619.181250000005</v>
          </cell>
        </row>
        <row r="474">
          <cell r="D474"/>
          <cell r="E474"/>
          <cell r="J474"/>
        </row>
        <row r="475">
          <cell r="D475"/>
          <cell r="E475"/>
          <cell r="J475"/>
        </row>
        <row r="478">
          <cell r="D478"/>
          <cell r="E478"/>
          <cell r="J478"/>
        </row>
        <row r="480">
          <cell r="D480"/>
          <cell r="E480"/>
          <cell r="J480"/>
        </row>
        <row r="484">
          <cell r="F484"/>
          <cell r="G484"/>
          <cell r="J484"/>
        </row>
        <row r="486">
          <cell r="F486"/>
          <cell r="J486"/>
        </row>
        <row r="487">
          <cell r="J487"/>
        </row>
        <row r="489">
          <cell r="J489"/>
        </row>
        <row r="493">
          <cell r="D493"/>
          <cell r="E493"/>
          <cell r="J493"/>
        </row>
        <row r="494">
          <cell r="F494"/>
          <cell r="J494"/>
        </row>
        <row r="495">
          <cell r="D495"/>
          <cell r="E495"/>
          <cell r="J495"/>
        </row>
        <row r="498">
          <cell r="F498"/>
          <cell r="G498"/>
          <cell r="J498"/>
        </row>
        <row r="500">
          <cell r="J500"/>
        </row>
        <row r="503">
          <cell r="D503"/>
          <cell r="E503"/>
          <cell r="J503"/>
        </row>
        <row r="511">
          <cell r="D511"/>
          <cell r="E511"/>
          <cell r="J511"/>
        </row>
        <row r="512">
          <cell r="J512"/>
        </row>
        <row r="513">
          <cell r="J513"/>
        </row>
        <row r="514">
          <cell r="F514"/>
          <cell r="G514"/>
          <cell r="J514"/>
        </row>
        <row r="517">
          <cell r="D517"/>
          <cell r="E517"/>
          <cell r="J517"/>
        </row>
        <row r="519">
          <cell r="D519"/>
          <cell r="E519"/>
          <cell r="J519"/>
        </row>
        <row r="522">
          <cell r="D522"/>
          <cell r="E522"/>
          <cell r="J522"/>
        </row>
        <row r="523">
          <cell r="D523"/>
          <cell r="E523"/>
          <cell r="F523"/>
          <cell r="G523"/>
          <cell r="H523"/>
          <cell r="I523"/>
          <cell r="J523"/>
        </row>
        <row r="525">
          <cell r="D525"/>
          <cell r="E525"/>
          <cell r="J525"/>
        </row>
        <row r="526">
          <cell r="D526"/>
          <cell r="E526"/>
          <cell r="J526"/>
        </row>
        <row r="527">
          <cell r="D527"/>
          <cell r="E527"/>
          <cell r="J527"/>
        </row>
        <row r="528">
          <cell r="J528"/>
        </row>
        <row r="529">
          <cell r="D529"/>
          <cell r="E529"/>
          <cell r="J529"/>
        </row>
        <row r="530">
          <cell r="D530"/>
          <cell r="E530"/>
          <cell r="J530"/>
        </row>
        <row r="531">
          <cell r="D531"/>
          <cell r="E531"/>
          <cell r="J531"/>
        </row>
        <row r="533">
          <cell r="F533"/>
          <cell r="G533"/>
          <cell r="H533"/>
          <cell r="J533"/>
        </row>
        <row r="534">
          <cell r="D534"/>
          <cell r="E534"/>
          <cell r="J534"/>
        </row>
        <row r="536">
          <cell r="D536"/>
          <cell r="E536"/>
          <cell r="J536"/>
        </row>
        <row r="537">
          <cell r="D537"/>
          <cell r="E537"/>
          <cell r="J537"/>
        </row>
        <row r="538">
          <cell r="J538"/>
        </row>
        <row r="539">
          <cell r="F539"/>
          <cell r="G539"/>
          <cell r="J539"/>
        </row>
        <row r="541">
          <cell r="D541"/>
          <cell r="E541"/>
          <cell r="J541"/>
        </row>
        <row r="544">
          <cell r="D544"/>
          <cell r="E544"/>
          <cell r="J544"/>
        </row>
        <row r="545">
          <cell r="J545"/>
        </row>
        <row r="546">
          <cell r="D546"/>
          <cell r="E546"/>
          <cell r="J546"/>
        </row>
        <row r="547">
          <cell r="F547"/>
          <cell r="G547"/>
          <cell r="J547"/>
        </row>
        <row r="551">
          <cell r="J551"/>
        </row>
        <row r="554">
          <cell r="J554"/>
        </row>
        <row r="555">
          <cell r="J555"/>
        </row>
        <row r="557">
          <cell r="J557"/>
        </row>
        <row r="560">
          <cell r="F560"/>
          <cell r="G560"/>
          <cell r="J560"/>
        </row>
        <row r="569">
          <cell r="J569"/>
        </row>
        <row r="574">
          <cell r="D574"/>
          <cell r="E574"/>
          <cell r="J574"/>
        </row>
        <row r="575">
          <cell r="J575"/>
        </row>
        <row r="576">
          <cell r="J576"/>
        </row>
        <row r="577">
          <cell r="D577"/>
          <cell r="E577"/>
          <cell r="J577"/>
        </row>
        <row r="579">
          <cell r="J579"/>
        </row>
        <row r="580">
          <cell r="D580"/>
          <cell r="E580"/>
          <cell r="J580"/>
        </row>
        <row r="585">
          <cell r="D585"/>
          <cell r="E585"/>
          <cell r="J585"/>
        </row>
        <row r="587">
          <cell r="D587"/>
          <cell r="E587"/>
          <cell r="J587"/>
        </row>
        <row r="588">
          <cell r="D588"/>
          <cell r="E588"/>
          <cell r="J588"/>
        </row>
        <row r="589">
          <cell r="J589"/>
        </row>
        <row r="590">
          <cell r="D590"/>
          <cell r="E590"/>
          <cell r="J590"/>
        </row>
        <row r="592">
          <cell r="D592"/>
          <cell r="E592"/>
          <cell r="J592"/>
        </row>
        <row r="593">
          <cell r="F593"/>
          <cell r="G593"/>
          <cell r="J593"/>
        </row>
        <row r="594">
          <cell r="D594"/>
          <cell r="E594"/>
          <cell r="J594"/>
        </row>
        <row r="596">
          <cell r="D596"/>
          <cell r="E596"/>
          <cell r="J596"/>
        </row>
        <row r="597">
          <cell r="J597"/>
        </row>
        <row r="599">
          <cell r="F599"/>
          <cell r="G599"/>
          <cell r="H599"/>
          <cell r="I599"/>
        </row>
        <row r="600">
          <cell r="F600"/>
          <cell r="G600"/>
          <cell r="H600"/>
          <cell r="I600"/>
          <cell r="J600"/>
        </row>
        <row r="604">
          <cell r="D604"/>
          <cell r="E604"/>
          <cell r="J604"/>
        </row>
        <row r="605">
          <cell r="D605"/>
          <cell r="E605"/>
          <cell r="J605"/>
        </row>
        <row r="606">
          <cell r="F606"/>
          <cell r="G606"/>
          <cell r="H606"/>
          <cell r="I606"/>
        </row>
        <row r="608">
          <cell r="D608"/>
          <cell r="E608"/>
          <cell r="J608"/>
        </row>
        <row r="611">
          <cell r="D611"/>
          <cell r="E611"/>
          <cell r="J611"/>
        </row>
        <row r="612">
          <cell r="D612"/>
          <cell r="E612"/>
          <cell r="J612"/>
        </row>
        <row r="614">
          <cell r="D614"/>
          <cell r="E614"/>
          <cell r="J614"/>
        </row>
        <row r="615">
          <cell r="D615"/>
          <cell r="E615"/>
          <cell r="J615"/>
        </row>
        <row r="616">
          <cell r="D616"/>
          <cell r="E616"/>
          <cell r="J616"/>
        </row>
        <row r="617">
          <cell r="D617"/>
          <cell r="E617"/>
          <cell r="J617"/>
        </row>
        <row r="618">
          <cell r="D618"/>
          <cell r="E618"/>
          <cell r="J618"/>
        </row>
        <row r="619">
          <cell r="D619"/>
          <cell r="E619"/>
          <cell r="J619"/>
        </row>
        <row r="621">
          <cell r="D621"/>
          <cell r="E621"/>
          <cell r="J621"/>
        </row>
        <row r="622">
          <cell r="F622"/>
          <cell r="J622"/>
        </row>
        <row r="623">
          <cell r="D623"/>
          <cell r="E623"/>
          <cell r="J623"/>
        </row>
        <row r="624">
          <cell r="D624"/>
          <cell r="E624"/>
          <cell r="J624"/>
        </row>
        <row r="625">
          <cell r="D625"/>
          <cell r="E625"/>
          <cell r="J625"/>
        </row>
        <row r="627">
          <cell r="D627"/>
          <cell r="E627"/>
          <cell r="J627"/>
        </row>
        <row r="630">
          <cell r="D630"/>
          <cell r="E630"/>
          <cell r="J630"/>
        </row>
        <row r="633">
          <cell r="J633"/>
        </row>
        <row r="634">
          <cell r="D634"/>
          <cell r="E634"/>
          <cell r="J634"/>
        </row>
        <row r="635">
          <cell r="D635"/>
          <cell r="E635"/>
          <cell r="J635"/>
        </row>
        <row r="636">
          <cell r="D636"/>
          <cell r="E636"/>
          <cell r="J636"/>
        </row>
        <row r="637">
          <cell r="D637"/>
          <cell r="E637"/>
          <cell r="J637"/>
        </row>
        <row r="638">
          <cell r="D638"/>
          <cell r="E638"/>
          <cell r="J638"/>
        </row>
        <row r="639">
          <cell r="D639"/>
          <cell r="E639"/>
          <cell r="F639"/>
          <cell r="G639"/>
          <cell r="H639"/>
          <cell r="J639"/>
        </row>
        <row r="640">
          <cell r="D640"/>
          <cell r="E640"/>
          <cell r="J640"/>
        </row>
        <row r="641">
          <cell r="F641"/>
          <cell r="J641"/>
        </row>
        <row r="642">
          <cell r="D642"/>
          <cell r="E642"/>
          <cell r="J642"/>
        </row>
        <row r="643">
          <cell r="D643"/>
          <cell r="E643"/>
          <cell r="J643"/>
        </row>
        <row r="645">
          <cell r="J645"/>
        </row>
        <row r="646">
          <cell r="F646"/>
          <cell r="J646"/>
        </row>
        <row r="647">
          <cell r="F647"/>
          <cell r="J647"/>
        </row>
        <row r="648">
          <cell r="D648"/>
          <cell r="E648"/>
          <cell r="J648"/>
        </row>
        <row r="649">
          <cell r="D649"/>
          <cell r="E649"/>
          <cell r="J649"/>
        </row>
        <row r="651">
          <cell r="D651"/>
          <cell r="E651"/>
          <cell r="J651"/>
        </row>
        <row r="652">
          <cell r="J652"/>
        </row>
        <row r="654">
          <cell r="J654"/>
        </row>
        <row r="659">
          <cell r="D659"/>
          <cell r="E659"/>
          <cell r="J659"/>
        </row>
        <row r="660">
          <cell r="D660"/>
          <cell r="E660"/>
          <cell r="J660"/>
        </row>
        <row r="661">
          <cell r="F661"/>
          <cell r="G661"/>
          <cell r="H661"/>
          <cell r="J661"/>
        </row>
        <row r="662">
          <cell r="D662"/>
          <cell r="E662"/>
          <cell r="J662"/>
        </row>
        <row r="666">
          <cell r="F666"/>
          <cell r="G666"/>
          <cell r="J666"/>
        </row>
        <row r="667">
          <cell r="D667"/>
          <cell r="E667"/>
          <cell r="J667"/>
        </row>
        <row r="674">
          <cell r="D674"/>
          <cell r="E674"/>
          <cell r="J674"/>
        </row>
        <row r="676">
          <cell r="D676"/>
          <cell r="E676"/>
          <cell r="J676"/>
        </row>
        <row r="677">
          <cell r="J677"/>
        </row>
        <row r="678">
          <cell r="D678"/>
          <cell r="E678"/>
          <cell r="I678"/>
          <cell r="J678"/>
        </row>
        <row r="683">
          <cell r="D683"/>
          <cell r="E683"/>
          <cell r="J683"/>
        </row>
        <row r="684">
          <cell r="F684"/>
          <cell r="J684"/>
        </row>
        <row r="686">
          <cell r="D686"/>
          <cell r="E686"/>
          <cell r="J686"/>
        </row>
        <row r="688">
          <cell r="F688"/>
          <cell r="J688"/>
        </row>
        <row r="689">
          <cell r="D689"/>
          <cell r="E689"/>
          <cell r="J689"/>
        </row>
        <row r="690">
          <cell r="J690"/>
        </row>
        <row r="694">
          <cell r="F694"/>
          <cell r="J694"/>
        </row>
        <row r="695">
          <cell r="J695"/>
        </row>
        <row r="701">
          <cell r="J701"/>
        </row>
        <row r="702">
          <cell r="F702"/>
          <cell r="G702"/>
          <cell r="J702"/>
        </row>
        <row r="703">
          <cell r="D703"/>
          <cell r="E703"/>
          <cell r="J703"/>
        </row>
        <row r="704">
          <cell r="D704"/>
          <cell r="E704"/>
          <cell r="J704"/>
        </row>
        <row r="705">
          <cell r="J705"/>
        </row>
        <row r="706">
          <cell r="F706"/>
          <cell r="G706"/>
          <cell r="H706"/>
          <cell r="J706"/>
        </row>
        <row r="707">
          <cell r="F707"/>
          <cell r="G707"/>
          <cell r="H707"/>
          <cell r="I707"/>
          <cell r="J707"/>
        </row>
        <row r="709">
          <cell r="D709"/>
          <cell r="E709"/>
          <cell r="J709"/>
        </row>
        <row r="711">
          <cell r="D711"/>
          <cell r="E711"/>
          <cell r="J711"/>
        </row>
        <row r="712">
          <cell r="D712"/>
          <cell r="E712"/>
          <cell r="J712"/>
        </row>
        <row r="713">
          <cell r="D713"/>
          <cell r="E713"/>
          <cell r="J713"/>
        </row>
        <row r="714">
          <cell r="F714"/>
          <cell r="G714"/>
          <cell r="H714"/>
          <cell r="J714"/>
        </row>
        <row r="715">
          <cell r="D715"/>
          <cell r="E715"/>
          <cell r="J715"/>
        </row>
        <row r="717">
          <cell r="D717"/>
          <cell r="E717"/>
          <cell r="J717"/>
        </row>
        <row r="718">
          <cell r="F718"/>
          <cell r="J718"/>
        </row>
        <row r="723">
          <cell r="D723"/>
          <cell r="E723"/>
          <cell r="J723"/>
        </row>
        <row r="724">
          <cell r="F724"/>
          <cell r="G724"/>
          <cell r="J724"/>
        </row>
        <row r="725">
          <cell r="F725"/>
          <cell r="G725"/>
          <cell r="J725"/>
        </row>
        <row r="726">
          <cell r="D726"/>
          <cell r="E726"/>
          <cell r="J726"/>
        </row>
        <row r="727">
          <cell r="J727"/>
        </row>
        <row r="728">
          <cell r="D728"/>
          <cell r="E728"/>
          <cell r="J728"/>
        </row>
        <row r="729">
          <cell r="J729"/>
        </row>
        <row r="731">
          <cell r="D731"/>
          <cell r="E731"/>
          <cell r="J731"/>
        </row>
        <row r="733">
          <cell r="D733"/>
          <cell r="E733"/>
          <cell r="J733"/>
        </row>
        <row r="734">
          <cell r="D734"/>
          <cell r="E734"/>
          <cell r="J734"/>
        </row>
        <row r="735">
          <cell r="D735"/>
          <cell r="E735"/>
          <cell r="J735"/>
        </row>
        <row r="736">
          <cell r="D736"/>
          <cell r="E736"/>
          <cell r="J736"/>
        </row>
        <row r="737">
          <cell r="J737"/>
        </row>
        <row r="738">
          <cell r="D738"/>
          <cell r="E738"/>
          <cell r="J738"/>
        </row>
        <row r="739">
          <cell r="J739"/>
        </row>
        <row r="740">
          <cell r="D740"/>
          <cell r="E740"/>
          <cell r="J740"/>
        </row>
        <row r="743">
          <cell r="D743"/>
          <cell r="E743"/>
          <cell r="J743"/>
        </row>
        <row r="744">
          <cell r="D744"/>
          <cell r="E744"/>
          <cell r="J744"/>
        </row>
        <row r="745">
          <cell r="D745"/>
          <cell r="E745"/>
          <cell r="J745"/>
        </row>
        <row r="748">
          <cell r="D748"/>
          <cell r="E748"/>
          <cell r="J748"/>
        </row>
        <row r="753">
          <cell r="J753"/>
        </row>
        <row r="755">
          <cell r="J755"/>
        </row>
        <row r="758">
          <cell r="I758"/>
          <cell r="J758"/>
        </row>
        <row r="759">
          <cell r="D759"/>
          <cell r="E759"/>
          <cell r="J759"/>
        </row>
        <row r="760">
          <cell r="D760"/>
          <cell r="E760"/>
          <cell r="J760"/>
        </row>
        <row r="761">
          <cell r="D761"/>
          <cell r="E761"/>
          <cell r="J761"/>
        </row>
        <row r="764">
          <cell r="F764"/>
          <cell r="G764"/>
          <cell r="J764"/>
        </row>
        <row r="765">
          <cell r="D765"/>
          <cell r="E765"/>
          <cell r="J765"/>
        </row>
        <row r="766">
          <cell r="F766"/>
          <cell r="G766"/>
          <cell r="H766"/>
          <cell r="J766"/>
        </row>
        <row r="767">
          <cell r="F767"/>
          <cell r="G767"/>
          <cell r="J767"/>
        </row>
        <row r="768">
          <cell r="J768"/>
        </row>
        <row r="771">
          <cell r="D771"/>
          <cell r="E771"/>
          <cell r="J771"/>
        </row>
        <row r="772">
          <cell r="D772"/>
          <cell r="E772"/>
          <cell r="J772"/>
        </row>
        <row r="774">
          <cell r="F774"/>
          <cell r="J774"/>
        </row>
        <row r="778">
          <cell r="D778"/>
          <cell r="E778"/>
          <cell r="J778"/>
        </row>
        <row r="779">
          <cell r="J779"/>
        </row>
        <row r="784">
          <cell r="D784"/>
          <cell r="E784"/>
          <cell r="J784"/>
        </row>
        <row r="785">
          <cell r="D785"/>
          <cell r="E785"/>
          <cell r="J785"/>
        </row>
        <row r="790">
          <cell r="J790"/>
        </row>
        <row r="792">
          <cell r="F792"/>
          <cell r="J792"/>
        </row>
        <row r="793">
          <cell r="D793"/>
          <cell r="E793"/>
          <cell r="J793"/>
        </row>
        <row r="796">
          <cell r="F796"/>
          <cell r="J796"/>
        </row>
        <row r="797">
          <cell r="J797"/>
        </row>
        <row r="798">
          <cell r="I798"/>
          <cell r="J798"/>
        </row>
        <row r="799">
          <cell r="D799"/>
          <cell r="E799"/>
          <cell r="J799"/>
        </row>
        <row r="801">
          <cell r="J801"/>
        </row>
        <row r="802">
          <cell r="D802"/>
          <cell r="E802"/>
          <cell r="J802"/>
        </row>
        <row r="803">
          <cell r="J803"/>
        </row>
        <row r="804">
          <cell r="F804"/>
          <cell r="G804"/>
          <cell r="J804"/>
        </row>
        <row r="807">
          <cell r="J807"/>
        </row>
        <row r="808">
          <cell r="D808"/>
          <cell r="E808"/>
          <cell r="J808"/>
        </row>
        <row r="811">
          <cell r="D811"/>
          <cell r="E811"/>
          <cell r="J811"/>
        </row>
        <row r="812">
          <cell r="F812"/>
          <cell r="J812"/>
        </row>
        <row r="813">
          <cell r="J813"/>
        </row>
        <row r="814">
          <cell r="D814"/>
          <cell r="E814"/>
          <cell r="J814"/>
        </row>
        <row r="815">
          <cell r="D815"/>
          <cell r="E815"/>
          <cell r="J815"/>
        </row>
        <row r="816">
          <cell r="D816"/>
          <cell r="E816"/>
          <cell r="J816"/>
        </row>
        <row r="817">
          <cell r="D817"/>
          <cell r="E817"/>
          <cell r="J817"/>
        </row>
        <row r="818">
          <cell r="D818"/>
          <cell r="E818"/>
          <cell r="J818"/>
        </row>
        <row r="819">
          <cell r="F819"/>
          <cell r="G819"/>
          <cell r="J819"/>
        </row>
        <row r="822">
          <cell r="D822"/>
          <cell r="E822"/>
          <cell r="J822"/>
        </row>
        <row r="823">
          <cell r="J823"/>
        </row>
        <row r="824">
          <cell r="D824"/>
          <cell r="E824"/>
          <cell r="J824"/>
        </row>
        <row r="825">
          <cell r="J825"/>
        </row>
        <row r="826">
          <cell r="F826"/>
          <cell r="G826"/>
          <cell r="H826"/>
          <cell r="J826"/>
        </row>
        <row r="827">
          <cell r="D827"/>
          <cell r="E827"/>
          <cell r="J827"/>
        </row>
        <row r="835">
          <cell r="D835"/>
          <cell r="E835"/>
          <cell r="J835"/>
        </row>
        <row r="838">
          <cell r="D838"/>
          <cell r="E838"/>
          <cell r="J838"/>
        </row>
        <row r="846">
          <cell r="D846"/>
          <cell r="E846"/>
          <cell r="J846"/>
        </row>
        <row r="849">
          <cell r="D849"/>
          <cell r="E849"/>
          <cell r="J849"/>
        </row>
        <row r="851">
          <cell r="D851"/>
          <cell r="E851"/>
          <cell r="J851"/>
        </row>
        <row r="852">
          <cell r="D852"/>
          <cell r="E852"/>
          <cell r="J852"/>
        </row>
        <row r="853">
          <cell r="D853"/>
          <cell r="E853"/>
          <cell r="J853"/>
        </row>
        <row r="861">
          <cell r="D861"/>
          <cell r="E861"/>
          <cell r="J861"/>
        </row>
        <row r="863">
          <cell r="D863"/>
          <cell r="E863"/>
          <cell r="J863"/>
        </row>
        <row r="864">
          <cell r="J864"/>
        </row>
        <row r="865">
          <cell r="D865"/>
          <cell r="E865"/>
          <cell r="J865"/>
        </row>
        <row r="869">
          <cell r="D869"/>
          <cell r="E869"/>
          <cell r="J869"/>
        </row>
        <row r="873">
          <cell r="F873"/>
          <cell r="G873"/>
          <cell r="H873"/>
        </row>
        <row r="874">
          <cell r="D874"/>
          <cell r="E874"/>
          <cell r="J874"/>
        </row>
        <row r="876">
          <cell r="D876"/>
          <cell r="E876"/>
          <cell r="J876"/>
        </row>
        <row r="878">
          <cell r="F878"/>
          <cell r="G878"/>
          <cell r="J878"/>
        </row>
        <row r="881">
          <cell r="D881"/>
          <cell r="E881"/>
          <cell r="J881"/>
        </row>
        <row r="886">
          <cell r="J886"/>
        </row>
        <row r="887">
          <cell r="D887"/>
          <cell r="E887"/>
          <cell r="J887"/>
        </row>
        <row r="890">
          <cell r="D890"/>
          <cell r="E890"/>
          <cell r="J890"/>
        </row>
        <row r="891">
          <cell r="F891"/>
          <cell r="G891"/>
          <cell r="H891"/>
          <cell r="J891"/>
        </row>
        <row r="896">
          <cell r="D896"/>
          <cell r="E896"/>
          <cell r="J896"/>
        </row>
        <row r="898">
          <cell r="J898"/>
        </row>
        <row r="899">
          <cell r="D899"/>
          <cell r="E899"/>
          <cell r="J899"/>
        </row>
        <row r="900">
          <cell r="J900"/>
        </row>
        <row r="901">
          <cell r="J901"/>
        </row>
        <row r="903">
          <cell r="D903"/>
          <cell r="E903"/>
          <cell r="J903"/>
        </row>
        <row r="904">
          <cell r="F904"/>
          <cell r="G904"/>
          <cell r="H904"/>
          <cell r="J904"/>
        </row>
        <row r="905">
          <cell r="J905"/>
        </row>
        <row r="906">
          <cell r="D906"/>
          <cell r="E906"/>
          <cell r="J906"/>
        </row>
        <row r="907">
          <cell r="F907"/>
          <cell r="G907"/>
          <cell r="H907"/>
        </row>
        <row r="908">
          <cell r="J908"/>
        </row>
        <row r="909">
          <cell r="J909"/>
        </row>
        <row r="910">
          <cell r="D910"/>
          <cell r="E910"/>
          <cell r="J910"/>
        </row>
        <row r="911">
          <cell r="D911"/>
          <cell r="E911"/>
          <cell r="J911"/>
        </row>
        <row r="912">
          <cell r="D912"/>
          <cell r="E912"/>
          <cell r="J912"/>
        </row>
        <row r="913">
          <cell r="F913"/>
          <cell r="G913"/>
          <cell r="H913"/>
          <cell r="I913"/>
          <cell r="J913"/>
        </row>
        <row r="914">
          <cell r="F914"/>
          <cell r="G914"/>
          <cell r="H914"/>
          <cell r="J914"/>
        </row>
        <row r="915">
          <cell r="J915"/>
        </row>
        <row r="916">
          <cell r="J916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296"/>
  <sheetViews>
    <sheetView topLeftCell="C1" workbookViewId="0">
      <selection activeCell="R11" sqref="R11"/>
    </sheetView>
  </sheetViews>
  <sheetFormatPr defaultRowHeight="15.75"/>
  <cols>
    <col min="1" max="1" width="4.140625" style="2" customWidth="1"/>
    <col min="2" max="2" width="24" style="2" customWidth="1"/>
    <col min="3" max="3" width="9" style="2" customWidth="1"/>
    <col min="4" max="4" width="12.42578125" style="2" customWidth="1"/>
    <col min="5" max="5" width="13.42578125" style="2" customWidth="1"/>
    <col min="6" max="19" width="11.42578125" style="2" customWidth="1"/>
    <col min="20" max="241" width="9.140625" style="2"/>
    <col min="242" max="242" width="4.140625" style="2" customWidth="1"/>
    <col min="243" max="243" width="24" style="2" customWidth="1"/>
    <col min="244" max="244" width="9" style="2" customWidth="1"/>
    <col min="245" max="245" width="16.28515625" style="2" customWidth="1"/>
    <col min="246" max="246" width="12" style="2" customWidth="1"/>
    <col min="247" max="247" width="17.140625" style="2" customWidth="1"/>
    <col min="248" max="248" width="13.85546875" style="2" customWidth="1"/>
    <col min="249" max="249" width="19.28515625" style="2" customWidth="1"/>
    <col min="250" max="250" width="14.85546875" style="2" bestFit="1" customWidth="1"/>
    <col min="251" max="251" width="9.140625" style="2"/>
    <col min="252" max="272" width="11.42578125" style="2" customWidth="1"/>
    <col min="273" max="497" width="9.140625" style="2"/>
    <col min="498" max="498" width="4.140625" style="2" customWidth="1"/>
    <col min="499" max="499" width="24" style="2" customWidth="1"/>
    <col min="500" max="500" width="9" style="2" customWidth="1"/>
    <col min="501" max="501" width="16.28515625" style="2" customWidth="1"/>
    <col min="502" max="502" width="12" style="2" customWidth="1"/>
    <col min="503" max="503" width="17.140625" style="2" customWidth="1"/>
    <col min="504" max="504" width="13.85546875" style="2" customWidth="1"/>
    <col min="505" max="505" width="19.28515625" style="2" customWidth="1"/>
    <col min="506" max="506" width="14.85546875" style="2" bestFit="1" customWidth="1"/>
    <col min="507" max="507" width="9.140625" style="2"/>
    <col min="508" max="528" width="11.42578125" style="2" customWidth="1"/>
    <col min="529" max="753" width="9.140625" style="2"/>
    <col min="754" max="754" width="4.140625" style="2" customWidth="1"/>
    <col min="755" max="755" width="24" style="2" customWidth="1"/>
    <col min="756" max="756" width="9" style="2" customWidth="1"/>
    <col min="757" max="757" width="16.28515625" style="2" customWidth="1"/>
    <col min="758" max="758" width="12" style="2" customWidth="1"/>
    <col min="759" max="759" width="17.140625" style="2" customWidth="1"/>
    <col min="760" max="760" width="13.85546875" style="2" customWidth="1"/>
    <col min="761" max="761" width="19.28515625" style="2" customWidth="1"/>
    <col min="762" max="762" width="14.85546875" style="2" bestFit="1" customWidth="1"/>
    <col min="763" max="763" width="9.140625" style="2"/>
    <col min="764" max="784" width="11.42578125" style="2" customWidth="1"/>
    <col min="785" max="1009" width="9.140625" style="2"/>
    <col min="1010" max="1010" width="4.140625" style="2" customWidth="1"/>
    <col min="1011" max="1011" width="24" style="2" customWidth="1"/>
    <col min="1012" max="1012" width="9" style="2" customWidth="1"/>
    <col min="1013" max="1013" width="16.28515625" style="2" customWidth="1"/>
    <col min="1014" max="1014" width="12" style="2" customWidth="1"/>
    <col min="1015" max="1015" width="17.140625" style="2" customWidth="1"/>
    <col min="1016" max="1016" width="13.85546875" style="2" customWidth="1"/>
    <col min="1017" max="1017" width="19.28515625" style="2" customWidth="1"/>
    <col min="1018" max="1018" width="14.85546875" style="2" bestFit="1" customWidth="1"/>
    <col min="1019" max="1019" width="9.140625" style="2"/>
    <col min="1020" max="1040" width="11.42578125" style="2" customWidth="1"/>
    <col min="1041" max="1265" width="9.140625" style="2"/>
    <col min="1266" max="1266" width="4.140625" style="2" customWidth="1"/>
    <col min="1267" max="1267" width="24" style="2" customWidth="1"/>
    <col min="1268" max="1268" width="9" style="2" customWidth="1"/>
    <col min="1269" max="1269" width="16.28515625" style="2" customWidth="1"/>
    <col min="1270" max="1270" width="12" style="2" customWidth="1"/>
    <col min="1271" max="1271" width="17.140625" style="2" customWidth="1"/>
    <col min="1272" max="1272" width="13.85546875" style="2" customWidth="1"/>
    <col min="1273" max="1273" width="19.28515625" style="2" customWidth="1"/>
    <col min="1274" max="1274" width="14.85546875" style="2" bestFit="1" customWidth="1"/>
    <col min="1275" max="1275" width="9.140625" style="2"/>
    <col min="1276" max="1296" width="11.42578125" style="2" customWidth="1"/>
    <col min="1297" max="1521" width="9.140625" style="2"/>
    <col min="1522" max="1522" width="4.140625" style="2" customWidth="1"/>
    <col min="1523" max="1523" width="24" style="2" customWidth="1"/>
    <col min="1524" max="1524" width="9" style="2" customWidth="1"/>
    <col min="1525" max="1525" width="16.28515625" style="2" customWidth="1"/>
    <col min="1526" max="1526" width="12" style="2" customWidth="1"/>
    <col min="1527" max="1527" width="17.140625" style="2" customWidth="1"/>
    <col min="1528" max="1528" width="13.85546875" style="2" customWidth="1"/>
    <col min="1529" max="1529" width="19.28515625" style="2" customWidth="1"/>
    <col min="1530" max="1530" width="14.85546875" style="2" bestFit="1" customWidth="1"/>
    <col min="1531" max="1531" width="9.140625" style="2"/>
    <col min="1532" max="1552" width="11.42578125" style="2" customWidth="1"/>
    <col min="1553" max="1777" width="9.140625" style="2"/>
    <col min="1778" max="1778" width="4.140625" style="2" customWidth="1"/>
    <col min="1779" max="1779" width="24" style="2" customWidth="1"/>
    <col min="1780" max="1780" width="9" style="2" customWidth="1"/>
    <col min="1781" max="1781" width="16.28515625" style="2" customWidth="1"/>
    <col min="1782" max="1782" width="12" style="2" customWidth="1"/>
    <col min="1783" max="1783" width="17.140625" style="2" customWidth="1"/>
    <col min="1784" max="1784" width="13.85546875" style="2" customWidth="1"/>
    <col min="1785" max="1785" width="19.28515625" style="2" customWidth="1"/>
    <col min="1786" max="1786" width="14.85546875" style="2" bestFit="1" customWidth="1"/>
    <col min="1787" max="1787" width="9.140625" style="2"/>
    <col min="1788" max="1808" width="11.42578125" style="2" customWidth="1"/>
    <col min="1809" max="2033" width="9.140625" style="2"/>
    <col min="2034" max="2034" width="4.140625" style="2" customWidth="1"/>
    <col min="2035" max="2035" width="24" style="2" customWidth="1"/>
    <col min="2036" max="2036" width="9" style="2" customWidth="1"/>
    <col min="2037" max="2037" width="16.28515625" style="2" customWidth="1"/>
    <col min="2038" max="2038" width="12" style="2" customWidth="1"/>
    <col min="2039" max="2039" width="17.140625" style="2" customWidth="1"/>
    <col min="2040" max="2040" width="13.85546875" style="2" customWidth="1"/>
    <col min="2041" max="2041" width="19.28515625" style="2" customWidth="1"/>
    <col min="2042" max="2042" width="14.85546875" style="2" bestFit="1" customWidth="1"/>
    <col min="2043" max="2043" width="9.140625" style="2"/>
    <col min="2044" max="2064" width="11.42578125" style="2" customWidth="1"/>
    <col min="2065" max="2289" width="9.140625" style="2"/>
    <col min="2290" max="2290" width="4.140625" style="2" customWidth="1"/>
    <col min="2291" max="2291" width="24" style="2" customWidth="1"/>
    <col min="2292" max="2292" width="9" style="2" customWidth="1"/>
    <col min="2293" max="2293" width="16.28515625" style="2" customWidth="1"/>
    <col min="2294" max="2294" width="12" style="2" customWidth="1"/>
    <col min="2295" max="2295" width="17.140625" style="2" customWidth="1"/>
    <col min="2296" max="2296" width="13.85546875" style="2" customWidth="1"/>
    <col min="2297" max="2297" width="19.28515625" style="2" customWidth="1"/>
    <col min="2298" max="2298" width="14.85546875" style="2" bestFit="1" customWidth="1"/>
    <col min="2299" max="2299" width="9.140625" style="2"/>
    <col min="2300" max="2320" width="11.42578125" style="2" customWidth="1"/>
    <col min="2321" max="2545" width="9.140625" style="2"/>
    <col min="2546" max="2546" width="4.140625" style="2" customWidth="1"/>
    <col min="2547" max="2547" width="24" style="2" customWidth="1"/>
    <col min="2548" max="2548" width="9" style="2" customWidth="1"/>
    <col min="2549" max="2549" width="16.28515625" style="2" customWidth="1"/>
    <col min="2550" max="2550" width="12" style="2" customWidth="1"/>
    <col min="2551" max="2551" width="17.140625" style="2" customWidth="1"/>
    <col min="2552" max="2552" width="13.85546875" style="2" customWidth="1"/>
    <col min="2553" max="2553" width="19.28515625" style="2" customWidth="1"/>
    <col min="2554" max="2554" width="14.85546875" style="2" bestFit="1" customWidth="1"/>
    <col min="2555" max="2555" width="9.140625" style="2"/>
    <col min="2556" max="2576" width="11.42578125" style="2" customWidth="1"/>
    <col min="2577" max="2801" width="9.140625" style="2"/>
    <col min="2802" max="2802" width="4.140625" style="2" customWidth="1"/>
    <col min="2803" max="2803" width="24" style="2" customWidth="1"/>
    <col min="2804" max="2804" width="9" style="2" customWidth="1"/>
    <col min="2805" max="2805" width="16.28515625" style="2" customWidth="1"/>
    <col min="2806" max="2806" width="12" style="2" customWidth="1"/>
    <col min="2807" max="2807" width="17.140625" style="2" customWidth="1"/>
    <col min="2808" max="2808" width="13.85546875" style="2" customWidth="1"/>
    <col min="2809" max="2809" width="19.28515625" style="2" customWidth="1"/>
    <col min="2810" max="2810" width="14.85546875" style="2" bestFit="1" customWidth="1"/>
    <col min="2811" max="2811" width="9.140625" style="2"/>
    <col min="2812" max="2832" width="11.42578125" style="2" customWidth="1"/>
    <col min="2833" max="3057" width="9.140625" style="2"/>
    <col min="3058" max="3058" width="4.140625" style="2" customWidth="1"/>
    <col min="3059" max="3059" width="24" style="2" customWidth="1"/>
    <col min="3060" max="3060" width="9" style="2" customWidth="1"/>
    <col min="3061" max="3061" width="16.28515625" style="2" customWidth="1"/>
    <col min="3062" max="3062" width="12" style="2" customWidth="1"/>
    <col min="3063" max="3063" width="17.140625" style="2" customWidth="1"/>
    <col min="3064" max="3064" width="13.85546875" style="2" customWidth="1"/>
    <col min="3065" max="3065" width="19.28515625" style="2" customWidth="1"/>
    <col min="3066" max="3066" width="14.85546875" style="2" bestFit="1" customWidth="1"/>
    <col min="3067" max="3067" width="9.140625" style="2"/>
    <col min="3068" max="3088" width="11.42578125" style="2" customWidth="1"/>
    <col min="3089" max="3313" width="9.140625" style="2"/>
    <col min="3314" max="3314" width="4.140625" style="2" customWidth="1"/>
    <col min="3315" max="3315" width="24" style="2" customWidth="1"/>
    <col min="3316" max="3316" width="9" style="2" customWidth="1"/>
    <col min="3317" max="3317" width="16.28515625" style="2" customWidth="1"/>
    <col min="3318" max="3318" width="12" style="2" customWidth="1"/>
    <col min="3319" max="3319" width="17.140625" style="2" customWidth="1"/>
    <col min="3320" max="3320" width="13.85546875" style="2" customWidth="1"/>
    <col min="3321" max="3321" width="19.28515625" style="2" customWidth="1"/>
    <col min="3322" max="3322" width="14.85546875" style="2" bestFit="1" customWidth="1"/>
    <col min="3323" max="3323" width="9.140625" style="2"/>
    <col min="3324" max="3344" width="11.42578125" style="2" customWidth="1"/>
    <col min="3345" max="3569" width="9.140625" style="2"/>
    <col min="3570" max="3570" width="4.140625" style="2" customWidth="1"/>
    <col min="3571" max="3571" width="24" style="2" customWidth="1"/>
    <col min="3572" max="3572" width="9" style="2" customWidth="1"/>
    <col min="3573" max="3573" width="16.28515625" style="2" customWidth="1"/>
    <col min="3574" max="3574" width="12" style="2" customWidth="1"/>
    <col min="3575" max="3575" width="17.140625" style="2" customWidth="1"/>
    <col min="3576" max="3576" width="13.85546875" style="2" customWidth="1"/>
    <col min="3577" max="3577" width="19.28515625" style="2" customWidth="1"/>
    <col min="3578" max="3578" width="14.85546875" style="2" bestFit="1" customWidth="1"/>
    <col min="3579" max="3579" width="9.140625" style="2"/>
    <col min="3580" max="3600" width="11.42578125" style="2" customWidth="1"/>
    <col min="3601" max="3825" width="9.140625" style="2"/>
    <col min="3826" max="3826" width="4.140625" style="2" customWidth="1"/>
    <col min="3827" max="3827" width="24" style="2" customWidth="1"/>
    <col min="3828" max="3828" width="9" style="2" customWidth="1"/>
    <col min="3829" max="3829" width="16.28515625" style="2" customWidth="1"/>
    <col min="3830" max="3830" width="12" style="2" customWidth="1"/>
    <col min="3831" max="3831" width="17.140625" style="2" customWidth="1"/>
    <col min="3832" max="3832" width="13.85546875" style="2" customWidth="1"/>
    <col min="3833" max="3833" width="19.28515625" style="2" customWidth="1"/>
    <col min="3834" max="3834" width="14.85546875" style="2" bestFit="1" customWidth="1"/>
    <col min="3835" max="3835" width="9.140625" style="2"/>
    <col min="3836" max="3856" width="11.42578125" style="2" customWidth="1"/>
    <col min="3857" max="4081" width="9.140625" style="2"/>
    <col min="4082" max="4082" width="4.140625" style="2" customWidth="1"/>
    <col min="4083" max="4083" width="24" style="2" customWidth="1"/>
    <col min="4084" max="4084" width="9" style="2" customWidth="1"/>
    <col min="4085" max="4085" width="16.28515625" style="2" customWidth="1"/>
    <col min="4086" max="4086" width="12" style="2" customWidth="1"/>
    <col min="4087" max="4087" width="17.140625" style="2" customWidth="1"/>
    <col min="4088" max="4088" width="13.85546875" style="2" customWidth="1"/>
    <col min="4089" max="4089" width="19.28515625" style="2" customWidth="1"/>
    <col min="4090" max="4090" width="14.85546875" style="2" bestFit="1" customWidth="1"/>
    <col min="4091" max="4091" width="9.140625" style="2"/>
    <col min="4092" max="4112" width="11.42578125" style="2" customWidth="1"/>
    <col min="4113" max="4337" width="9.140625" style="2"/>
    <col min="4338" max="4338" width="4.140625" style="2" customWidth="1"/>
    <col min="4339" max="4339" width="24" style="2" customWidth="1"/>
    <col min="4340" max="4340" width="9" style="2" customWidth="1"/>
    <col min="4341" max="4341" width="16.28515625" style="2" customWidth="1"/>
    <col min="4342" max="4342" width="12" style="2" customWidth="1"/>
    <col min="4343" max="4343" width="17.140625" style="2" customWidth="1"/>
    <col min="4344" max="4344" width="13.85546875" style="2" customWidth="1"/>
    <col min="4345" max="4345" width="19.28515625" style="2" customWidth="1"/>
    <col min="4346" max="4346" width="14.85546875" style="2" bestFit="1" customWidth="1"/>
    <col min="4347" max="4347" width="9.140625" style="2"/>
    <col min="4348" max="4368" width="11.42578125" style="2" customWidth="1"/>
    <col min="4369" max="4593" width="9.140625" style="2"/>
    <col min="4594" max="4594" width="4.140625" style="2" customWidth="1"/>
    <col min="4595" max="4595" width="24" style="2" customWidth="1"/>
    <col min="4596" max="4596" width="9" style="2" customWidth="1"/>
    <col min="4597" max="4597" width="16.28515625" style="2" customWidth="1"/>
    <col min="4598" max="4598" width="12" style="2" customWidth="1"/>
    <col min="4599" max="4599" width="17.140625" style="2" customWidth="1"/>
    <col min="4600" max="4600" width="13.85546875" style="2" customWidth="1"/>
    <col min="4601" max="4601" width="19.28515625" style="2" customWidth="1"/>
    <col min="4602" max="4602" width="14.85546875" style="2" bestFit="1" customWidth="1"/>
    <col min="4603" max="4603" width="9.140625" style="2"/>
    <col min="4604" max="4624" width="11.42578125" style="2" customWidth="1"/>
    <col min="4625" max="4849" width="9.140625" style="2"/>
    <col min="4850" max="4850" width="4.140625" style="2" customWidth="1"/>
    <col min="4851" max="4851" width="24" style="2" customWidth="1"/>
    <col min="4852" max="4852" width="9" style="2" customWidth="1"/>
    <col min="4853" max="4853" width="16.28515625" style="2" customWidth="1"/>
    <col min="4854" max="4854" width="12" style="2" customWidth="1"/>
    <col min="4855" max="4855" width="17.140625" style="2" customWidth="1"/>
    <col min="4856" max="4856" width="13.85546875" style="2" customWidth="1"/>
    <col min="4857" max="4857" width="19.28515625" style="2" customWidth="1"/>
    <col min="4858" max="4858" width="14.85546875" style="2" bestFit="1" customWidth="1"/>
    <col min="4859" max="4859" width="9.140625" style="2"/>
    <col min="4860" max="4880" width="11.42578125" style="2" customWidth="1"/>
    <col min="4881" max="5105" width="9.140625" style="2"/>
    <col min="5106" max="5106" width="4.140625" style="2" customWidth="1"/>
    <col min="5107" max="5107" width="24" style="2" customWidth="1"/>
    <col min="5108" max="5108" width="9" style="2" customWidth="1"/>
    <col min="5109" max="5109" width="16.28515625" style="2" customWidth="1"/>
    <col min="5110" max="5110" width="12" style="2" customWidth="1"/>
    <col min="5111" max="5111" width="17.140625" style="2" customWidth="1"/>
    <col min="5112" max="5112" width="13.85546875" style="2" customWidth="1"/>
    <col min="5113" max="5113" width="19.28515625" style="2" customWidth="1"/>
    <col min="5114" max="5114" width="14.85546875" style="2" bestFit="1" customWidth="1"/>
    <col min="5115" max="5115" width="9.140625" style="2"/>
    <col min="5116" max="5136" width="11.42578125" style="2" customWidth="1"/>
    <col min="5137" max="5361" width="9.140625" style="2"/>
    <col min="5362" max="5362" width="4.140625" style="2" customWidth="1"/>
    <col min="5363" max="5363" width="24" style="2" customWidth="1"/>
    <col min="5364" max="5364" width="9" style="2" customWidth="1"/>
    <col min="5365" max="5365" width="16.28515625" style="2" customWidth="1"/>
    <col min="5366" max="5366" width="12" style="2" customWidth="1"/>
    <col min="5367" max="5367" width="17.140625" style="2" customWidth="1"/>
    <col min="5368" max="5368" width="13.85546875" style="2" customWidth="1"/>
    <col min="5369" max="5369" width="19.28515625" style="2" customWidth="1"/>
    <col min="5370" max="5370" width="14.85546875" style="2" bestFit="1" customWidth="1"/>
    <col min="5371" max="5371" width="9.140625" style="2"/>
    <col min="5372" max="5392" width="11.42578125" style="2" customWidth="1"/>
    <col min="5393" max="5617" width="9.140625" style="2"/>
    <col min="5618" max="5618" width="4.140625" style="2" customWidth="1"/>
    <col min="5619" max="5619" width="24" style="2" customWidth="1"/>
    <col min="5620" max="5620" width="9" style="2" customWidth="1"/>
    <col min="5621" max="5621" width="16.28515625" style="2" customWidth="1"/>
    <col min="5622" max="5622" width="12" style="2" customWidth="1"/>
    <col min="5623" max="5623" width="17.140625" style="2" customWidth="1"/>
    <col min="5624" max="5624" width="13.85546875" style="2" customWidth="1"/>
    <col min="5625" max="5625" width="19.28515625" style="2" customWidth="1"/>
    <col min="5626" max="5626" width="14.85546875" style="2" bestFit="1" customWidth="1"/>
    <col min="5627" max="5627" width="9.140625" style="2"/>
    <col min="5628" max="5648" width="11.42578125" style="2" customWidth="1"/>
    <col min="5649" max="5873" width="9.140625" style="2"/>
    <col min="5874" max="5874" width="4.140625" style="2" customWidth="1"/>
    <col min="5875" max="5875" width="24" style="2" customWidth="1"/>
    <col min="5876" max="5876" width="9" style="2" customWidth="1"/>
    <col min="5877" max="5877" width="16.28515625" style="2" customWidth="1"/>
    <col min="5878" max="5878" width="12" style="2" customWidth="1"/>
    <col min="5879" max="5879" width="17.140625" style="2" customWidth="1"/>
    <col min="5880" max="5880" width="13.85546875" style="2" customWidth="1"/>
    <col min="5881" max="5881" width="19.28515625" style="2" customWidth="1"/>
    <col min="5882" max="5882" width="14.85546875" style="2" bestFit="1" customWidth="1"/>
    <col min="5883" max="5883" width="9.140625" style="2"/>
    <col min="5884" max="5904" width="11.42578125" style="2" customWidth="1"/>
    <col min="5905" max="6129" width="9.140625" style="2"/>
    <col min="6130" max="6130" width="4.140625" style="2" customWidth="1"/>
    <col min="6131" max="6131" width="24" style="2" customWidth="1"/>
    <col min="6132" max="6132" width="9" style="2" customWidth="1"/>
    <col min="6133" max="6133" width="16.28515625" style="2" customWidth="1"/>
    <col min="6134" max="6134" width="12" style="2" customWidth="1"/>
    <col min="6135" max="6135" width="17.140625" style="2" customWidth="1"/>
    <col min="6136" max="6136" width="13.85546875" style="2" customWidth="1"/>
    <col min="6137" max="6137" width="19.28515625" style="2" customWidth="1"/>
    <col min="6138" max="6138" width="14.85546875" style="2" bestFit="1" customWidth="1"/>
    <col min="6139" max="6139" width="9.140625" style="2"/>
    <col min="6140" max="6160" width="11.42578125" style="2" customWidth="1"/>
    <col min="6161" max="6385" width="9.140625" style="2"/>
    <col min="6386" max="6386" width="4.140625" style="2" customWidth="1"/>
    <col min="6387" max="6387" width="24" style="2" customWidth="1"/>
    <col min="6388" max="6388" width="9" style="2" customWidth="1"/>
    <col min="6389" max="6389" width="16.28515625" style="2" customWidth="1"/>
    <col min="6390" max="6390" width="12" style="2" customWidth="1"/>
    <col min="6391" max="6391" width="17.140625" style="2" customWidth="1"/>
    <col min="6392" max="6392" width="13.85546875" style="2" customWidth="1"/>
    <col min="6393" max="6393" width="19.28515625" style="2" customWidth="1"/>
    <col min="6394" max="6394" width="14.85546875" style="2" bestFit="1" customWidth="1"/>
    <col min="6395" max="6395" width="9.140625" style="2"/>
    <col min="6396" max="6416" width="11.42578125" style="2" customWidth="1"/>
    <col min="6417" max="6641" width="9.140625" style="2"/>
    <col min="6642" max="6642" width="4.140625" style="2" customWidth="1"/>
    <col min="6643" max="6643" width="24" style="2" customWidth="1"/>
    <col min="6644" max="6644" width="9" style="2" customWidth="1"/>
    <col min="6645" max="6645" width="16.28515625" style="2" customWidth="1"/>
    <col min="6646" max="6646" width="12" style="2" customWidth="1"/>
    <col min="6647" max="6647" width="17.140625" style="2" customWidth="1"/>
    <col min="6648" max="6648" width="13.85546875" style="2" customWidth="1"/>
    <col min="6649" max="6649" width="19.28515625" style="2" customWidth="1"/>
    <col min="6650" max="6650" width="14.85546875" style="2" bestFit="1" customWidth="1"/>
    <col min="6651" max="6651" width="9.140625" style="2"/>
    <col min="6652" max="6672" width="11.42578125" style="2" customWidth="1"/>
    <col min="6673" max="6897" width="9.140625" style="2"/>
    <col min="6898" max="6898" width="4.140625" style="2" customWidth="1"/>
    <col min="6899" max="6899" width="24" style="2" customWidth="1"/>
    <col min="6900" max="6900" width="9" style="2" customWidth="1"/>
    <col min="6901" max="6901" width="16.28515625" style="2" customWidth="1"/>
    <col min="6902" max="6902" width="12" style="2" customWidth="1"/>
    <col min="6903" max="6903" width="17.140625" style="2" customWidth="1"/>
    <col min="6904" max="6904" width="13.85546875" style="2" customWidth="1"/>
    <col min="6905" max="6905" width="19.28515625" style="2" customWidth="1"/>
    <col min="6906" max="6906" width="14.85546875" style="2" bestFit="1" customWidth="1"/>
    <col min="6907" max="6907" width="9.140625" style="2"/>
    <col min="6908" max="6928" width="11.42578125" style="2" customWidth="1"/>
    <col min="6929" max="7153" width="9.140625" style="2"/>
    <col min="7154" max="7154" width="4.140625" style="2" customWidth="1"/>
    <col min="7155" max="7155" width="24" style="2" customWidth="1"/>
    <col min="7156" max="7156" width="9" style="2" customWidth="1"/>
    <col min="7157" max="7157" width="16.28515625" style="2" customWidth="1"/>
    <col min="7158" max="7158" width="12" style="2" customWidth="1"/>
    <col min="7159" max="7159" width="17.140625" style="2" customWidth="1"/>
    <col min="7160" max="7160" width="13.85546875" style="2" customWidth="1"/>
    <col min="7161" max="7161" width="19.28515625" style="2" customWidth="1"/>
    <col min="7162" max="7162" width="14.85546875" style="2" bestFit="1" customWidth="1"/>
    <col min="7163" max="7163" width="9.140625" style="2"/>
    <col min="7164" max="7184" width="11.42578125" style="2" customWidth="1"/>
    <col min="7185" max="7409" width="9.140625" style="2"/>
    <col min="7410" max="7410" width="4.140625" style="2" customWidth="1"/>
    <col min="7411" max="7411" width="24" style="2" customWidth="1"/>
    <col min="7412" max="7412" width="9" style="2" customWidth="1"/>
    <col min="7413" max="7413" width="16.28515625" style="2" customWidth="1"/>
    <col min="7414" max="7414" width="12" style="2" customWidth="1"/>
    <col min="7415" max="7415" width="17.140625" style="2" customWidth="1"/>
    <col min="7416" max="7416" width="13.85546875" style="2" customWidth="1"/>
    <col min="7417" max="7417" width="19.28515625" style="2" customWidth="1"/>
    <col min="7418" max="7418" width="14.85546875" style="2" bestFit="1" customWidth="1"/>
    <col min="7419" max="7419" width="9.140625" style="2"/>
    <col min="7420" max="7440" width="11.42578125" style="2" customWidth="1"/>
    <col min="7441" max="7665" width="9.140625" style="2"/>
    <col min="7666" max="7666" width="4.140625" style="2" customWidth="1"/>
    <col min="7667" max="7667" width="24" style="2" customWidth="1"/>
    <col min="7668" max="7668" width="9" style="2" customWidth="1"/>
    <col min="7669" max="7669" width="16.28515625" style="2" customWidth="1"/>
    <col min="7670" max="7670" width="12" style="2" customWidth="1"/>
    <col min="7671" max="7671" width="17.140625" style="2" customWidth="1"/>
    <col min="7672" max="7672" width="13.85546875" style="2" customWidth="1"/>
    <col min="7673" max="7673" width="19.28515625" style="2" customWidth="1"/>
    <col min="7674" max="7674" width="14.85546875" style="2" bestFit="1" customWidth="1"/>
    <col min="7675" max="7675" width="9.140625" style="2"/>
    <col min="7676" max="7696" width="11.42578125" style="2" customWidth="1"/>
    <col min="7697" max="7921" width="9.140625" style="2"/>
    <col min="7922" max="7922" width="4.140625" style="2" customWidth="1"/>
    <col min="7923" max="7923" width="24" style="2" customWidth="1"/>
    <col min="7924" max="7924" width="9" style="2" customWidth="1"/>
    <col min="7925" max="7925" width="16.28515625" style="2" customWidth="1"/>
    <col min="7926" max="7926" width="12" style="2" customWidth="1"/>
    <col min="7927" max="7927" width="17.140625" style="2" customWidth="1"/>
    <col min="7928" max="7928" width="13.85546875" style="2" customWidth="1"/>
    <col min="7929" max="7929" width="19.28515625" style="2" customWidth="1"/>
    <col min="7930" max="7930" width="14.85546875" style="2" bestFit="1" customWidth="1"/>
    <col min="7931" max="7931" width="9.140625" style="2"/>
    <col min="7932" max="7952" width="11.42578125" style="2" customWidth="1"/>
    <col min="7953" max="8177" width="9.140625" style="2"/>
    <col min="8178" max="8178" width="4.140625" style="2" customWidth="1"/>
    <col min="8179" max="8179" width="24" style="2" customWidth="1"/>
    <col min="8180" max="8180" width="9" style="2" customWidth="1"/>
    <col min="8181" max="8181" width="16.28515625" style="2" customWidth="1"/>
    <col min="8182" max="8182" width="12" style="2" customWidth="1"/>
    <col min="8183" max="8183" width="17.140625" style="2" customWidth="1"/>
    <col min="8184" max="8184" width="13.85546875" style="2" customWidth="1"/>
    <col min="8185" max="8185" width="19.28515625" style="2" customWidth="1"/>
    <col min="8186" max="8186" width="14.85546875" style="2" bestFit="1" customWidth="1"/>
    <col min="8187" max="8187" width="9.140625" style="2"/>
    <col min="8188" max="8208" width="11.42578125" style="2" customWidth="1"/>
    <col min="8209" max="8433" width="9.140625" style="2"/>
    <col min="8434" max="8434" width="4.140625" style="2" customWidth="1"/>
    <col min="8435" max="8435" width="24" style="2" customWidth="1"/>
    <col min="8436" max="8436" width="9" style="2" customWidth="1"/>
    <col min="8437" max="8437" width="16.28515625" style="2" customWidth="1"/>
    <col min="8438" max="8438" width="12" style="2" customWidth="1"/>
    <col min="8439" max="8439" width="17.140625" style="2" customWidth="1"/>
    <col min="8440" max="8440" width="13.85546875" style="2" customWidth="1"/>
    <col min="8441" max="8441" width="19.28515625" style="2" customWidth="1"/>
    <col min="8442" max="8442" width="14.85546875" style="2" bestFit="1" customWidth="1"/>
    <col min="8443" max="8443" width="9.140625" style="2"/>
    <col min="8444" max="8464" width="11.42578125" style="2" customWidth="1"/>
    <col min="8465" max="8689" width="9.140625" style="2"/>
    <col min="8690" max="8690" width="4.140625" style="2" customWidth="1"/>
    <col min="8691" max="8691" width="24" style="2" customWidth="1"/>
    <col min="8692" max="8692" width="9" style="2" customWidth="1"/>
    <col min="8693" max="8693" width="16.28515625" style="2" customWidth="1"/>
    <col min="8694" max="8694" width="12" style="2" customWidth="1"/>
    <col min="8695" max="8695" width="17.140625" style="2" customWidth="1"/>
    <col min="8696" max="8696" width="13.85546875" style="2" customWidth="1"/>
    <col min="8697" max="8697" width="19.28515625" style="2" customWidth="1"/>
    <col min="8698" max="8698" width="14.85546875" style="2" bestFit="1" customWidth="1"/>
    <col min="8699" max="8699" width="9.140625" style="2"/>
    <col min="8700" max="8720" width="11.42578125" style="2" customWidth="1"/>
    <col min="8721" max="8945" width="9.140625" style="2"/>
    <col min="8946" max="8946" width="4.140625" style="2" customWidth="1"/>
    <col min="8947" max="8947" width="24" style="2" customWidth="1"/>
    <col min="8948" max="8948" width="9" style="2" customWidth="1"/>
    <col min="8949" max="8949" width="16.28515625" style="2" customWidth="1"/>
    <col min="8950" max="8950" width="12" style="2" customWidth="1"/>
    <col min="8951" max="8951" width="17.140625" style="2" customWidth="1"/>
    <col min="8952" max="8952" width="13.85546875" style="2" customWidth="1"/>
    <col min="8953" max="8953" width="19.28515625" style="2" customWidth="1"/>
    <col min="8954" max="8954" width="14.85546875" style="2" bestFit="1" customWidth="1"/>
    <col min="8955" max="8955" width="9.140625" style="2"/>
    <col min="8956" max="8976" width="11.42578125" style="2" customWidth="1"/>
    <col min="8977" max="9201" width="9.140625" style="2"/>
    <col min="9202" max="9202" width="4.140625" style="2" customWidth="1"/>
    <col min="9203" max="9203" width="24" style="2" customWidth="1"/>
    <col min="9204" max="9204" width="9" style="2" customWidth="1"/>
    <col min="9205" max="9205" width="16.28515625" style="2" customWidth="1"/>
    <col min="9206" max="9206" width="12" style="2" customWidth="1"/>
    <col min="9207" max="9207" width="17.140625" style="2" customWidth="1"/>
    <col min="9208" max="9208" width="13.85546875" style="2" customWidth="1"/>
    <col min="9209" max="9209" width="19.28515625" style="2" customWidth="1"/>
    <col min="9210" max="9210" width="14.85546875" style="2" bestFit="1" customWidth="1"/>
    <col min="9211" max="9211" width="9.140625" style="2"/>
    <col min="9212" max="9232" width="11.42578125" style="2" customWidth="1"/>
    <col min="9233" max="9457" width="9.140625" style="2"/>
    <col min="9458" max="9458" width="4.140625" style="2" customWidth="1"/>
    <col min="9459" max="9459" width="24" style="2" customWidth="1"/>
    <col min="9460" max="9460" width="9" style="2" customWidth="1"/>
    <col min="9461" max="9461" width="16.28515625" style="2" customWidth="1"/>
    <col min="9462" max="9462" width="12" style="2" customWidth="1"/>
    <col min="9463" max="9463" width="17.140625" style="2" customWidth="1"/>
    <col min="9464" max="9464" width="13.85546875" style="2" customWidth="1"/>
    <col min="9465" max="9465" width="19.28515625" style="2" customWidth="1"/>
    <col min="9466" max="9466" width="14.85546875" style="2" bestFit="1" customWidth="1"/>
    <col min="9467" max="9467" width="9.140625" style="2"/>
    <col min="9468" max="9488" width="11.42578125" style="2" customWidth="1"/>
    <col min="9489" max="9713" width="9.140625" style="2"/>
    <col min="9714" max="9714" width="4.140625" style="2" customWidth="1"/>
    <col min="9715" max="9715" width="24" style="2" customWidth="1"/>
    <col min="9716" max="9716" width="9" style="2" customWidth="1"/>
    <col min="9717" max="9717" width="16.28515625" style="2" customWidth="1"/>
    <col min="9718" max="9718" width="12" style="2" customWidth="1"/>
    <col min="9719" max="9719" width="17.140625" style="2" customWidth="1"/>
    <col min="9720" max="9720" width="13.85546875" style="2" customWidth="1"/>
    <col min="9721" max="9721" width="19.28515625" style="2" customWidth="1"/>
    <col min="9722" max="9722" width="14.85546875" style="2" bestFit="1" customWidth="1"/>
    <col min="9723" max="9723" width="9.140625" style="2"/>
    <col min="9724" max="9744" width="11.42578125" style="2" customWidth="1"/>
    <col min="9745" max="9969" width="9.140625" style="2"/>
    <col min="9970" max="9970" width="4.140625" style="2" customWidth="1"/>
    <col min="9971" max="9971" width="24" style="2" customWidth="1"/>
    <col min="9972" max="9972" width="9" style="2" customWidth="1"/>
    <col min="9973" max="9973" width="16.28515625" style="2" customWidth="1"/>
    <col min="9974" max="9974" width="12" style="2" customWidth="1"/>
    <col min="9975" max="9975" width="17.140625" style="2" customWidth="1"/>
    <col min="9976" max="9976" width="13.85546875" style="2" customWidth="1"/>
    <col min="9977" max="9977" width="19.28515625" style="2" customWidth="1"/>
    <col min="9978" max="9978" width="14.85546875" style="2" bestFit="1" customWidth="1"/>
    <col min="9979" max="9979" width="9.140625" style="2"/>
    <col min="9980" max="10000" width="11.42578125" style="2" customWidth="1"/>
    <col min="10001" max="10225" width="9.140625" style="2"/>
    <col min="10226" max="10226" width="4.140625" style="2" customWidth="1"/>
    <col min="10227" max="10227" width="24" style="2" customWidth="1"/>
    <col min="10228" max="10228" width="9" style="2" customWidth="1"/>
    <col min="10229" max="10229" width="16.28515625" style="2" customWidth="1"/>
    <col min="10230" max="10230" width="12" style="2" customWidth="1"/>
    <col min="10231" max="10231" width="17.140625" style="2" customWidth="1"/>
    <col min="10232" max="10232" width="13.85546875" style="2" customWidth="1"/>
    <col min="10233" max="10233" width="19.28515625" style="2" customWidth="1"/>
    <col min="10234" max="10234" width="14.85546875" style="2" bestFit="1" customWidth="1"/>
    <col min="10235" max="10235" width="9.140625" style="2"/>
    <col min="10236" max="10256" width="11.42578125" style="2" customWidth="1"/>
    <col min="10257" max="10481" width="9.140625" style="2"/>
    <col min="10482" max="10482" width="4.140625" style="2" customWidth="1"/>
    <col min="10483" max="10483" width="24" style="2" customWidth="1"/>
    <col min="10484" max="10484" width="9" style="2" customWidth="1"/>
    <col min="10485" max="10485" width="16.28515625" style="2" customWidth="1"/>
    <col min="10486" max="10486" width="12" style="2" customWidth="1"/>
    <col min="10487" max="10487" width="17.140625" style="2" customWidth="1"/>
    <col min="10488" max="10488" width="13.85546875" style="2" customWidth="1"/>
    <col min="10489" max="10489" width="19.28515625" style="2" customWidth="1"/>
    <col min="10490" max="10490" width="14.85546875" style="2" bestFit="1" customWidth="1"/>
    <col min="10491" max="10491" width="9.140625" style="2"/>
    <col min="10492" max="10512" width="11.42578125" style="2" customWidth="1"/>
    <col min="10513" max="10737" width="9.140625" style="2"/>
    <col min="10738" max="10738" width="4.140625" style="2" customWidth="1"/>
    <col min="10739" max="10739" width="24" style="2" customWidth="1"/>
    <col min="10740" max="10740" width="9" style="2" customWidth="1"/>
    <col min="10741" max="10741" width="16.28515625" style="2" customWidth="1"/>
    <col min="10742" max="10742" width="12" style="2" customWidth="1"/>
    <col min="10743" max="10743" width="17.140625" style="2" customWidth="1"/>
    <col min="10744" max="10744" width="13.85546875" style="2" customWidth="1"/>
    <col min="10745" max="10745" width="19.28515625" style="2" customWidth="1"/>
    <col min="10746" max="10746" width="14.85546875" style="2" bestFit="1" customWidth="1"/>
    <col min="10747" max="10747" width="9.140625" style="2"/>
    <col min="10748" max="10768" width="11.42578125" style="2" customWidth="1"/>
    <col min="10769" max="10993" width="9.140625" style="2"/>
    <col min="10994" max="10994" width="4.140625" style="2" customWidth="1"/>
    <col min="10995" max="10995" width="24" style="2" customWidth="1"/>
    <col min="10996" max="10996" width="9" style="2" customWidth="1"/>
    <col min="10997" max="10997" width="16.28515625" style="2" customWidth="1"/>
    <col min="10998" max="10998" width="12" style="2" customWidth="1"/>
    <col min="10999" max="10999" width="17.140625" style="2" customWidth="1"/>
    <col min="11000" max="11000" width="13.85546875" style="2" customWidth="1"/>
    <col min="11001" max="11001" width="19.28515625" style="2" customWidth="1"/>
    <col min="11002" max="11002" width="14.85546875" style="2" bestFit="1" customWidth="1"/>
    <col min="11003" max="11003" width="9.140625" style="2"/>
    <col min="11004" max="11024" width="11.42578125" style="2" customWidth="1"/>
    <col min="11025" max="11249" width="9.140625" style="2"/>
    <col min="11250" max="11250" width="4.140625" style="2" customWidth="1"/>
    <col min="11251" max="11251" width="24" style="2" customWidth="1"/>
    <col min="11252" max="11252" width="9" style="2" customWidth="1"/>
    <col min="11253" max="11253" width="16.28515625" style="2" customWidth="1"/>
    <col min="11254" max="11254" width="12" style="2" customWidth="1"/>
    <col min="11255" max="11255" width="17.140625" style="2" customWidth="1"/>
    <col min="11256" max="11256" width="13.85546875" style="2" customWidth="1"/>
    <col min="11257" max="11257" width="19.28515625" style="2" customWidth="1"/>
    <col min="11258" max="11258" width="14.85546875" style="2" bestFit="1" customWidth="1"/>
    <col min="11259" max="11259" width="9.140625" style="2"/>
    <col min="11260" max="11280" width="11.42578125" style="2" customWidth="1"/>
    <col min="11281" max="11505" width="9.140625" style="2"/>
    <col min="11506" max="11506" width="4.140625" style="2" customWidth="1"/>
    <col min="11507" max="11507" width="24" style="2" customWidth="1"/>
    <col min="11508" max="11508" width="9" style="2" customWidth="1"/>
    <col min="11509" max="11509" width="16.28515625" style="2" customWidth="1"/>
    <col min="11510" max="11510" width="12" style="2" customWidth="1"/>
    <col min="11511" max="11511" width="17.140625" style="2" customWidth="1"/>
    <col min="11512" max="11512" width="13.85546875" style="2" customWidth="1"/>
    <col min="11513" max="11513" width="19.28515625" style="2" customWidth="1"/>
    <col min="11514" max="11514" width="14.85546875" style="2" bestFit="1" customWidth="1"/>
    <col min="11515" max="11515" width="9.140625" style="2"/>
    <col min="11516" max="11536" width="11.42578125" style="2" customWidth="1"/>
    <col min="11537" max="11761" width="9.140625" style="2"/>
    <col min="11762" max="11762" width="4.140625" style="2" customWidth="1"/>
    <col min="11763" max="11763" width="24" style="2" customWidth="1"/>
    <col min="11764" max="11764" width="9" style="2" customWidth="1"/>
    <col min="11765" max="11765" width="16.28515625" style="2" customWidth="1"/>
    <col min="11766" max="11766" width="12" style="2" customWidth="1"/>
    <col min="11767" max="11767" width="17.140625" style="2" customWidth="1"/>
    <col min="11768" max="11768" width="13.85546875" style="2" customWidth="1"/>
    <col min="11769" max="11769" width="19.28515625" style="2" customWidth="1"/>
    <col min="11770" max="11770" width="14.85546875" style="2" bestFit="1" customWidth="1"/>
    <col min="11771" max="11771" width="9.140625" style="2"/>
    <col min="11772" max="11792" width="11.42578125" style="2" customWidth="1"/>
    <col min="11793" max="12017" width="9.140625" style="2"/>
    <col min="12018" max="12018" width="4.140625" style="2" customWidth="1"/>
    <col min="12019" max="12019" width="24" style="2" customWidth="1"/>
    <col min="12020" max="12020" width="9" style="2" customWidth="1"/>
    <col min="12021" max="12021" width="16.28515625" style="2" customWidth="1"/>
    <col min="12022" max="12022" width="12" style="2" customWidth="1"/>
    <col min="12023" max="12023" width="17.140625" style="2" customWidth="1"/>
    <col min="12024" max="12024" width="13.85546875" style="2" customWidth="1"/>
    <col min="12025" max="12025" width="19.28515625" style="2" customWidth="1"/>
    <col min="12026" max="12026" width="14.85546875" style="2" bestFit="1" customWidth="1"/>
    <col min="12027" max="12027" width="9.140625" style="2"/>
    <col min="12028" max="12048" width="11.42578125" style="2" customWidth="1"/>
    <col min="12049" max="12273" width="9.140625" style="2"/>
    <col min="12274" max="12274" width="4.140625" style="2" customWidth="1"/>
    <col min="12275" max="12275" width="24" style="2" customWidth="1"/>
    <col min="12276" max="12276" width="9" style="2" customWidth="1"/>
    <col min="12277" max="12277" width="16.28515625" style="2" customWidth="1"/>
    <col min="12278" max="12278" width="12" style="2" customWidth="1"/>
    <col min="12279" max="12279" width="17.140625" style="2" customWidth="1"/>
    <col min="12280" max="12280" width="13.85546875" style="2" customWidth="1"/>
    <col min="12281" max="12281" width="19.28515625" style="2" customWidth="1"/>
    <col min="12282" max="12282" width="14.85546875" style="2" bestFit="1" customWidth="1"/>
    <col min="12283" max="12283" width="9.140625" style="2"/>
    <col min="12284" max="12304" width="11.42578125" style="2" customWidth="1"/>
    <col min="12305" max="12529" width="9.140625" style="2"/>
    <col min="12530" max="12530" width="4.140625" style="2" customWidth="1"/>
    <col min="12531" max="12531" width="24" style="2" customWidth="1"/>
    <col min="12532" max="12532" width="9" style="2" customWidth="1"/>
    <col min="12533" max="12533" width="16.28515625" style="2" customWidth="1"/>
    <col min="12534" max="12534" width="12" style="2" customWidth="1"/>
    <col min="12535" max="12535" width="17.140625" style="2" customWidth="1"/>
    <col min="12536" max="12536" width="13.85546875" style="2" customWidth="1"/>
    <col min="12537" max="12537" width="19.28515625" style="2" customWidth="1"/>
    <col min="12538" max="12538" width="14.85546875" style="2" bestFit="1" customWidth="1"/>
    <col min="12539" max="12539" width="9.140625" style="2"/>
    <col min="12540" max="12560" width="11.42578125" style="2" customWidth="1"/>
    <col min="12561" max="12785" width="9.140625" style="2"/>
    <col min="12786" max="12786" width="4.140625" style="2" customWidth="1"/>
    <col min="12787" max="12787" width="24" style="2" customWidth="1"/>
    <col min="12788" max="12788" width="9" style="2" customWidth="1"/>
    <col min="12789" max="12789" width="16.28515625" style="2" customWidth="1"/>
    <col min="12790" max="12790" width="12" style="2" customWidth="1"/>
    <col min="12791" max="12791" width="17.140625" style="2" customWidth="1"/>
    <col min="12792" max="12792" width="13.85546875" style="2" customWidth="1"/>
    <col min="12793" max="12793" width="19.28515625" style="2" customWidth="1"/>
    <col min="12794" max="12794" width="14.85546875" style="2" bestFit="1" customWidth="1"/>
    <col min="12795" max="12795" width="9.140625" style="2"/>
    <col min="12796" max="12816" width="11.42578125" style="2" customWidth="1"/>
    <col min="12817" max="13041" width="9.140625" style="2"/>
    <col min="13042" max="13042" width="4.140625" style="2" customWidth="1"/>
    <col min="13043" max="13043" width="24" style="2" customWidth="1"/>
    <col min="13044" max="13044" width="9" style="2" customWidth="1"/>
    <col min="13045" max="13045" width="16.28515625" style="2" customWidth="1"/>
    <col min="13046" max="13046" width="12" style="2" customWidth="1"/>
    <col min="13047" max="13047" width="17.140625" style="2" customWidth="1"/>
    <col min="13048" max="13048" width="13.85546875" style="2" customWidth="1"/>
    <col min="13049" max="13049" width="19.28515625" style="2" customWidth="1"/>
    <col min="13050" max="13050" width="14.85546875" style="2" bestFit="1" customWidth="1"/>
    <col min="13051" max="13051" width="9.140625" style="2"/>
    <col min="13052" max="13072" width="11.42578125" style="2" customWidth="1"/>
    <col min="13073" max="13297" width="9.140625" style="2"/>
    <col min="13298" max="13298" width="4.140625" style="2" customWidth="1"/>
    <col min="13299" max="13299" width="24" style="2" customWidth="1"/>
    <col min="13300" max="13300" width="9" style="2" customWidth="1"/>
    <col min="13301" max="13301" width="16.28515625" style="2" customWidth="1"/>
    <col min="13302" max="13302" width="12" style="2" customWidth="1"/>
    <col min="13303" max="13303" width="17.140625" style="2" customWidth="1"/>
    <col min="13304" max="13304" width="13.85546875" style="2" customWidth="1"/>
    <col min="13305" max="13305" width="19.28515625" style="2" customWidth="1"/>
    <col min="13306" max="13306" width="14.85546875" style="2" bestFit="1" customWidth="1"/>
    <col min="13307" max="13307" width="9.140625" style="2"/>
    <col min="13308" max="13328" width="11.42578125" style="2" customWidth="1"/>
    <col min="13329" max="13553" width="9.140625" style="2"/>
    <col min="13554" max="13554" width="4.140625" style="2" customWidth="1"/>
    <col min="13555" max="13555" width="24" style="2" customWidth="1"/>
    <col min="13556" max="13556" width="9" style="2" customWidth="1"/>
    <col min="13557" max="13557" width="16.28515625" style="2" customWidth="1"/>
    <col min="13558" max="13558" width="12" style="2" customWidth="1"/>
    <col min="13559" max="13559" width="17.140625" style="2" customWidth="1"/>
    <col min="13560" max="13560" width="13.85546875" style="2" customWidth="1"/>
    <col min="13561" max="13561" width="19.28515625" style="2" customWidth="1"/>
    <col min="13562" max="13562" width="14.85546875" style="2" bestFit="1" customWidth="1"/>
    <col min="13563" max="13563" width="9.140625" style="2"/>
    <col min="13564" max="13584" width="11.42578125" style="2" customWidth="1"/>
    <col min="13585" max="13809" width="9.140625" style="2"/>
    <col min="13810" max="13810" width="4.140625" style="2" customWidth="1"/>
    <col min="13811" max="13811" width="24" style="2" customWidth="1"/>
    <col min="13812" max="13812" width="9" style="2" customWidth="1"/>
    <col min="13813" max="13813" width="16.28515625" style="2" customWidth="1"/>
    <col min="13814" max="13814" width="12" style="2" customWidth="1"/>
    <col min="13815" max="13815" width="17.140625" style="2" customWidth="1"/>
    <col min="13816" max="13816" width="13.85546875" style="2" customWidth="1"/>
    <col min="13817" max="13817" width="19.28515625" style="2" customWidth="1"/>
    <col min="13818" max="13818" width="14.85546875" style="2" bestFit="1" customWidth="1"/>
    <col min="13819" max="13819" width="9.140625" style="2"/>
    <col min="13820" max="13840" width="11.42578125" style="2" customWidth="1"/>
    <col min="13841" max="14065" width="9.140625" style="2"/>
    <col min="14066" max="14066" width="4.140625" style="2" customWidth="1"/>
    <col min="14067" max="14067" width="24" style="2" customWidth="1"/>
    <col min="14068" max="14068" width="9" style="2" customWidth="1"/>
    <col min="14069" max="14069" width="16.28515625" style="2" customWidth="1"/>
    <col min="14070" max="14070" width="12" style="2" customWidth="1"/>
    <col min="14071" max="14071" width="17.140625" style="2" customWidth="1"/>
    <col min="14072" max="14072" width="13.85546875" style="2" customWidth="1"/>
    <col min="14073" max="14073" width="19.28515625" style="2" customWidth="1"/>
    <col min="14074" max="14074" width="14.85546875" style="2" bestFit="1" customWidth="1"/>
    <col min="14075" max="14075" width="9.140625" style="2"/>
    <col min="14076" max="14096" width="11.42578125" style="2" customWidth="1"/>
    <col min="14097" max="14321" width="9.140625" style="2"/>
    <col min="14322" max="14322" width="4.140625" style="2" customWidth="1"/>
    <col min="14323" max="14323" width="24" style="2" customWidth="1"/>
    <col min="14324" max="14324" width="9" style="2" customWidth="1"/>
    <col min="14325" max="14325" width="16.28515625" style="2" customWidth="1"/>
    <col min="14326" max="14326" width="12" style="2" customWidth="1"/>
    <col min="14327" max="14327" width="17.140625" style="2" customWidth="1"/>
    <col min="14328" max="14328" width="13.85546875" style="2" customWidth="1"/>
    <col min="14329" max="14329" width="19.28515625" style="2" customWidth="1"/>
    <col min="14330" max="14330" width="14.85546875" style="2" bestFit="1" customWidth="1"/>
    <col min="14331" max="14331" width="9.140625" style="2"/>
    <col min="14332" max="14352" width="11.42578125" style="2" customWidth="1"/>
    <col min="14353" max="14577" width="9.140625" style="2"/>
    <col min="14578" max="14578" width="4.140625" style="2" customWidth="1"/>
    <col min="14579" max="14579" width="24" style="2" customWidth="1"/>
    <col min="14580" max="14580" width="9" style="2" customWidth="1"/>
    <col min="14581" max="14581" width="16.28515625" style="2" customWidth="1"/>
    <col min="14582" max="14582" width="12" style="2" customWidth="1"/>
    <col min="14583" max="14583" width="17.140625" style="2" customWidth="1"/>
    <col min="14584" max="14584" width="13.85546875" style="2" customWidth="1"/>
    <col min="14585" max="14585" width="19.28515625" style="2" customWidth="1"/>
    <col min="14586" max="14586" width="14.85546875" style="2" bestFit="1" customWidth="1"/>
    <col min="14587" max="14587" width="9.140625" style="2"/>
    <col min="14588" max="14608" width="11.42578125" style="2" customWidth="1"/>
    <col min="14609" max="14833" width="9.140625" style="2"/>
    <col min="14834" max="14834" width="4.140625" style="2" customWidth="1"/>
    <col min="14835" max="14835" width="24" style="2" customWidth="1"/>
    <col min="14836" max="14836" width="9" style="2" customWidth="1"/>
    <col min="14837" max="14837" width="16.28515625" style="2" customWidth="1"/>
    <col min="14838" max="14838" width="12" style="2" customWidth="1"/>
    <col min="14839" max="14839" width="17.140625" style="2" customWidth="1"/>
    <col min="14840" max="14840" width="13.85546875" style="2" customWidth="1"/>
    <col min="14841" max="14841" width="19.28515625" style="2" customWidth="1"/>
    <col min="14842" max="14842" width="14.85546875" style="2" bestFit="1" customWidth="1"/>
    <col min="14843" max="14843" width="9.140625" style="2"/>
    <col min="14844" max="14864" width="11.42578125" style="2" customWidth="1"/>
    <col min="14865" max="15089" width="9.140625" style="2"/>
    <col min="15090" max="15090" width="4.140625" style="2" customWidth="1"/>
    <col min="15091" max="15091" width="24" style="2" customWidth="1"/>
    <col min="15092" max="15092" width="9" style="2" customWidth="1"/>
    <col min="15093" max="15093" width="16.28515625" style="2" customWidth="1"/>
    <col min="15094" max="15094" width="12" style="2" customWidth="1"/>
    <col min="15095" max="15095" width="17.140625" style="2" customWidth="1"/>
    <col min="15096" max="15096" width="13.85546875" style="2" customWidth="1"/>
    <col min="15097" max="15097" width="19.28515625" style="2" customWidth="1"/>
    <col min="15098" max="15098" width="14.85546875" style="2" bestFit="1" customWidth="1"/>
    <col min="15099" max="15099" width="9.140625" style="2"/>
    <col min="15100" max="15120" width="11.42578125" style="2" customWidth="1"/>
    <col min="15121" max="15345" width="9.140625" style="2"/>
    <col min="15346" max="15346" width="4.140625" style="2" customWidth="1"/>
    <col min="15347" max="15347" width="24" style="2" customWidth="1"/>
    <col min="15348" max="15348" width="9" style="2" customWidth="1"/>
    <col min="15349" max="15349" width="16.28515625" style="2" customWidth="1"/>
    <col min="15350" max="15350" width="12" style="2" customWidth="1"/>
    <col min="15351" max="15351" width="17.140625" style="2" customWidth="1"/>
    <col min="15352" max="15352" width="13.85546875" style="2" customWidth="1"/>
    <col min="15353" max="15353" width="19.28515625" style="2" customWidth="1"/>
    <col min="15354" max="15354" width="14.85546875" style="2" bestFit="1" customWidth="1"/>
    <col min="15355" max="15355" width="9.140625" style="2"/>
    <col min="15356" max="15376" width="11.42578125" style="2" customWidth="1"/>
    <col min="15377" max="15601" width="9.140625" style="2"/>
    <col min="15602" max="15602" width="4.140625" style="2" customWidth="1"/>
    <col min="15603" max="15603" width="24" style="2" customWidth="1"/>
    <col min="15604" max="15604" width="9" style="2" customWidth="1"/>
    <col min="15605" max="15605" width="16.28515625" style="2" customWidth="1"/>
    <col min="15606" max="15606" width="12" style="2" customWidth="1"/>
    <col min="15607" max="15607" width="17.140625" style="2" customWidth="1"/>
    <col min="15608" max="15608" width="13.85546875" style="2" customWidth="1"/>
    <col min="15609" max="15609" width="19.28515625" style="2" customWidth="1"/>
    <col min="15610" max="15610" width="14.85546875" style="2" bestFit="1" customWidth="1"/>
    <col min="15611" max="15611" width="9.140625" style="2"/>
    <col min="15612" max="15632" width="11.42578125" style="2" customWidth="1"/>
    <col min="15633" max="15857" width="9.140625" style="2"/>
    <col min="15858" max="15858" width="4.140625" style="2" customWidth="1"/>
    <col min="15859" max="15859" width="24" style="2" customWidth="1"/>
    <col min="15860" max="15860" width="9" style="2" customWidth="1"/>
    <col min="15861" max="15861" width="16.28515625" style="2" customWidth="1"/>
    <col min="15862" max="15862" width="12" style="2" customWidth="1"/>
    <col min="15863" max="15863" width="17.140625" style="2" customWidth="1"/>
    <col min="15864" max="15864" width="13.85546875" style="2" customWidth="1"/>
    <col min="15865" max="15865" width="19.28515625" style="2" customWidth="1"/>
    <col min="15866" max="15866" width="14.85546875" style="2" bestFit="1" customWidth="1"/>
    <col min="15867" max="15867" width="9.140625" style="2"/>
    <col min="15868" max="15888" width="11.42578125" style="2" customWidth="1"/>
    <col min="15889" max="16113" width="9.140625" style="2"/>
    <col min="16114" max="16114" width="4.140625" style="2" customWidth="1"/>
    <col min="16115" max="16115" width="24" style="2" customWidth="1"/>
    <col min="16116" max="16116" width="9" style="2" customWidth="1"/>
    <col min="16117" max="16117" width="16.28515625" style="2" customWidth="1"/>
    <col min="16118" max="16118" width="12" style="2" customWidth="1"/>
    <col min="16119" max="16119" width="17.140625" style="2" customWidth="1"/>
    <col min="16120" max="16120" width="13.85546875" style="2" customWidth="1"/>
    <col min="16121" max="16121" width="19.28515625" style="2" customWidth="1"/>
    <col min="16122" max="16122" width="14.85546875" style="2" bestFit="1" customWidth="1"/>
    <col min="16123" max="16123" width="9.140625" style="2"/>
    <col min="16124" max="16144" width="11.42578125" style="2" customWidth="1"/>
    <col min="16145" max="16383" width="9.140625" style="2"/>
    <col min="16384" max="16384" width="9.140625" style="2" customWidth="1"/>
  </cols>
  <sheetData>
    <row r="1" spans="1:19" s="1" customFormat="1" ht="18" customHeight="1">
      <c r="A1" s="1" t="s">
        <v>13</v>
      </c>
    </row>
    <row r="2" spans="1:19" s="3" customFormat="1" ht="37.5" customHeight="1">
      <c r="A2" s="170" t="s">
        <v>14</v>
      </c>
      <c r="B2" s="170"/>
      <c r="C2" s="170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ht="18" customHeight="1">
      <c r="A3" s="171"/>
      <c r="B3" s="171"/>
      <c r="C3" s="171"/>
    </row>
    <row r="4" spans="1:19" ht="18" customHeight="1">
      <c r="D4" s="4"/>
      <c r="E4" s="5"/>
      <c r="F4" s="6"/>
      <c r="G4" s="6"/>
      <c r="H4" s="6"/>
      <c r="I4" s="6"/>
      <c r="J4" s="6"/>
      <c r="K4" s="6"/>
      <c r="L4" s="6"/>
      <c r="M4" s="7"/>
    </row>
    <row r="5" spans="1:19" ht="29.25" customHeight="1">
      <c r="A5" s="172" t="s">
        <v>0</v>
      </c>
      <c r="B5" s="172" t="s">
        <v>1</v>
      </c>
      <c r="C5" s="172" t="s">
        <v>2</v>
      </c>
      <c r="D5" s="174" t="s">
        <v>57</v>
      </c>
      <c r="E5" s="176" t="s">
        <v>3</v>
      </c>
      <c r="F5" s="177" t="s">
        <v>4</v>
      </c>
      <c r="G5" s="177" t="s">
        <v>5</v>
      </c>
      <c r="H5" s="177" t="s">
        <v>16</v>
      </c>
      <c r="I5" s="177" t="s">
        <v>6</v>
      </c>
      <c r="J5" s="177" t="s">
        <v>7</v>
      </c>
      <c r="K5" s="177" t="s">
        <v>8</v>
      </c>
      <c r="L5" s="177" t="s">
        <v>9</v>
      </c>
      <c r="M5" s="174" t="s">
        <v>10</v>
      </c>
      <c r="N5" s="174" t="s">
        <v>11</v>
      </c>
      <c r="O5" s="179" t="s">
        <v>17</v>
      </c>
      <c r="P5" s="178" t="s">
        <v>37</v>
      </c>
      <c r="Q5" s="178" t="s">
        <v>40</v>
      </c>
      <c r="R5" s="178" t="s">
        <v>28</v>
      </c>
      <c r="S5" s="178" t="s">
        <v>55</v>
      </c>
    </row>
    <row r="6" spans="1:19" ht="18" customHeight="1">
      <c r="A6" s="173"/>
      <c r="B6" s="173"/>
      <c r="C6" s="173"/>
      <c r="D6" s="174"/>
      <c r="E6" s="176"/>
      <c r="F6" s="177"/>
      <c r="G6" s="177"/>
      <c r="H6" s="177"/>
      <c r="I6" s="177"/>
      <c r="J6" s="177"/>
      <c r="K6" s="177"/>
      <c r="L6" s="177"/>
      <c r="M6" s="174"/>
      <c r="N6" s="174"/>
      <c r="O6" s="179"/>
      <c r="P6" s="178"/>
      <c r="Q6" s="178"/>
      <c r="R6" s="178"/>
      <c r="S6" s="178"/>
    </row>
    <row r="7" spans="1:19" ht="18" hidden="1" customHeight="1">
      <c r="A7" s="26"/>
      <c r="B7" s="26"/>
      <c r="C7" s="26"/>
      <c r="D7" s="7"/>
      <c r="E7" s="27"/>
      <c r="F7" s="28"/>
      <c r="G7" s="28"/>
      <c r="H7" s="28"/>
      <c r="I7" s="28"/>
      <c r="J7" s="28"/>
      <c r="K7" s="28"/>
      <c r="L7" s="28"/>
      <c r="M7" s="7"/>
      <c r="N7" s="7"/>
      <c r="O7" s="24"/>
      <c r="P7" s="178"/>
      <c r="Q7" s="178"/>
      <c r="R7" s="178"/>
      <c r="S7" s="178"/>
    </row>
    <row r="8" spans="1:19" ht="18" customHeight="1">
      <c r="A8" s="10"/>
      <c r="B8" s="10"/>
      <c r="C8" s="10"/>
      <c r="D8" s="112"/>
      <c r="E8" s="30"/>
      <c r="F8" s="31"/>
      <c r="G8" s="31"/>
      <c r="H8" s="31"/>
      <c r="I8" s="31"/>
      <c r="J8" s="31"/>
      <c r="K8" s="31"/>
      <c r="L8" s="31"/>
      <c r="M8" s="30"/>
      <c r="N8" s="30"/>
      <c r="O8" s="30"/>
      <c r="P8" s="122"/>
      <c r="Q8" s="123"/>
      <c r="R8" s="123"/>
      <c r="S8" s="123"/>
    </row>
    <row r="9" spans="1:19" ht="18" customHeight="1">
      <c r="A9" s="11"/>
      <c r="B9" s="12"/>
      <c r="C9" s="13"/>
      <c r="D9" s="112"/>
      <c r="E9" s="44"/>
      <c r="F9" s="30"/>
      <c r="G9" s="30"/>
      <c r="H9" s="30"/>
      <c r="I9" s="30"/>
      <c r="J9" s="30"/>
      <c r="K9" s="30"/>
      <c r="L9" s="30"/>
      <c r="M9" s="30"/>
      <c r="N9" s="30">
        <f>12000*(F9+R9+H9)</f>
        <v>0</v>
      </c>
      <c r="O9" s="30">
        <f>10000*(F9+R9+H9)</f>
        <v>0</v>
      </c>
      <c r="P9" s="118"/>
      <c r="Q9" s="30"/>
      <c r="R9" s="30"/>
      <c r="S9" s="118"/>
    </row>
    <row r="10" spans="1:19" ht="18" hidden="1" customHeight="1">
      <c r="A10" s="10"/>
      <c r="B10" s="12"/>
      <c r="C10" s="13"/>
      <c r="D10" s="112"/>
      <c r="E10" s="30"/>
      <c r="F10" s="31"/>
      <c r="G10" s="30"/>
      <c r="H10" s="31"/>
      <c r="I10" s="30"/>
      <c r="J10" s="30"/>
      <c r="K10" s="31"/>
      <c r="L10" s="31"/>
      <c r="M10" s="30"/>
      <c r="N10" s="30"/>
      <c r="O10" s="30"/>
      <c r="P10" s="118"/>
      <c r="Q10" s="30"/>
      <c r="R10" s="118"/>
      <c r="S10" s="118"/>
    </row>
    <row r="11" spans="1:19" ht="18" customHeight="1">
      <c r="A11" s="11"/>
      <c r="B11" s="12"/>
      <c r="C11" s="13"/>
      <c r="D11" s="112"/>
      <c r="E11" s="44"/>
      <c r="F11" s="30"/>
      <c r="G11" s="30"/>
      <c r="H11" s="30"/>
      <c r="I11" s="30"/>
      <c r="J11" s="30"/>
      <c r="K11" s="30"/>
      <c r="L11" s="30"/>
      <c r="M11" s="30"/>
      <c r="N11" s="30">
        <f t="shared" ref="N11:N42" si="0">12000*(F11+R11+H11)</f>
        <v>0</v>
      </c>
      <c r="O11" s="30">
        <f t="shared" ref="O11:O42" si="1">10000*(F11+R11+H11)</f>
        <v>0</v>
      </c>
      <c r="P11" s="118"/>
      <c r="Q11" s="30"/>
      <c r="R11" s="118"/>
      <c r="S11" s="118"/>
    </row>
    <row r="12" spans="1:19" ht="18" hidden="1" customHeight="1">
      <c r="A12" s="10"/>
      <c r="B12" s="12"/>
      <c r="C12" s="13"/>
      <c r="D12" s="112"/>
      <c r="E12" s="44"/>
      <c r="F12" s="31"/>
      <c r="G12" s="31"/>
      <c r="H12" s="31"/>
      <c r="I12" s="31"/>
      <c r="J12" s="31"/>
      <c r="K12" s="31"/>
      <c r="L12" s="31"/>
      <c r="M12" s="30"/>
      <c r="N12" s="30"/>
      <c r="O12" s="30"/>
      <c r="P12" s="118"/>
      <c r="Q12" s="30"/>
      <c r="R12" s="118"/>
      <c r="S12" s="118"/>
    </row>
    <row r="13" spans="1:19" ht="18" customHeight="1">
      <c r="A13" s="11"/>
      <c r="B13" s="12"/>
      <c r="C13" s="13"/>
      <c r="D13" s="112"/>
      <c r="E13" s="44"/>
      <c r="F13" s="30"/>
      <c r="G13" s="30"/>
      <c r="H13" s="30"/>
      <c r="I13" s="30"/>
      <c r="J13" s="30"/>
      <c r="K13" s="30"/>
      <c r="L13" s="30"/>
      <c r="M13" s="30"/>
      <c r="N13" s="30">
        <f t="shared" ref="N13:N44" si="2">12000*(F13+R13+H13)</f>
        <v>0</v>
      </c>
      <c r="O13" s="30">
        <f t="shared" ref="O13:O44" si="3">10000*(F13+R13+H13)</f>
        <v>0</v>
      </c>
      <c r="P13" s="118"/>
      <c r="Q13" s="30"/>
      <c r="R13" s="118"/>
      <c r="S13" s="118"/>
    </row>
    <row r="14" spans="1:19" ht="18" hidden="1" customHeight="1">
      <c r="A14" s="10"/>
      <c r="B14" s="12"/>
      <c r="C14" s="14"/>
      <c r="D14" s="112"/>
      <c r="E14" s="44"/>
      <c r="F14" s="31"/>
      <c r="G14" s="31"/>
      <c r="H14" s="31"/>
      <c r="I14" s="31"/>
      <c r="J14" s="31"/>
      <c r="K14" s="31"/>
      <c r="L14" s="31"/>
      <c r="M14" s="30"/>
      <c r="N14" s="30"/>
      <c r="O14" s="30"/>
      <c r="P14" s="118"/>
      <c r="Q14" s="30"/>
      <c r="R14" s="118"/>
      <c r="S14" s="118"/>
    </row>
    <row r="15" spans="1:19" ht="18" customHeight="1">
      <c r="A15" s="11"/>
      <c r="B15" s="12"/>
      <c r="C15" s="118"/>
      <c r="D15" s="121"/>
      <c r="E15" s="44"/>
      <c r="F15" s="30"/>
      <c r="G15" s="30"/>
      <c r="H15" s="30"/>
      <c r="I15" s="30"/>
      <c r="J15" s="30"/>
      <c r="K15" s="30"/>
      <c r="L15" s="30"/>
      <c r="M15" s="30"/>
      <c r="N15" s="30">
        <f t="shared" ref="N15:N46" si="4">12000*(F15+R15+H15)</f>
        <v>0</v>
      </c>
      <c r="O15" s="30">
        <f t="shared" ref="O15:O46" si="5">10000*(F15+R15+H15)</f>
        <v>0</v>
      </c>
      <c r="P15" s="118"/>
      <c r="Q15" s="30"/>
      <c r="R15" s="118"/>
      <c r="S15" s="118"/>
    </row>
    <row r="16" spans="1:19" ht="18" hidden="1" customHeight="1">
      <c r="A16" s="10"/>
      <c r="B16" s="12"/>
      <c r="C16" s="118"/>
      <c r="D16" s="121"/>
      <c r="E16" s="44"/>
      <c r="F16" s="31"/>
      <c r="G16" s="31"/>
      <c r="H16" s="31"/>
      <c r="I16" s="31"/>
      <c r="J16" s="31"/>
      <c r="K16" s="31"/>
      <c r="L16" s="31"/>
      <c r="M16" s="30"/>
      <c r="N16" s="30"/>
      <c r="O16" s="30"/>
      <c r="P16" s="118"/>
      <c r="Q16" s="30"/>
      <c r="R16" s="118"/>
      <c r="S16" s="118"/>
    </row>
    <row r="17" spans="1:19" s="16" customFormat="1" ht="18" customHeight="1">
      <c r="A17" s="11"/>
      <c r="B17" s="17"/>
      <c r="C17" s="118"/>
      <c r="D17" s="121"/>
      <c r="E17" s="44"/>
      <c r="F17" s="30"/>
      <c r="G17" s="30"/>
      <c r="H17" s="30"/>
      <c r="I17" s="30"/>
      <c r="J17" s="30"/>
      <c r="K17" s="30"/>
      <c r="L17" s="30"/>
      <c r="M17" s="30"/>
      <c r="N17" s="30">
        <f t="shared" ref="N17:N48" si="6">12000*(F17+R17+H17)</f>
        <v>0</v>
      </c>
      <c r="O17" s="30">
        <f t="shared" ref="O17:O48" si="7">10000*(F17+R17+H17)</f>
        <v>0</v>
      </c>
      <c r="P17" s="118"/>
      <c r="Q17" s="30"/>
      <c r="R17" s="118"/>
      <c r="S17" s="118"/>
    </row>
    <row r="18" spans="1:19" s="16" customFormat="1" ht="18" hidden="1" customHeight="1">
      <c r="A18" s="10"/>
      <c r="B18" s="12"/>
      <c r="C18" s="18"/>
      <c r="D18" s="121"/>
      <c r="E18" s="44"/>
      <c r="F18" s="31"/>
      <c r="G18" s="31"/>
      <c r="H18" s="31"/>
      <c r="I18" s="31"/>
      <c r="J18" s="31"/>
      <c r="K18" s="31"/>
      <c r="L18" s="31"/>
      <c r="M18" s="30"/>
      <c r="N18" s="30"/>
      <c r="O18" s="30"/>
      <c r="P18" s="118"/>
      <c r="Q18" s="30"/>
      <c r="R18" s="118"/>
      <c r="S18" s="118"/>
    </row>
    <row r="19" spans="1:19" s="16" customFormat="1" ht="18" customHeight="1">
      <c r="A19" s="11"/>
      <c r="B19" s="12"/>
      <c r="C19" s="13"/>
      <c r="D19" s="121"/>
      <c r="E19" s="44"/>
      <c r="F19" s="30"/>
      <c r="G19" s="30"/>
      <c r="H19" s="30"/>
      <c r="I19" s="30"/>
      <c r="J19" s="30"/>
      <c r="K19" s="30"/>
      <c r="L19" s="30"/>
      <c r="M19" s="30"/>
      <c r="N19" s="30">
        <f t="shared" ref="N19:N50" si="8">12000*(F19+R19+H19)</f>
        <v>0</v>
      </c>
      <c r="O19" s="30">
        <f t="shared" ref="O19:O50" si="9">10000*(F19+R19+H19)</f>
        <v>0</v>
      </c>
      <c r="P19" s="118"/>
      <c r="Q19" s="30"/>
      <c r="R19" s="118"/>
      <c r="S19" s="118"/>
    </row>
    <row r="20" spans="1:19" s="16" customFormat="1" ht="18" hidden="1" customHeight="1">
      <c r="A20" s="10"/>
      <c r="D20" s="112"/>
      <c r="E20" s="44"/>
      <c r="F20" s="31"/>
      <c r="G20" s="31"/>
      <c r="H20" s="31"/>
      <c r="I20" s="31"/>
      <c r="J20" s="31"/>
      <c r="K20" s="31"/>
      <c r="L20" s="31"/>
      <c r="M20" s="30"/>
      <c r="N20" s="30"/>
      <c r="O20" s="30"/>
      <c r="P20" s="118"/>
      <c r="Q20" s="30"/>
      <c r="R20" s="118"/>
      <c r="S20" s="118"/>
    </row>
    <row r="21" spans="1:19" s="16" customFormat="1" ht="18" customHeight="1">
      <c r="A21" s="11"/>
      <c r="C21" s="13"/>
      <c r="D21" s="112"/>
      <c r="E21" s="44"/>
      <c r="F21" s="30"/>
      <c r="G21" s="30"/>
      <c r="H21" s="30"/>
      <c r="I21" s="30"/>
      <c r="J21" s="30"/>
      <c r="K21" s="30"/>
      <c r="L21" s="30"/>
      <c r="M21" s="30"/>
      <c r="N21" s="30">
        <f t="shared" ref="N21:N52" si="10">12000*(F21+R21+H21)</f>
        <v>0</v>
      </c>
      <c r="O21" s="30">
        <f t="shared" ref="O21:O52" si="11">10000*(F21+R21+H21)</f>
        <v>0</v>
      </c>
      <c r="P21" s="118"/>
      <c r="Q21" s="30"/>
      <c r="R21" s="118"/>
      <c r="S21" s="118"/>
    </row>
    <row r="22" spans="1:19" s="16" customFormat="1" ht="18" hidden="1" customHeight="1">
      <c r="A22" s="10"/>
      <c r="B22" s="12"/>
      <c r="C22" s="13"/>
      <c r="D22" s="29"/>
      <c r="E22" s="30"/>
      <c r="F22" s="30"/>
      <c r="G22" s="31"/>
      <c r="H22" s="31"/>
      <c r="I22" s="31"/>
      <c r="J22" s="31"/>
      <c r="K22" s="31"/>
      <c r="L22" s="31"/>
      <c r="M22" s="30"/>
      <c r="N22" s="30"/>
      <c r="O22" s="30"/>
      <c r="P22" s="118"/>
      <c r="Q22" s="30"/>
      <c r="R22" s="118"/>
      <c r="S22" s="118"/>
    </row>
    <row r="23" spans="1:19" s="16" customFormat="1" ht="18" customHeight="1">
      <c r="A23" s="11"/>
      <c r="B23" s="12"/>
      <c r="C23" s="13"/>
      <c r="D23" s="29"/>
      <c r="E23" s="30"/>
      <c r="F23" s="30"/>
      <c r="G23" s="30"/>
      <c r="H23" s="30"/>
      <c r="I23" s="30"/>
      <c r="J23" s="30"/>
      <c r="K23" s="30"/>
      <c r="L23" s="30"/>
      <c r="M23" s="30"/>
      <c r="N23" s="30">
        <f t="shared" ref="N23:N54" si="12">12000*(F23+R23+H23)</f>
        <v>0</v>
      </c>
      <c r="O23" s="30">
        <f t="shared" ref="O23:O54" si="13">10000*(F23+R23+H23)</f>
        <v>0</v>
      </c>
      <c r="P23" s="118"/>
      <c r="Q23" s="30"/>
      <c r="R23" s="118"/>
      <c r="S23" s="118"/>
    </row>
    <row r="24" spans="1:19" s="16" customFormat="1" ht="18" hidden="1" customHeight="1">
      <c r="A24" s="10"/>
      <c r="B24" s="12"/>
      <c r="C24" s="13"/>
      <c r="D24" s="29"/>
      <c r="E24" s="30"/>
      <c r="F24" s="30"/>
      <c r="G24" s="31"/>
      <c r="H24" s="31"/>
      <c r="I24" s="31"/>
      <c r="J24" s="31"/>
      <c r="K24" s="31"/>
      <c r="L24" s="31"/>
      <c r="M24" s="30"/>
      <c r="N24" s="30"/>
      <c r="O24" s="30"/>
      <c r="P24" s="118"/>
      <c r="Q24" s="30"/>
      <c r="R24" s="118"/>
      <c r="S24" s="118"/>
    </row>
    <row r="25" spans="1:19" s="16" customFormat="1" ht="18" customHeight="1">
      <c r="A25" s="11"/>
      <c r="B25" s="17"/>
      <c r="C25" s="13"/>
      <c r="D25" s="29"/>
      <c r="E25" s="30"/>
      <c r="F25" s="30"/>
      <c r="G25" s="30"/>
      <c r="H25" s="30"/>
      <c r="I25" s="30"/>
      <c r="J25" s="30"/>
      <c r="K25" s="30"/>
      <c r="L25" s="30"/>
      <c r="M25" s="30"/>
      <c r="N25" s="30">
        <f t="shared" ref="N25:N56" si="14">12000*(F25+R25+H25)</f>
        <v>0</v>
      </c>
      <c r="O25" s="30">
        <f t="shared" ref="O25:O56" si="15">10000*(F25+R25+H25)</f>
        <v>0</v>
      </c>
      <c r="P25" s="118"/>
      <c r="Q25" s="30"/>
      <c r="R25" s="118"/>
      <c r="S25" s="118"/>
    </row>
    <row r="26" spans="1:19" s="16" customFormat="1" ht="18" hidden="1" customHeight="1">
      <c r="A26" s="10"/>
      <c r="B26" s="12"/>
      <c r="C26" s="13"/>
      <c r="D26" s="29"/>
      <c r="E26" s="30"/>
      <c r="F26" s="30"/>
      <c r="G26" s="31"/>
      <c r="H26" s="31"/>
      <c r="I26" s="31"/>
      <c r="J26" s="31"/>
      <c r="K26" s="31"/>
      <c r="L26" s="31"/>
      <c r="M26" s="30"/>
      <c r="N26" s="30"/>
      <c r="O26" s="30"/>
      <c r="P26" s="118"/>
      <c r="Q26" s="30"/>
      <c r="R26" s="118"/>
      <c r="S26" s="118"/>
    </row>
    <row r="27" spans="1:19" s="16" customFormat="1" ht="18" customHeight="1">
      <c r="A27" s="11"/>
      <c r="B27" s="12"/>
      <c r="C27" s="13"/>
      <c r="D27" s="29"/>
      <c r="E27" s="30"/>
      <c r="F27" s="30"/>
      <c r="G27" s="30"/>
      <c r="H27" s="30"/>
      <c r="I27" s="30"/>
      <c r="J27" s="30"/>
      <c r="K27" s="30"/>
      <c r="L27" s="30"/>
      <c r="M27" s="30"/>
      <c r="N27" s="30">
        <f t="shared" ref="N27:N58" si="16">12000*(F27+R27+H27)</f>
        <v>0</v>
      </c>
      <c r="O27" s="30">
        <f t="shared" ref="O27:O58" si="17">10000*(F27+R27+H27)</f>
        <v>0</v>
      </c>
      <c r="P27" s="118"/>
      <c r="Q27" s="30"/>
      <c r="R27" s="118"/>
      <c r="S27" s="118"/>
    </row>
    <row r="28" spans="1:19" s="16" customFormat="1" ht="18" hidden="1" customHeight="1">
      <c r="A28" s="10"/>
      <c r="B28" s="12"/>
      <c r="C28" s="13"/>
      <c r="D28" s="29"/>
      <c r="E28" s="30"/>
      <c r="F28" s="30"/>
      <c r="G28" s="30"/>
      <c r="H28" s="31"/>
      <c r="I28" s="30"/>
      <c r="J28" s="30"/>
      <c r="K28" s="31"/>
      <c r="L28" s="31"/>
      <c r="M28" s="30"/>
      <c r="N28" s="30"/>
      <c r="O28" s="30"/>
      <c r="P28" s="118"/>
      <c r="Q28" s="30"/>
      <c r="R28" s="118"/>
      <c r="S28" s="118"/>
    </row>
    <row r="29" spans="1:19" s="16" customFormat="1" ht="18" customHeight="1">
      <c r="A29" s="11"/>
      <c r="B29" s="12"/>
      <c r="C29" s="13"/>
      <c r="D29" s="29"/>
      <c r="E29" s="30"/>
      <c r="F29" s="30"/>
      <c r="G29" s="30"/>
      <c r="H29" s="30"/>
      <c r="I29" s="30"/>
      <c r="J29" s="30"/>
      <c r="K29" s="30"/>
      <c r="L29" s="30"/>
      <c r="M29" s="30"/>
      <c r="N29" s="30">
        <f t="shared" ref="N29:N60" si="18">12000*(F29+R29+H29)</f>
        <v>0</v>
      </c>
      <c r="O29" s="30">
        <f t="shared" ref="O29:O60" si="19">10000*(F29+R29+H29)</f>
        <v>0</v>
      </c>
      <c r="P29" s="118"/>
      <c r="Q29" s="30"/>
      <c r="R29" s="118"/>
      <c r="S29" s="118"/>
    </row>
    <row r="30" spans="1:19" s="16" customFormat="1" ht="18" hidden="1" customHeight="1">
      <c r="A30" s="10"/>
      <c r="B30" s="12"/>
      <c r="C30" s="13"/>
      <c r="D30" s="29"/>
      <c r="E30" s="30"/>
      <c r="F30" s="30"/>
      <c r="G30" s="31"/>
      <c r="H30" s="31"/>
      <c r="I30" s="31"/>
      <c r="J30" s="31"/>
      <c r="K30" s="31"/>
      <c r="L30" s="31"/>
      <c r="M30" s="30"/>
      <c r="N30" s="30"/>
      <c r="O30" s="30"/>
      <c r="P30" s="118"/>
      <c r="Q30" s="30"/>
      <c r="R30" s="118"/>
      <c r="S30" s="118"/>
    </row>
    <row r="31" spans="1:19" s="16" customFormat="1" ht="18" customHeight="1">
      <c r="A31" s="11"/>
      <c r="B31" s="12"/>
      <c r="C31" s="13"/>
      <c r="D31" s="29"/>
      <c r="E31" s="30"/>
      <c r="F31" s="30"/>
      <c r="G31" s="30"/>
      <c r="H31" s="30"/>
      <c r="I31" s="30"/>
      <c r="J31" s="30"/>
      <c r="K31" s="30"/>
      <c r="L31" s="30"/>
      <c r="M31" s="30"/>
      <c r="N31" s="30">
        <f t="shared" ref="N31:N62" si="20">12000*(F31+R31+H31)</f>
        <v>0</v>
      </c>
      <c r="O31" s="30">
        <f t="shared" ref="O31:O62" si="21">10000*(F31+R31+H31)</f>
        <v>0</v>
      </c>
      <c r="P31" s="118"/>
      <c r="Q31" s="30"/>
      <c r="R31" s="118"/>
      <c r="S31" s="118"/>
    </row>
    <row r="32" spans="1:19" s="16" customFormat="1" ht="18" hidden="1" customHeight="1">
      <c r="A32" s="10"/>
      <c r="B32" s="12"/>
      <c r="C32" s="13"/>
      <c r="D32" s="29"/>
      <c r="E32" s="30"/>
      <c r="F32" s="30"/>
      <c r="G32" s="31"/>
      <c r="H32" s="31"/>
      <c r="I32" s="31"/>
      <c r="J32" s="31"/>
      <c r="K32" s="31"/>
      <c r="L32" s="31"/>
      <c r="M32" s="30"/>
      <c r="N32" s="30"/>
      <c r="O32" s="30"/>
      <c r="P32" s="119"/>
      <c r="Q32" s="32"/>
      <c r="R32" s="119"/>
      <c r="S32" s="119"/>
    </row>
    <row r="33" spans="1:19" s="16" customFormat="1" ht="18" customHeight="1">
      <c r="A33" s="11"/>
      <c r="B33" s="12"/>
      <c r="C33" s="13"/>
      <c r="D33" s="29"/>
      <c r="E33" s="30"/>
      <c r="F33" s="30"/>
      <c r="G33" s="30"/>
      <c r="H33" s="30"/>
      <c r="I33" s="30"/>
      <c r="J33" s="30"/>
      <c r="K33" s="30"/>
      <c r="L33" s="30"/>
      <c r="M33" s="30"/>
      <c r="N33" s="30">
        <f t="shared" ref="N33:N64" si="22">12000*(F33+R33+H33)</f>
        <v>0</v>
      </c>
      <c r="O33" s="30">
        <f t="shared" ref="O33:O64" si="23">10000*(F33+R33+H33)</f>
        <v>0</v>
      </c>
      <c r="P33" s="118"/>
      <c r="Q33" s="30"/>
      <c r="R33" s="118"/>
      <c r="S33" s="118"/>
    </row>
    <row r="34" spans="1:19" s="16" customFormat="1" ht="18" hidden="1" customHeight="1">
      <c r="A34" s="10"/>
      <c r="B34" s="12"/>
      <c r="C34" s="13"/>
      <c r="D34" s="29"/>
      <c r="E34" s="30"/>
      <c r="F34" s="30"/>
      <c r="G34" s="31"/>
      <c r="H34" s="31"/>
      <c r="I34" s="31"/>
      <c r="J34" s="31"/>
      <c r="K34" s="31"/>
      <c r="L34" s="31"/>
      <c r="M34" s="30"/>
      <c r="N34" s="30"/>
      <c r="O34" s="30"/>
      <c r="P34" s="119"/>
      <c r="Q34" s="32"/>
      <c r="R34" s="119"/>
      <c r="S34" s="119"/>
    </row>
    <row r="35" spans="1:19" s="16" customFormat="1" ht="18" customHeight="1">
      <c r="A35" s="11"/>
      <c r="B35" s="12"/>
      <c r="C35" s="13"/>
      <c r="D35" s="29"/>
      <c r="E35" s="30"/>
      <c r="F35" s="30"/>
      <c r="G35" s="30"/>
      <c r="H35" s="30"/>
      <c r="I35" s="30"/>
      <c r="J35" s="30"/>
      <c r="K35" s="30"/>
      <c r="L35" s="30"/>
      <c r="M35" s="30"/>
      <c r="N35" s="30">
        <f t="shared" ref="N35:N66" si="24">12000*(F35+R35+H35)</f>
        <v>0</v>
      </c>
      <c r="O35" s="30">
        <f t="shared" ref="O35:O66" si="25">10000*(F35+R35+H35)</f>
        <v>0</v>
      </c>
      <c r="P35" s="118"/>
      <c r="Q35" s="30"/>
      <c r="R35" s="118"/>
      <c r="S35" s="118"/>
    </row>
    <row r="36" spans="1:19" s="16" customFormat="1" ht="18" hidden="1" customHeight="1">
      <c r="A36" s="10"/>
      <c r="B36" s="12"/>
      <c r="C36" s="13"/>
      <c r="D36" s="29"/>
      <c r="E36" s="30"/>
      <c r="F36" s="30"/>
      <c r="G36" s="31"/>
      <c r="H36" s="31"/>
      <c r="I36" s="31"/>
      <c r="J36" s="31"/>
      <c r="K36" s="31"/>
      <c r="L36" s="31"/>
      <c r="M36" s="30"/>
      <c r="N36" s="30"/>
      <c r="O36" s="30"/>
      <c r="P36" s="118"/>
      <c r="Q36" s="30"/>
      <c r="R36" s="118"/>
      <c r="S36" s="118"/>
    </row>
    <row r="37" spans="1:19" s="16" customFormat="1" ht="18" customHeight="1">
      <c r="A37" s="11"/>
      <c r="B37" s="12"/>
      <c r="C37" s="13"/>
      <c r="D37" s="29"/>
      <c r="E37" s="30"/>
      <c r="F37" s="30"/>
      <c r="G37" s="30"/>
      <c r="H37" s="30"/>
      <c r="I37" s="30"/>
      <c r="J37" s="30"/>
      <c r="K37" s="30"/>
      <c r="L37" s="30"/>
      <c r="M37" s="30"/>
      <c r="N37" s="30">
        <f t="shared" ref="N37:N68" si="26">12000*(F37+R37+H37)</f>
        <v>0</v>
      </c>
      <c r="O37" s="30">
        <f t="shared" ref="O37:O68" si="27">10000*(F37+R37+H37)</f>
        <v>0</v>
      </c>
      <c r="P37" s="118"/>
      <c r="Q37" s="30"/>
      <c r="R37" s="118"/>
      <c r="S37" s="118"/>
    </row>
    <row r="38" spans="1:19" s="16" customFormat="1" ht="18" hidden="1" customHeight="1">
      <c r="A38" s="10"/>
      <c r="B38" s="12"/>
      <c r="C38" s="13"/>
      <c r="D38" s="120"/>
      <c r="E38" s="2"/>
      <c r="F38" s="2"/>
      <c r="G38" s="9"/>
      <c r="H38" s="9"/>
      <c r="I38" s="9"/>
      <c r="J38" s="9"/>
      <c r="K38" s="9"/>
      <c r="L38" s="9"/>
      <c r="M38" s="2"/>
      <c r="N38" s="30"/>
      <c r="O38" s="30"/>
      <c r="P38" s="118"/>
      <c r="Q38" s="30"/>
      <c r="R38" s="118"/>
      <c r="S38" s="118"/>
    </row>
    <row r="39" spans="1:19" s="16" customFormat="1" ht="18" customHeight="1">
      <c r="A39" s="11"/>
      <c r="B39" s="12"/>
      <c r="C39" s="13"/>
      <c r="D39" s="29"/>
      <c r="E39" s="30"/>
      <c r="F39" s="30"/>
      <c r="G39" s="30"/>
      <c r="H39" s="30"/>
      <c r="I39" s="30"/>
      <c r="J39" s="30"/>
      <c r="K39" s="30"/>
      <c r="L39" s="30"/>
      <c r="M39" s="30"/>
      <c r="N39" s="30">
        <f t="shared" ref="N39:N70" si="28">12000*(F39+R39+H39)</f>
        <v>0</v>
      </c>
      <c r="O39" s="30">
        <f t="shared" ref="O39:O70" si="29">10000*(F39+R39+H39)</f>
        <v>0</v>
      </c>
      <c r="P39" s="118"/>
      <c r="Q39" s="30"/>
      <c r="R39" s="118"/>
      <c r="S39" s="118"/>
    </row>
    <row r="40" spans="1:19" s="16" customFormat="1" ht="18" hidden="1" customHeight="1">
      <c r="A40" s="10"/>
      <c r="B40" s="12"/>
      <c r="C40" s="13"/>
      <c r="D40" s="29"/>
      <c r="E40" s="30"/>
      <c r="F40" s="30"/>
      <c r="G40" s="31"/>
      <c r="H40" s="31"/>
      <c r="I40" s="31"/>
      <c r="J40" s="31"/>
      <c r="K40" s="31"/>
      <c r="L40" s="31"/>
      <c r="M40" s="30"/>
      <c r="N40" s="30"/>
      <c r="O40" s="30"/>
      <c r="P40" s="118"/>
      <c r="Q40" s="30"/>
      <c r="R40" s="118"/>
      <c r="S40" s="118"/>
    </row>
    <row r="41" spans="1:19" s="16" customFormat="1" ht="18" customHeight="1">
      <c r="A41" s="11"/>
      <c r="B41" s="12"/>
      <c r="C41" s="13"/>
      <c r="D41" s="29"/>
      <c r="E41" s="30"/>
      <c r="F41" s="30"/>
      <c r="G41" s="30"/>
      <c r="H41" s="30"/>
      <c r="I41" s="30"/>
      <c r="J41" s="30"/>
      <c r="K41" s="30"/>
      <c r="L41" s="30"/>
      <c r="M41" s="30"/>
      <c r="N41" s="30">
        <f t="shared" ref="N41:N87" si="30">12000*(F41+R41+H41)</f>
        <v>0</v>
      </c>
      <c r="O41" s="30">
        <f t="shared" ref="O41:O87" si="31">10000*(F41+R41+H41)</f>
        <v>0</v>
      </c>
      <c r="P41" s="118"/>
      <c r="Q41" s="30"/>
      <c r="R41" s="118"/>
      <c r="S41" s="118"/>
    </row>
    <row r="42" spans="1:19" s="16" customFormat="1" ht="18" hidden="1" customHeight="1">
      <c r="A42" s="10"/>
      <c r="B42" s="12"/>
      <c r="C42" s="13"/>
      <c r="D42" s="29"/>
      <c r="E42" s="30"/>
      <c r="F42" s="30"/>
      <c r="G42" s="31"/>
      <c r="H42" s="31"/>
      <c r="I42" s="31"/>
      <c r="J42" s="31"/>
      <c r="K42" s="31"/>
      <c r="L42" s="31"/>
      <c r="M42" s="30"/>
      <c r="N42" s="30"/>
      <c r="O42" s="30"/>
      <c r="P42" s="118"/>
      <c r="Q42" s="30"/>
      <c r="R42" s="118"/>
      <c r="S42" s="118"/>
    </row>
    <row r="43" spans="1:19" s="16" customFormat="1" ht="18" customHeight="1">
      <c r="A43" s="11"/>
      <c r="B43" s="12"/>
      <c r="C43" s="13"/>
      <c r="D43" s="29"/>
      <c r="E43" s="30"/>
      <c r="F43" s="30"/>
      <c r="G43" s="30"/>
      <c r="H43" s="30"/>
      <c r="I43" s="30"/>
      <c r="J43" s="30"/>
      <c r="K43" s="30"/>
      <c r="L43" s="30"/>
      <c r="M43" s="30"/>
      <c r="N43" s="30">
        <f t="shared" ref="N43:N87" si="32">12000*(F43+R43+H43)</f>
        <v>0</v>
      </c>
      <c r="O43" s="30">
        <f t="shared" ref="O43:O87" si="33">10000*(F43+R43+H43)</f>
        <v>0</v>
      </c>
      <c r="P43" s="118"/>
      <c r="Q43" s="30"/>
      <c r="R43" s="118"/>
      <c r="S43" s="118"/>
    </row>
    <row r="44" spans="1:19" s="16" customFormat="1" ht="18" hidden="1" customHeight="1">
      <c r="A44" s="10"/>
      <c r="B44" s="12"/>
      <c r="C44" s="13"/>
      <c r="D44" s="29"/>
      <c r="E44" s="30"/>
      <c r="F44" s="30"/>
      <c r="G44" s="31"/>
      <c r="H44" s="31"/>
      <c r="I44" s="31"/>
      <c r="J44" s="31"/>
      <c r="K44" s="31"/>
      <c r="L44" s="31"/>
      <c r="M44" s="30"/>
      <c r="N44" s="30"/>
      <c r="O44" s="30"/>
      <c r="P44" s="118"/>
      <c r="Q44" s="30"/>
      <c r="R44" s="118"/>
      <c r="S44" s="118"/>
    </row>
    <row r="45" spans="1:19" s="16" customFormat="1" ht="18" customHeight="1">
      <c r="A45" s="11"/>
      <c r="B45" s="12"/>
      <c r="C45" s="13"/>
      <c r="D45" s="29"/>
      <c r="E45" s="30"/>
      <c r="F45" s="30"/>
      <c r="G45" s="30"/>
      <c r="H45" s="30"/>
      <c r="I45" s="30"/>
      <c r="J45" s="30"/>
      <c r="K45" s="30"/>
      <c r="L45" s="30"/>
      <c r="M45" s="30"/>
      <c r="N45" s="30">
        <f t="shared" ref="N45:N87" si="34">12000*(F45+R45+H45)</f>
        <v>0</v>
      </c>
      <c r="O45" s="30">
        <f t="shared" ref="O45:O87" si="35">10000*(F45+R45+H45)</f>
        <v>0</v>
      </c>
      <c r="P45" s="118"/>
      <c r="Q45" s="30"/>
      <c r="R45" s="118"/>
      <c r="S45" s="118"/>
    </row>
    <row r="46" spans="1:19" s="16" customFormat="1" ht="18" hidden="1" customHeight="1">
      <c r="A46" s="10"/>
      <c r="B46" s="12"/>
      <c r="C46" s="13"/>
      <c r="D46" s="29"/>
      <c r="E46" s="30"/>
      <c r="F46" s="30"/>
      <c r="G46" s="31"/>
      <c r="H46" s="31"/>
      <c r="I46" s="31"/>
      <c r="J46" s="31"/>
      <c r="K46" s="31"/>
      <c r="L46" s="31"/>
      <c r="M46" s="30"/>
      <c r="N46" s="30"/>
      <c r="O46" s="30"/>
      <c r="P46" s="118"/>
      <c r="Q46" s="30"/>
      <c r="R46" s="118"/>
      <c r="S46" s="118"/>
    </row>
    <row r="47" spans="1:19" s="16" customFormat="1" ht="18" customHeight="1">
      <c r="A47" s="11"/>
      <c r="B47" s="12"/>
      <c r="C47" s="13"/>
      <c r="D47" s="29"/>
      <c r="E47" s="30"/>
      <c r="F47" s="30"/>
      <c r="G47" s="30"/>
      <c r="H47" s="30"/>
      <c r="I47" s="30"/>
      <c r="J47" s="30"/>
      <c r="K47" s="30"/>
      <c r="L47" s="30"/>
      <c r="M47" s="30"/>
      <c r="N47" s="30">
        <f t="shared" ref="N47:N87" si="36">12000*(F47+R47+H47)</f>
        <v>0</v>
      </c>
      <c r="O47" s="30">
        <f t="shared" ref="O47:O87" si="37">10000*(F47+R47+H47)</f>
        <v>0</v>
      </c>
      <c r="P47" s="118"/>
      <c r="Q47" s="30"/>
      <c r="R47" s="118"/>
      <c r="S47" s="118"/>
    </row>
    <row r="48" spans="1:19" s="16" customFormat="1" ht="18" hidden="1" customHeight="1">
      <c r="A48" s="19"/>
      <c r="B48" s="12"/>
      <c r="C48" s="13"/>
      <c r="D48" s="29"/>
      <c r="E48" s="30"/>
      <c r="F48" s="30"/>
      <c r="G48" s="31"/>
      <c r="H48" s="31"/>
      <c r="I48" s="31"/>
      <c r="J48" s="31"/>
      <c r="K48" s="31"/>
      <c r="L48" s="31"/>
      <c r="M48" s="30"/>
      <c r="N48" s="30"/>
      <c r="O48" s="30"/>
      <c r="P48" s="118"/>
      <c r="Q48" s="30"/>
      <c r="R48" s="118"/>
      <c r="S48" s="118"/>
    </row>
    <row r="49" spans="1:19" s="16" customFormat="1" ht="18" customHeight="1">
      <c r="A49" s="19"/>
      <c r="B49" s="12"/>
      <c r="C49" s="13"/>
      <c r="D49" s="29"/>
      <c r="E49" s="30"/>
      <c r="F49" s="30"/>
      <c r="G49" s="30"/>
      <c r="H49" s="30"/>
      <c r="I49" s="30"/>
      <c r="J49" s="30"/>
      <c r="K49" s="30"/>
      <c r="L49" s="30"/>
      <c r="M49" s="30"/>
      <c r="N49" s="30">
        <f t="shared" ref="N49:N87" si="38">12000*(F49+R49+H49)</f>
        <v>0</v>
      </c>
      <c r="O49" s="30">
        <f t="shared" ref="O49:O87" si="39">10000*(F49+R49+H49)</f>
        <v>0</v>
      </c>
      <c r="P49" s="118"/>
      <c r="Q49" s="30"/>
      <c r="R49" s="118"/>
      <c r="S49" s="118"/>
    </row>
    <row r="50" spans="1:19" s="16" customFormat="1" ht="18" hidden="1" customHeight="1">
      <c r="A50" s="19"/>
      <c r="B50" s="12"/>
      <c r="C50" s="13"/>
      <c r="D50" s="29"/>
      <c r="E50" s="30"/>
      <c r="F50" s="31"/>
      <c r="G50" s="31"/>
      <c r="H50" s="31"/>
      <c r="I50" s="31"/>
      <c r="J50" s="31"/>
      <c r="K50" s="30"/>
      <c r="L50" s="30"/>
      <c r="M50" s="30"/>
      <c r="N50" s="30"/>
      <c r="O50" s="30"/>
      <c r="P50" s="118"/>
      <c r="Q50" s="30"/>
      <c r="R50" s="118"/>
      <c r="S50" s="118"/>
    </row>
    <row r="51" spans="1:19" s="16" customFormat="1" ht="18" customHeight="1">
      <c r="A51" s="19"/>
      <c r="B51" s="12"/>
      <c r="C51" s="13"/>
      <c r="D51" s="29"/>
      <c r="E51" s="30"/>
      <c r="F51" s="30"/>
      <c r="G51" s="30"/>
      <c r="H51" s="30"/>
      <c r="I51" s="30"/>
      <c r="J51" s="30"/>
      <c r="K51" s="30"/>
      <c r="L51" s="30"/>
      <c r="M51" s="30"/>
      <c r="N51" s="30">
        <f t="shared" ref="N51:N87" si="40">12000*(F51+R51+H51)</f>
        <v>0</v>
      </c>
      <c r="O51" s="30">
        <f t="shared" ref="O51:O87" si="41">10000*(F51+R51+H51)</f>
        <v>0</v>
      </c>
      <c r="P51" s="118"/>
      <c r="Q51" s="30"/>
      <c r="R51" s="118"/>
      <c r="S51" s="118"/>
    </row>
    <row r="52" spans="1:19" s="16" customFormat="1" ht="18" hidden="1" customHeight="1">
      <c r="A52" s="19"/>
      <c r="B52" s="12"/>
      <c r="C52" s="13"/>
      <c r="D52" s="29"/>
      <c r="E52" s="30"/>
      <c r="F52" s="31"/>
      <c r="G52" s="31"/>
      <c r="H52" s="31"/>
      <c r="I52" s="31"/>
      <c r="J52" s="31"/>
      <c r="K52" s="31"/>
      <c r="L52" s="31"/>
      <c r="M52" s="30"/>
      <c r="N52" s="30"/>
      <c r="O52" s="30"/>
      <c r="P52" s="118"/>
      <c r="Q52" s="30"/>
      <c r="R52" s="118"/>
      <c r="S52" s="118"/>
    </row>
    <row r="53" spans="1:19" s="16" customFormat="1" ht="18" customHeight="1">
      <c r="A53" s="19"/>
      <c r="B53" s="12"/>
      <c r="C53" s="13"/>
      <c r="D53" s="29"/>
      <c r="E53" s="30"/>
      <c r="F53" s="30"/>
      <c r="G53" s="30"/>
      <c r="H53" s="30"/>
      <c r="I53" s="30"/>
      <c r="J53" s="30"/>
      <c r="K53" s="30"/>
      <c r="L53" s="30"/>
      <c r="M53" s="30"/>
      <c r="N53" s="30">
        <f t="shared" ref="N53:N87" si="42">12000*(F53+R53+H53)</f>
        <v>0</v>
      </c>
      <c r="O53" s="30">
        <f t="shared" ref="O53:O87" si="43">10000*(F53+R53+H53)</f>
        <v>0</v>
      </c>
      <c r="P53" s="118"/>
      <c r="Q53" s="30"/>
      <c r="R53" s="118"/>
      <c r="S53" s="118"/>
    </row>
    <row r="54" spans="1:19" s="16" customFormat="1" ht="18" customHeight="1">
      <c r="A54" s="19"/>
      <c r="B54" s="12"/>
      <c r="C54" s="13"/>
      <c r="D54" s="29"/>
      <c r="E54" s="30"/>
      <c r="F54" s="31"/>
      <c r="G54" s="31"/>
      <c r="H54" s="31"/>
      <c r="I54" s="31"/>
      <c r="J54" s="31"/>
      <c r="K54" s="31"/>
      <c r="L54" s="31"/>
      <c r="M54" s="30"/>
      <c r="N54" s="30"/>
      <c r="O54" s="30"/>
      <c r="P54" s="118"/>
      <c r="Q54" s="30"/>
      <c r="R54" s="118"/>
      <c r="S54" s="118"/>
    </row>
    <row r="55" spans="1:19" s="16" customFormat="1" ht="18" customHeight="1">
      <c r="A55" s="19"/>
      <c r="B55" s="12"/>
      <c r="C55" s="13"/>
      <c r="D55" s="29"/>
      <c r="E55" s="30"/>
      <c r="F55" s="30"/>
      <c r="G55" s="30"/>
      <c r="H55" s="30"/>
      <c r="I55" s="30"/>
      <c r="J55" s="30"/>
      <c r="K55" s="30"/>
      <c r="L55" s="30"/>
      <c r="M55" s="30"/>
      <c r="N55" s="30">
        <f t="shared" ref="N55:N87" si="44">12000*(F55+R55+H55)</f>
        <v>0</v>
      </c>
      <c r="O55" s="30">
        <f t="shared" ref="O55:O87" si="45">10000*(F55+R55+H55)</f>
        <v>0</v>
      </c>
      <c r="P55" s="118"/>
      <c r="Q55" s="30"/>
      <c r="R55" s="118"/>
      <c r="S55" s="118"/>
    </row>
    <row r="56" spans="1:19" s="16" customFormat="1" ht="18" customHeight="1">
      <c r="A56" s="19"/>
      <c r="B56" s="12"/>
      <c r="C56" s="13"/>
      <c r="D56" s="29"/>
      <c r="E56" s="30"/>
      <c r="F56" s="31"/>
      <c r="G56" s="31"/>
      <c r="H56" s="31"/>
      <c r="I56" s="31"/>
      <c r="J56" s="31"/>
      <c r="K56" s="31"/>
      <c r="L56" s="31"/>
      <c r="M56" s="30"/>
      <c r="N56" s="30"/>
      <c r="O56" s="30"/>
      <c r="P56" s="118"/>
      <c r="Q56" s="30"/>
      <c r="R56" s="118"/>
      <c r="S56" s="118"/>
    </row>
    <row r="57" spans="1:19" s="16" customFormat="1" ht="18" customHeight="1">
      <c r="A57" s="19"/>
      <c r="B57" s="12"/>
      <c r="C57" s="13"/>
      <c r="D57" s="29"/>
      <c r="E57" s="30"/>
      <c r="F57" s="30"/>
      <c r="G57" s="30"/>
      <c r="H57" s="30"/>
      <c r="I57" s="30"/>
      <c r="J57" s="30"/>
      <c r="K57" s="30"/>
      <c r="L57" s="30"/>
      <c r="M57" s="30"/>
      <c r="N57" s="30">
        <f t="shared" ref="N57:N87" si="46">12000*(F57+R57+H57)</f>
        <v>0</v>
      </c>
      <c r="O57" s="30">
        <f t="shared" ref="O57:O87" si="47">10000*(F57+R57+H57)</f>
        <v>0</v>
      </c>
      <c r="P57" s="118"/>
      <c r="Q57" s="30"/>
      <c r="R57" s="118"/>
      <c r="S57" s="118"/>
    </row>
    <row r="58" spans="1:19" s="16" customFormat="1" ht="18" customHeight="1">
      <c r="A58" s="19"/>
      <c r="B58" s="12"/>
      <c r="C58" s="13"/>
      <c r="D58" s="29"/>
      <c r="E58" s="30"/>
      <c r="F58" s="31"/>
      <c r="G58" s="31"/>
      <c r="H58" s="31"/>
      <c r="I58" s="31"/>
      <c r="J58" s="31"/>
      <c r="K58" s="31"/>
      <c r="L58" s="31"/>
      <c r="M58" s="30"/>
      <c r="N58" s="30"/>
      <c r="O58" s="30"/>
      <c r="P58" s="118"/>
      <c r="Q58" s="30"/>
      <c r="R58" s="118"/>
      <c r="S58" s="118"/>
    </row>
    <row r="59" spans="1:19" s="16" customFormat="1" ht="18" customHeight="1">
      <c r="A59" s="19"/>
      <c r="B59" s="12"/>
      <c r="C59" s="13"/>
      <c r="D59" s="29"/>
      <c r="E59" s="30"/>
      <c r="F59" s="30"/>
      <c r="G59" s="30"/>
      <c r="H59" s="30"/>
      <c r="I59" s="30"/>
      <c r="J59" s="30"/>
      <c r="K59" s="30"/>
      <c r="L59" s="30"/>
      <c r="M59" s="30"/>
      <c r="N59" s="30">
        <f t="shared" ref="N59:N87" si="48">12000*(F59+R59+H59)</f>
        <v>0</v>
      </c>
      <c r="O59" s="30">
        <f t="shared" ref="O59:O87" si="49">10000*(F59+R59+H59)</f>
        <v>0</v>
      </c>
      <c r="P59" s="118"/>
      <c r="Q59" s="30"/>
      <c r="R59" s="118"/>
      <c r="S59" s="118"/>
    </row>
    <row r="60" spans="1:19" s="16" customFormat="1" ht="18" customHeight="1">
      <c r="A60" s="19"/>
      <c r="B60" s="12"/>
      <c r="C60" s="13"/>
      <c r="D60" s="29"/>
      <c r="E60" s="30"/>
      <c r="F60" s="31"/>
      <c r="G60" s="31"/>
      <c r="H60" s="31"/>
      <c r="I60" s="31"/>
      <c r="J60" s="31"/>
      <c r="K60" s="31"/>
      <c r="L60" s="31"/>
      <c r="M60" s="30"/>
      <c r="N60" s="30"/>
      <c r="O60" s="30"/>
      <c r="P60" s="118"/>
      <c r="Q60" s="30"/>
      <c r="R60" s="118"/>
      <c r="S60" s="118"/>
    </row>
    <row r="61" spans="1:19" s="16" customFormat="1" ht="18" customHeight="1">
      <c r="A61" s="19"/>
      <c r="B61" s="12"/>
      <c r="C61" s="13"/>
      <c r="D61" s="29"/>
      <c r="E61" s="30"/>
      <c r="F61" s="30"/>
      <c r="G61" s="30"/>
      <c r="H61" s="30"/>
      <c r="I61" s="30"/>
      <c r="J61" s="30"/>
      <c r="K61" s="30"/>
      <c r="L61" s="30"/>
      <c r="M61" s="30"/>
      <c r="N61" s="30">
        <f t="shared" ref="N61:N87" si="50">12000*(F61+R61+H61)</f>
        <v>0</v>
      </c>
      <c r="O61" s="30">
        <f t="shared" ref="O61:O87" si="51">10000*(F61+R61+H61)</f>
        <v>0</v>
      </c>
      <c r="P61" s="118"/>
      <c r="Q61" s="30"/>
      <c r="R61" s="118"/>
      <c r="S61" s="118"/>
    </row>
    <row r="62" spans="1:19" s="16" customFormat="1" ht="18" customHeight="1">
      <c r="A62" s="19"/>
      <c r="B62" s="12"/>
      <c r="C62" s="13"/>
      <c r="D62" s="29"/>
      <c r="E62" s="30"/>
      <c r="F62" s="31"/>
      <c r="G62" s="31"/>
      <c r="H62" s="31"/>
      <c r="I62" s="31"/>
      <c r="J62" s="31"/>
      <c r="K62" s="31"/>
      <c r="L62" s="31"/>
      <c r="M62" s="30"/>
      <c r="N62" s="30"/>
      <c r="O62" s="30"/>
      <c r="P62" s="118"/>
      <c r="Q62" s="30"/>
      <c r="R62" s="118"/>
      <c r="S62" s="118"/>
    </row>
    <row r="63" spans="1:19" s="16" customFormat="1" ht="18" customHeight="1">
      <c r="A63" s="19"/>
      <c r="B63" s="12"/>
      <c r="C63" s="13"/>
      <c r="D63" s="29"/>
      <c r="E63" s="30"/>
      <c r="F63" s="30"/>
      <c r="G63" s="30"/>
      <c r="H63" s="30"/>
      <c r="I63" s="30"/>
      <c r="J63" s="30"/>
      <c r="K63" s="30"/>
      <c r="L63" s="30"/>
      <c r="M63" s="30"/>
      <c r="N63" s="30">
        <f t="shared" ref="N63:N87" si="52">12000*(F63+R63+H63)</f>
        <v>0</v>
      </c>
      <c r="O63" s="30">
        <f t="shared" ref="O63:O87" si="53">10000*(F63+R63+H63)</f>
        <v>0</v>
      </c>
      <c r="P63" s="118"/>
      <c r="Q63" s="30"/>
      <c r="R63" s="118"/>
      <c r="S63" s="118"/>
    </row>
    <row r="64" spans="1:19" s="16" customFormat="1" ht="18" customHeight="1">
      <c r="A64" s="19"/>
      <c r="B64" s="12"/>
      <c r="C64" s="13"/>
      <c r="D64" s="29"/>
      <c r="E64" s="30"/>
      <c r="F64" s="31"/>
      <c r="G64" s="31"/>
      <c r="H64" s="31"/>
      <c r="I64" s="31"/>
      <c r="J64" s="31"/>
      <c r="K64" s="31"/>
      <c r="L64" s="31"/>
      <c r="M64" s="30"/>
      <c r="N64" s="30"/>
      <c r="O64" s="30"/>
      <c r="P64" s="118"/>
      <c r="Q64" s="30"/>
      <c r="R64" s="118"/>
      <c r="S64" s="118"/>
    </row>
    <row r="65" spans="1:19" s="16" customFormat="1" ht="18" customHeight="1">
      <c r="A65" s="19"/>
      <c r="B65" s="12"/>
      <c r="C65" s="13"/>
      <c r="D65" s="29"/>
      <c r="E65" s="30"/>
      <c r="F65" s="30"/>
      <c r="G65" s="30"/>
      <c r="H65" s="30"/>
      <c r="I65" s="30"/>
      <c r="J65" s="30"/>
      <c r="K65" s="30"/>
      <c r="L65" s="30"/>
      <c r="M65" s="30"/>
      <c r="N65" s="30">
        <f t="shared" ref="N65:N87" si="54">12000*(F65+R65+H65)</f>
        <v>0</v>
      </c>
      <c r="O65" s="30">
        <f t="shared" ref="O65:O87" si="55">10000*(F65+R65+H65)</f>
        <v>0</v>
      </c>
      <c r="P65" s="118"/>
      <c r="Q65" s="30"/>
      <c r="R65" s="118"/>
      <c r="S65" s="118"/>
    </row>
    <row r="66" spans="1:19" s="16" customFormat="1" ht="18" customHeight="1">
      <c r="A66" s="19"/>
      <c r="B66" s="12"/>
      <c r="C66" s="13"/>
      <c r="D66" s="29"/>
      <c r="E66" s="30"/>
      <c r="F66" s="31"/>
      <c r="G66" s="31"/>
      <c r="H66" s="31"/>
      <c r="I66" s="31"/>
      <c r="J66" s="31"/>
      <c r="K66" s="31"/>
      <c r="L66" s="31"/>
      <c r="M66" s="30"/>
      <c r="N66" s="30"/>
      <c r="O66" s="30"/>
      <c r="P66" s="118"/>
      <c r="Q66" s="30"/>
      <c r="R66" s="118"/>
      <c r="S66" s="118"/>
    </row>
    <row r="67" spans="1:19" s="16" customFormat="1" ht="18" customHeight="1">
      <c r="A67" s="19"/>
      <c r="B67" s="12"/>
      <c r="C67" s="13"/>
      <c r="D67" s="29"/>
      <c r="E67" s="30"/>
      <c r="F67" s="30"/>
      <c r="G67" s="30"/>
      <c r="H67" s="30"/>
      <c r="I67" s="30"/>
      <c r="J67" s="30"/>
      <c r="K67" s="31"/>
      <c r="L67" s="31"/>
      <c r="M67" s="30"/>
      <c r="N67" s="30">
        <f t="shared" ref="N67:N87" si="56">12000*(F67+R67+H67)</f>
        <v>0</v>
      </c>
      <c r="O67" s="30">
        <f t="shared" ref="O67:O87" si="57">10000*(F67+R67+H67)</f>
        <v>0</v>
      </c>
      <c r="P67" s="118"/>
      <c r="Q67" s="30"/>
      <c r="R67" s="118"/>
      <c r="S67" s="118"/>
    </row>
    <row r="68" spans="1:19" s="16" customFormat="1" ht="18" customHeight="1">
      <c r="A68" s="19"/>
      <c r="B68" s="12"/>
      <c r="C68" s="13"/>
      <c r="D68" s="29"/>
      <c r="E68" s="30"/>
      <c r="F68" s="31"/>
      <c r="G68" s="31"/>
      <c r="H68" s="31"/>
      <c r="I68" s="31"/>
      <c r="J68" s="31"/>
      <c r="K68" s="31"/>
      <c r="L68" s="31"/>
      <c r="M68" s="30"/>
      <c r="N68" s="30"/>
      <c r="O68" s="30"/>
      <c r="P68" s="118"/>
      <c r="Q68" s="30"/>
      <c r="R68" s="118"/>
      <c r="S68" s="118"/>
    </row>
    <row r="69" spans="1:19" s="16" customFormat="1" ht="18" customHeight="1">
      <c r="A69" s="19"/>
      <c r="B69" s="12"/>
      <c r="C69" s="13"/>
      <c r="D69" s="29"/>
      <c r="E69" s="30"/>
      <c r="F69" s="30"/>
      <c r="G69" s="30"/>
      <c r="H69" s="30"/>
      <c r="I69" s="30"/>
      <c r="J69" s="30"/>
      <c r="K69" s="30"/>
      <c r="L69" s="30"/>
      <c r="M69" s="30"/>
      <c r="N69" s="30">
        <f t="shared" ref="N69:N87" si="58">12000*(F69+R69+H69)</f>
        <v>0</v>
      </c>
      <c r="O69" s="30">
        <f t="shared" ref="O69:O87" si="59">10000*(F69+R69+H69)</f>
        <v>0</v>
      </c>
      <c r="P69" s="118"/>
      <c r="Q69" s="30"/>
      <c r="R69" s="118"/>
      <c r="S69" s="118"/>
    </row>
    <row r="70" spans="1:19" s="16" customFormat="1" ht="18" customHeight="1">
      <c r="A70" s="19"/>
      <c r="B70" s="12"/>
      <c r="C70" s="13"/>
      <c r="D70" s="29"/>
      <c r="E70" s="30"/>
      <c r="F70" s="31"/>
      <c r="G70" s="31"/>
      <c r="H70" s="31"/>
      <c r="I70" s="31"/>
      <c r="J70" s="31"/>
      <c r="K70" s="31"/>
      <c r="L70" s="31"/>
      <c r="M70" s="30"/>
      <c r="N70" s="30"/>
      <c r="O70" s="30"/>
      <c r="P70" s="118"/>
      <c r="Q70" s="30"/>
      <c r="R70" s="118"/>
      <c r="S70" s="118"/>
    </row>
    <row r="71" spans="1:19" s="16" customFormat="1" ht="18" customHeight="1">
      <c r="A71" s="19"/>
      <c r="B71" s="12"/>
      <c r="C71" s="13"/>
      <c r="D71" s="29"/>
      <c r="E71" s="30"/>
      <c r="F71" s="30"/>
      <c r="G71" s="30"/>
      <c r="H71" s="30"/>
      <c r="I71" s="30"/>
      <c r="J71" s="30"/>
      <c r="K71" s="30"/>
      <c r="L71" s="30"/>
      <c r="M71" s="30"/>
      <c r="N71" s="30">
        <f t="shared" ref="N71:N87" si="60">12000*(F71+R71+H71)</f>
        <v>0</v>
      </c>
      <c r="O71" s="30">
        <f t="shared" ref="O71:O87" si="61">10000*(F71+R71+H71)</f>
        <v>0</v>
      </c>
      <c r="P71" s="118"/>
      <c r="Q71" s="30"/>
      <c r="R71" s="118"/>
      <c r="S71" s="118"/>
    </row>
    <row r="72" spans="1:19" s="16" customFormat="1" ht="18" customHeight="1">
      <c r="A72" s="19"/>
      <c r="B72" s="12"/>
      <c r="C72" s="13"/>
      <c r="D72" s="29"/>
      <c r="E72" s="30"/>
      <c r="F72" s="31"/>
      <c r="G72" s="31"/>
      <c r="H72" s="31"/>
      <c r="I72" s="31"/>
      <c r="J72" s="31"/>
      <c r="K72" s="31"/>
      <c r="L72" s="31"/>
      <c r="M72" s="30"/>
      <c r="N72" s="30"/>
      <c r="O72" s="30"/>
      <c r="P72" s="118"/>
      <c r="Q72" s="30"/>
      <c r="R72" s="118"/>
      <c r="S72" s="118"/>
    </row>
    <row r="73" spans="1:19" s="16" customFormat="1" ht="18" customHeight="1">
      <c r="A73" s="19"/>
      <c r="B73" s="12"/>
      <c r="C73" s="13"/>
      <c r="D73" s="29"/>
      <c r="E73" s="30"/>
      <c r="F73" s="30"/>
      <c r="G73" s="30"/>
      <c r="H73" s="30"/>
      <c r="I73" s="30"/>
      <c r="J73" s="30"/>
      <c r="K73" s="30"/>
      <c r="L73" s="30"/>
      <c r="M73" s="30"/>
      <c r="N73" s="30">
        <f t="shared" ref="N73:N87" si="62">12000*(F73+R73+H73)</f>
        <v>0</v>
      </c>
      <c r="O73" s="30">
        <f t="shared" ref="O73:O87" si="63">10000*(F73+R73+H73)</f>
        <v>0</v>
      </c>
      <c r="P73" s="118"/>
      <c r="Q73" s="30"/>
      <c r="R73" s="118"/>
      <c r="S73" s="118"/>
    </row>
    <row r="74" spans="1:19" s="16" customFormat="1" ht="18" customHeight="1">
      <c r="A74" s="19"/>
      <c r="B74" s="12"/>
      <c r="C74" s="13"/>
      <c r="D74" s="29"/>
      <c r="E74" s="30"/>
      <c r="F74" s="31"/>
      <c r="G74" s="31"/>
      <c r="H74" s="31"/>
      <c r="I74" s="31"/>
      <c r="J74" s="31"/>
      <c r="K74" s="31"/>
      <c r="L74" s="31"/>
      <c r="M74" s="30"/>
      <c r="N74" s="30"/>
      <c r="O74" s="30"/>
      <c r="P74" s="118"/>
      <c r="Q74" s="30"/>
      <c r="R74" s="118"/>
      <c r="S74" s="118"/>
    </row>
    <row r="75" spans="1:19" s="16" customFormat="1" ht="18" customHeight="1">
      <c r="A75" s="19"/>
      <c r="B75" s="12"/>
      <c r="C75" s="13"/>
      <c r="D75" s="29"/>
      <c r="E75" s="30"/>
      <c r="F75" s="30"/>
      <c r="G75" s="30"/>
      <c r="H75" s="30"/>
      <c r="I75" s="30"/>
      <c r="J75" s="30"/>
      <c r="K75" s="30"/>
      <c r="L75" s="30"/>
      <c r="M75" s="30"/>
      <c r="N75" s="30">
        <f t="shared" ref="N75:N87" si="64">12000*(F75+R75+H75)</f>
        <v>0</v>
      </c>
      <c r="O75" s="30">
        <f t="shared" ref="O75:O87" si="65">10000*(F75+R75+H75)</f>
        <v>0</v>
      </c>
      <c r="P75" s="118"/>
      <c r="Q75" s="30"/>
      <c r="R75" s="118"/>
      <c r="S75" s="118"/>
    </row>
    <row r="76" spans="1:19" s="16" customFormat="1" ht="18" customHeight="1">
      <c r="A76" s="19"/>
      <c r="B76" s="12"/>
      <c r="C76" s="13"/>
      <c r="D76" s="29"/>
      <c r="E76" s="30"/>
      <c r="F76" s="31"/>
      <c r="G76" s="31"/>
      <c r="H76" s="31"/>
      <c r="I76" s="31"/>
      <c r="J76" s="31"/>
      <c r="K76" s="31"/>
      <c r="L76" s="31"/>
      <c r="M76" s="30"/>
      <c r="N76" s="30"/>
      <c r="O76" s="30"/>
      <c r="P76" s="118"/>
      <c r="Q76" s="30"/>
      <c r="R76" s="118"/>
      <c r="S76" s="118"/>
    </row>
    <row r="77" spans="1:19" s="16" customFormat="1" ht="18" customHeight="1">
      <c r="A77" s="19"/>
      <c r="B77" s="12"/>
      <c r="C77" s="13"/>
      <c r="D77" s="29"/>
      <c r="E77" s="30"/>
      <c r="F77" s="30"/>
      <c r="G77" s="30"/>
      <c r="H77" s="30"/>
      <c r="I77" s="30"/>
      <c r="J77" s="30"/>
      <c r="K77" s="30"/>
      <c r="L77" s="30"/>
      <c r="M77" s="30"/>
      <c r="N77" s="30">
        <f t="shared" ref="N77:N87" si="66">12000*(F77+R77+H77)</f>
        <v>0</v>
      </c>
      <c r="O77" s="30">
        <f t="shared" ref="O77:O87" si="67">10000*(F77+R77+H77)</f>
        <v>0</v>
      </c>
      <c r="P77" s="118"/>
      <c r="Q77" s="30"/>
      <c r="R77" s="118"/>
      <c r="S77" s="118"/>
    </row>
    <row r="78" spans="1:19" s="16" customFormat="1" ht="18" customHeight="1">
      <c r="A78" s="19"/>
      <c r="B78" s="12"/>
      <c r="C78" s="13"/>
      <c r="D78" s="29"/>
      <c r="E78" s="30"/>
      <c r="F78" s="31"/>
      <c r="G78" s="31"/>
      <c r="H78" s="31"/>
      <c r="I78" s="31"/>
      <c r="J78" s="31"/>
      <c r="K78" s="31"/>
      <c r="L78" s="31"/>
      <c r="M78" s="30"/>
      <c r="N78" s="30"/>
      <c r="O78" s="30"/>
      <c r="P78" s="118"/>
      <c r="Q78" s="30"/>
      <c r="R78" s="118"/>
      <c r="S78" s="118"/>
    </row>
    <row r="79" spans="1:19" s="16" customFormat="1" ht="18" customHeight="1">
      <c r="A79" s="19"/>
      <c r="B79" s="12"/>
      <c r="C79" s="13"/>
      <c r="D79" s="29"/>
      <c r="E79" s="30"/>
      <c r="F79" s="30"/>
      <c r="G79" s="30"/>
      <c r="H79" s="30"/>
      <c r="I79" s="30"/>
      <c r="J79" s="30"/>
      <c r="K79" s="30"/>
      <c r="L79" s="30"/>
      <c r="M79" s="30"/>
      <c r="N79" s="30">
        <f t="shared" ref="N79:N87" si="68">12000*(F79+R79+H79)</f>
        <v>0</v>
      </c>
      <c r="O79" s="30">
        <f t="shared" ref="O79:O87" si="69">10000*(F79+R79+H79)</f>
        <v>0</v>
      </c>
      <c r="P79" s="118"/>
      <c r="Q79" s="30"/>
      <c r="R79" s="118"/>
      <c r="S79" s="118"/>
    </row>
    <row r="80" spans="1:19" s="16" customFormat="1" ht="18" customHeight="1">
      <c r="A80" s="19"/>
      <c r="B80" s="12"/>
      <c r="C80" s="13"/>
      <c r="D80" s="29"/>
      <c r="E80" s="30"/>
      <c r="F80" s="31"/>
      <c r="G80" s="31"/>
      <c r="H80" s="31"/>
      <c r="I80" s="31"/>
      <c r="J80" s="31"/>
      <c r="K80" s="31"/>
      <c r="L80" s="31"/>
      <c r="M80" s="30"/>
      <c r="N80" s="30"/>
      <c r="O80" s="30"/>
      <c r="P80" s="118"/>
      <c r="Q80" s="30"/>
      <c r="R80" s="118"/>
      <c r="S80" s="118"/>
    </row>
    <row r="81" spans="1:19" s="16" customFormat="1" ht="18" customHeight="1">
      <c r="A81" s="19"/>
      <c r="B81" s="12"/>
      <c r="C81" s="13"/>
      <c r="D81" s="29"/>
      <c r="E81" s="30"/>
      <c r="F81" s="30"/>
      <c r="G81" s="30"/>
      <c r="H81" s="30"/>
      <c r="I81" s="30"/>
      <c r="J81" s="30"/>
      <c r="K81" s="30"/>
      <c r="L81" s="30"/>
      <c r="M81" s="30"/>
      <c r="N81" s="30">
        <f t="shared" ref="N81:N87" si="70">12000*(F81+R81+H81)</f>
        <v>0</v>
      </c>
      <c r="O81" s="30">
        <f t="shared" ref="O81:O87" si="71">10000*(F81+R81+H81)</f>
        <v>0</v>
      </c>
      <c r="P81" s="118"/>
      <c r="Q81" s="30"/>
      <c r="R81" s="118"/>
      <c r="S81" s="118"/>
    </row>
    <row r="82" spans="1:19" s="16" customFormat="1" ht="18" customHeight="1">
      <c r="A82" s="19"/>
      <c r="B82" s="12"/>
      <c r="C82" s="13"/>
      <c r="D82" s="29"/>
      <c r="E82" s="30"/>
      <c r="F82" s="31"/>
      <c r="G82" s="31"/>
      <c r="H82" s="31"/>
      <c r="I82" s="31"/>
      <c r="J82" s="31"/>
      <c r="K82" s="31"/>
      <c r="L82" s="31"/>
      <c r="M82" s="30"/>
      <c r="N82" s="30"/>
      <c r="O82" s="30"/>
      <c r="P82" s="118"/>
      <c r="Q82" s="30"/>
      <c r="R82" s="118"/>
      <c r="S82" s="118"/>
    </row>
    <row r="83" spans="1:19" s="16" customFormat="1" ht="18" customHeight="1">
      <c r="A83" s="19"/>
      <c r="B83" s="12"/>
      <c r="C83" s="13"/>
      <c r="D83" s="29"/>
      <c r="E83" s="30"/>
      <c r="F83" s="30"/>
      <c r="G83" s="30"/>
      <c r="H83" s="30"/>
      <c r="I83" s="30"/>
      <c r="J83" s="30"/>
      <c r="K83" s="30"/>
      <c r="L83" s="30"/>
      <c r="M83" s="30"/>
      <c r="N83" s="30">
        <f t="shared" ref="N83:N87" si="72">12000*(F83+R83+H83)</f>
        <v>0</v>
      </c>
      <c r="O83" s="30">
        <f t="shared" ref="O83:O87" si="73">10000*(F83+R83+H83)</f>
        <v>0</v>
      </c>
      <c r="P83" s="118"/>
      <c r="Q83" s="30"/>
      <c r="R83" s="118"/>
      <c r="S83" s="118"/>
    </row>
    <row r="84" spans="1:19" s="16" customFormat="1" ht="18" customHeight="1">
      <c r="A84" s="19"/>
      <c r="B84" s="12"/>
      <c r="C84" s="13"/>
      <c r="D84" s="29"/>
      <c r="E84" s="30"/>
      <c r="F84" s="31"/>
      <c r="G84" s="31"/>
      <c r="H84" s="31"/>
      <c r="I84" s="31"/>
      <c r="J84" s="31"/>
      <c r="K84" s="31"/>
      <c r="L84" s="31"/>
      <c r="M84" s="30"/>
      <c r="N84" s="30"/>
      <c r="O84" s="30"/>
      <c r="P84" s="118"/>
      <c r="Q84" s="30"/>
      <c r="R84" s="118"/>
      <c r="S84" s="118"/>
    </row>
    <row r="85" spans="1:19" s="16" customFormat="1" ht="18" customHeight="1">
      <c r="A85" s="19"/>
      <c r="B85" s="12"/>
      <c r="C85" s="13"/>
      <c r="D85" s="29"/>
      <c r="E85" s="30"/>
      <c r="F85" s="30"/>
      <c r="G85" s="30"/>
      <c r="H85" s="30"/>
      <c r="I85" s="30"/>
      <c r="J85" s="30"/>
      <c r="K85" s="30"/>
      <c r="L85" s="30"/>
      <c r="M85" s="30"/>
      <c r="N85" s="30">
        <f t="shared" ref="N85:N87" si="74">12000*(F85+R85+H85)</f>
        <v>0</v>
      </c>
      <c r="O85" s="30">
        <f t="shared" ref="O85:O87" si="75">10000*(F85+R85+H85)</f>
        <v>0</v>
      </c>
      <c r="P85" s="118"/>
      <c r="Q85" s="30"/>
      <c r="R85" s="118"/>
      <c r="S85" s="118"/>
    </row>
    <row r="86" spans="1:19" s="16" customFormat="1" ht="18" customHeight="1">
      <c r="A86" s="19"/>
      <c r="B86" s="12"/>
      <c r="C86" s="13"/>
      <c r="D86" s="29"/>
      <c r="E86" s="30"/>
      <c r="F86" s="31"/>
      <c r="G86" s="31"/>
      <c r="H86" s="31"/>
      <c r="I86" s="31"/>
      <c r="J86" s="31"/>
      <c r="K86" s="31"/>
      <c r="L86" s="31"/>
      <c r="M86" s="30"/>
      <c r="N86" s="30"/>
      <c r="O86" s="30"/>
      <c r="P86" s="118"/>
      <c r="Q86" s="30"/>
      <c r="R86" s="118"/>
      <c r="S86" s="118"/>
    </row>
    <row r="87" spans="1:19" ht="18" customHeight="1">
      <c r="A87" s="20"/>
      <c r="B87" s="21"/>
      <c r="C87" s="21"/>
      <c r="D87" s="29"/>
      <c r="E87" s="30"/>
      <c r="F87" s="30"/>
      <c r="G87" s="30"/>
      <c r="H87" s="30"/>
      <c r="I87" s="30"/>
      <c r="J87" s="30"/>
      <c r="K87" s="30"/>
      <c r="L87" s="30"/>
      <c r="M87" s="30"/>
      <c r="N87" s="30">
        <f t="shared" ref="N87" si="76">12000*(F87+R87+H87)</f>
        <v>0</v>
      </c>
      <c r="O87" s="30">
        <f t="shared" ref="O87" si="77">10000*(F87+R87+H87)</f>
        <v>0</v>
      </c>
      <c r="P87" s="118"/>
      <c r="Q87" s="30"/>
      <c r="R87" s="118"/>
      <c r="S87" s="118"/>
    </row>
    <row r="88" spans="1:19" ht="18" customHeight="1">
      <c r="A88" s="22"/>
      <c r="B88" s="22"/>
      <c r="C88" s="22"/>
      <c r="D88" s="124"/>
      <c r="E88" s="15"/>
      <c r="F88" s="125"/>
      <c r="G88" s="125"/>
      <c r="H88" s="125"/>
      <c r="I88" s="125"/>
      <c r="J88" s="125"/>
      <c r="K88" s="125"/>
      <c r="L88" s="125"/>
      <c r="M88" s="15"/>
      <c r="N88" s="15"/>
      <c r="O88" s="15"/>
      <c r="P88" s="15"/>
      <c r="Q88" s="15"/>
      <c r="R88" s="15"/>
      <c r="S88" s="15"/>
    </row>
    <row r="89" spans="1:19" ht="18" customHeight="1">
      <c r="D89" s="8"/>
    </row>
    <row r="90" spans="1:19" s="1" customFormat="1" ht="18" customHeight="1">
      <c r="A90" s="23"/>
      <c r="B90" s="23" t="s">
        <v>12</v>
      </c>
      <c r="D90" s="8"/>
      <c r="E90" s="2"/>
      <c r="F90" s="9"/>
      <c r="G90" s="9"/>
      <c r="H90" s="9"/>
      <c r="I90" s="9"/>
      <c r="J90" s="9"/>
      <c r="K90" s="9"/>
      <c r="L90" s="9"/>
      <c r="M90" s="2"/>
      <c r="N90" s="2"/>
      <c r="O90" s="2"/>
      <c r="P90" s="2"/>
      <c r="Q90" s="2"/>
      <c r="R90" s="2"/>
      <c r="S90" s="2"/>
    </row>
    <row r="91" spans="1:19" ht="18" customHeight="1">
      <c r="A91" s="24"/>
      <c r="B91" s="24"/>
      <c r="D91" s="8"/>
    </row>
    <row r="92" spans="1:19" ht="18" customHeight="1">
      <c r="A92" s="24"/>
      <c r="B92" s="24"/>
      <c r="D92" s="8"/>
      <c r="F92" s="9"/>
      <c r="G92" s="9"/>
      <c r="H92" s="9"/>
      <c r="I92" s="9"/>
      <c r="J92" s="9"/>
      <c r="K92" s="9"/>
      <c r="L92" s="9"/>
    </row>
    <row r="93" spans="1:19" ht="18" customHeight="1">
      <c r="A93" s="24"/>
      <c r="B93" s="24"/>
      <c r="D93" s="8"/>
    </row>
    <row r="94" spans="1:19" ht="18" customHeight="1">
      <c r="A94" s="24"/>
      <c r="B94" s="24"/>
      <c r="D94" s="8"/>
      <c r="F94" s="9"/>
      <c r="G94" s="9"/>
      <c r="H94" s="9"/>
      <c r="I94" s="9"/>
      <c r="J94" s="9"/>
      <c r="K94" s="9"/>
      <c r="L94" s="9"/>
    </row>
    <row r="95" spans="1:19" ht="18" customHeight="1">
      <c r="A95" s="175" t="s">
        <v>15</v>
      </c>
      <c r="B95" s="175"/>
      <c r="D95" s="8"/>
    </row>
    <row r="96" spans="1:19" ht="18" customHeight="1">
      <c r="D96" s="8"/>
      <c r="F96" s="9"/>
      <c r="G96" s="9"/>
      <c r="H96" s="9"/>
      <c r="I96" s="9"/>
      <c r="J96" s="9"/>
      <c r="K96" s="9"/>
      <c r="L96" s="9"/>
    </row>
    <row r="97" spans="4:12" ht="18" customHeight="1"/>
    <row r="98" spans="4:12" ht="18" customHeight="1">
      <c r="D98" s="8"/>
      <c r="F98" s="9"/>
      <c r="G98" s="9"/>
      <c r="H98" s="9"/>
      <c r="I98" s="9"/>
      <c r="J98" s="9"/>
      <c r="K98" s="9"/>
      <c r="L98" s="9"/>
    </row>
    <row r="99" spans="4:12" ht="18" customHeight="1"/>
    <row r="100" spans="4:12" ht="18" customHeight="1">
      <c r="D100" s="8"/>
      <c r="F100" s="9"/>
      <c r="G100" s="9"/>
      <c r="H100" s="9"/>
      <c r="I100" s="9"/>
      <c r="J100" s="9"/>
      <c r="K100" s="9"/>
      <c r="L100" s="9"/>
    </row>
    <row r="101" spans="4:12" ht="18" customHeight="1"/>
    <row r="102" spans="4:12" ht="18" customHeight="1">
      <c r="D102" s="8"/>
      <c r="F102" s="9"/>
      <c r="G102" s="9"/>
      <c r="H102" s="9"/>
      <c r="I102" s="9"/>
      <c r="J102" s="9"/>
      <c r="K102" s="9"/>
      <c r="L102" s="9"/>
    </row>
    <row r="103" spans="4:12" ht="18" customHeight="1"/>
    <row r="104" spans="4:12" ht="18" customHeight="1">
      <c r="D104" s="8"/>
      <c r="F104" s="9"/>
      <c r="G104" s="9"/>
      <c r="H104" s="9"/>
      <c r="I104" s="9"/>
      <c r="J104" s="9"/>
      <c r="K104" s="9"/>
      <c r="L104" s="9"/>
    </row>
    <row r="105" spans="4:12" ht="18" customHeight="1"/>
    <row r="106" spans="4:12" ht="18" customHeight="1">
      <c r="D106" s="8"/>
      <c r="F106" s="9"/>
      <c r="G106" s="9"/>
      <c r="H106" s="9"/>
      <c r="I106" s="9"/>
      <c r="J106" s="9"/>
      <c r="K106" s="9"/>
      <c r="L106" s="9"/>
    </row>
    <row r="107" spans="4:12" ht="18" customHeight="1"/>
    <row r="108" spans="4:12" ht="18" customHeight="1">
      <c r="D108" s="8"/>
      <c r="F108" s="9"/>
      <c r="G108" s="9"/>
      <c r="H108" s="9"/>
      <c r="I108" s="9"/>
      <c r="J108" s="9"/>
      <c r="K108" s="9"/>
      <c r="L108" s="9"/>
    </row>
    <row r="109" spans="4:12" ht="18" customHeight="1"/>
    <row r="110" spans="4:12" ht="18" customHeight="1">
      <c r="D110" s="8"/>
      <c r="F110" s="9"/>
      <c r="G110" s="9"/>
      <c r="H110" s="9"/>
      <c r="I110" s="9"/>
      <c r="J110" s="9"/>
      <c r="K110" s="9"/>
      <c r="L110" s="9"/>
    </row>
    <row r="111" spans="4:12" ht="18" customHeight="1"/>
    <row r="112" spans="4:12" ht="18" customHeight="1">
      <c r="D112" s="8"/>
      <c r="F112" s="9"/>
      <c r="G112" s="9"/>
      <c r="H112" s="9"/>
      <c r="I112" s="9"/>
      <c r="J112" s="9"/>
      <c r="K112" s="9"/>
      <c r="L112" s="9"/>
    </row>
    <row r="113" spans="4:12" ht="18" customHeight="1"/>
    <row r="114" spans="4:12" ht="18" customHeight="1">
      <c r="D114" s="8"/>
      <c r="F114" s="9"/>
      <c r="G114" s="9"/>
      <c r="H114" s="9"/>
      <c r="I114" s="9"/>
      <c r="J114" s="9"/>
      <c r="K114" s="9"/>
      <c r="L114" s="9"/>
    </row>
    <row r="115" spans="4:12" ht="18" customHeight="1"/>
    <row r="116" spans="4:12" ht="18" customHeight="1">
      <c r="D116" s="8"/>
      <c r="F116" s="9"/>
      <c r="G116" s="9"/>
      <c r="H116" s="9"/>
      <c r="I116" s="9"/>
      <c r="J116" s="9"/>
      <c r="K116" s="9"/>
      <c r="L116" s="9"/>
    </row>
    <row r="117" spans="4:12" ht="18" customHeight="1"/>
    <row r="118" spans="4:12" ht="18" customHeight="1">
      <c r="D118" s="8"/>
      <c r="F118" s="9"/>
      <c r="G118" s="9"/>
      <c r="H118" s="9"/>
      <c r="I118" s="9"/>
      <c r="J118" s="9"/>
      <c r="K118" s="9"/>
      <c r="L118" s="9"/>
    </row>
    <row r="119" spans="4:12" ht="18" customHeight="1"/>
    <row r="120" spans="4:12" ht="18" customHeight="1">
      <c r="D120" s="8"/>
      <c r="F120" s="9"/>
      <c r="G120" s="9"/>
      <c r="H120" s="9"/>
      <c r="I120" s="9"/>
      <c r="J120" s="9"/>
      <c r="K120" s="9"/>
      <c r="L120" s="9"/>
    </row>
    <row r="121" spans="4:12" ht="18" customHeight="1"/>
    <row r="122" spans="4:12" ht="18" customHeight="1">
      <c r="D122" s="8"/>
      <c r="F122" s="9"/>
      <c r="G122" s="9"/>
      <c r="H122" s="9"/>
      <c r="I122" s="9"/>
      <c r="J122" s="9"/>
      <c r="K122" s="9"/>
      <c r="L122" s="9"/>
    </row>
    <row r="123" spans="4:12" ht="18" customHeight="1"/>
    <row r="124" spans="4:12" ht="18" customHeight="1">
      <c r="D124" s="8"/>
      <c r="F124" s="9"/>
      <c r="G124" s="9"/>
      <c r="H124" s="9"/>
      <c r="I124" s="9"/>
      <c r="J124" s="9"/>
      <c r="K124" s="9"/>
      <c r="L124" s="9"/>
    </row>
    <row r="125" spans="4:12" ht="18" customHeight="1"/>
    <row r="126" spans="4:12" ht="18" customHeight="1">
      <c r="D126" s="8"/>
      <c r="F126" s="9"/>
      <c r="G126" s="9"/>
      <c r="H126" s="9"/>
      <c r="I126" s="9"/>
      <c r="J126" s="9"/>
      <c r="K126" s="9"/>
      <c r="L126" s="9"/>
    </row>
    <row r="127" spans="4:12" ht="18" customHeight="1"/>
    <row r="128" spans="4:12" ht="18" customHeight="1">
      <c r="D128" s="8"/>
      <c r="F128" s="9"/>
      <c r="G128" s="9"/>
      <c r="H128" s="9"/>
      <c r="I128" s="9"/>
      <c r="J128" s="9"/>
      <c r="K128" s="9"/>
      <c r="L128" s="9"/>
    </row>
    <row r="129" spans="4:12" ht="18" customHeight="1"/>
    <row r="130" spans="4:12" ht="18" customHeight="1">
      <c r="D130" s="8"/>
      <c r="F130" s="9"/>
      <c r="G130" s="9"/>
      <c r="H130" s="9"/>
      <c r="I130" s="9"/>
      <c r="J130" s="9"/>
      <c r="K130" s="9"/>
      <c r="L130" s="9"/>
    </row>
    <row r="131" spans="4:12" ht="18" customHeight="1"/>
    <row r="132" spans="4:12" ht="18" customHeight="1">
      <c r="D132" s="8"/>
      <c r="F132" s="9"/>
      <c r="G132" s="9"/>
      <c r="H132" s="9"/>
      <c r="I132" s="9"/>
      <c r="J132" s="9"/>
      <c r="K132" s="9"/>
      <c r="L132" s="9"/>
    </row>
    <row r="133" spans="4:12" ht="18" customHeight="1"/>
    <row r="134" spans="4:12" ht="18" customHeight="1">
      <c r="D134" s="8"/>
      <c r="F134" s="9"/>
      <c r="G134" s="9"/>
      <c r="H134" s="9"/>
      <c r="I134" s="9"/>
      <c r="J134" s="9"/>
      <c r="K134" s="9"/>
      <c r="L134" s="9"/>
    </row>
    <row r="135" spans="4:12" ht="18" customHeight="1"/>
    <row r="136" spans="4:12" ht="18" customHeight="1">
      <c r="D136" s="8"/>
      <c r="F136" s="9"/>
      <c r="G136" s="9"/>
      <c r="H136" s="9"/>
      <c r="I136" s="9"/>
      <c r="J136" s="9"/>
      <c r="K136" s="9"/>
      <c r="L136" s="9"/>
    </row>
    <row r="137" spans="4:12" ht="18" customHeight="1"/>
    <row r="138" spans="4:12" ht="18" customHeight="1">
      <c r="D138" s="8"/>
      <c r="F138" s="9"/>
      <c r="G138" s="9"/>
      <c r="H138" s="9"/>
      <c r="I138" s="9"/>
      <c r="J138" s="9"/>
      <c r="K138" s="9"/>
      <c r="L138" s="9"/>
    </row>
    <row r="139" spans="4:12" ht="18" customHeight="1"/>
    <row r="140" spans="4:12" ht="18" customHeight="1">
      <c r="D140" s="8"/>
      <c r="F140" s="9"/>
      <c r="G140" s="9"/>
      <c r="H140" s="9"/>
      <c r="I140" s="9"/>
      <c r="J140" s="9"/>
      <c r="K140" s="9"/>
      <c r="L140" s="9"/>
    </row>
    <row r="141" spans="4:12" ht="18" customHeight="1"/>
    <row r="142" spans="4:12" ht="18" customHeight="1">
      <c r="D142" s="8"/>
      <c r="F142" s="9"/>
      <c r="G142" s="9"/>
      <c r="H142" s="9"/>
      <c r="I142" s="9"/>
      <c r="J142" s="9"/>
      <c r="K142" s="9"/>
      <c r="L142" s="9"/>
    </row>
    <row r="143" spans="4:12" ht="18" customHeight="1"/>
    <row r="144" spans="4:12" ht="18" customHeight="1">
      <c r="D144" s="8"/>
      <c r="F144" s="9"/>
      <c r="G144" s="9"/>
      <c r="H144" s="9"/>
      <c r="I144" s="9"/>
      <c r="J144" s="9"/>
      <c r="K144" s="9"/>
      <c r="L144" s="9"/>
    </row>
    <row r="145" spans="4:12" ht="18" customHeight="1"/>
    <row r="146" spans="4:12" ht="18" customHeight="1">
      <c r="D146" s="8"/>
      <c r="F146" s="9"/>
      <c r="G146" s="9"/>
      <c r="H146" s="9"/>
      <c r="I146" s="9"/>
      <c r="J146" s="9"/>
      <c r="K146" s="9"/>
      <c r="L146" s="9"/>
    </row>
    <row r="147" spans="4:12" ht="18" customHeight="1"/>
    <row r="148" spans="4:12" ht="18" customHeight="1">
      <c r="D148" s="8"/>
      <c r="F148" s="9"/>
      <c r="G148" s="9"/>
      <c r="H148" s="9"/>
      <c r="I148" s="9"/>
      <c r="J148" s="9"/>
      <c r="K148" s="9"/>
      <c r="L148" s="9"/>
    </row>
    <row r="149" spans="4:12" ht="18" customHeight="1"/>
    <row r="150" spans="4:12" ht="18" customHeight="1">
      <c r="D150" s="8"/>
      <c r="F150" s="9"/>
      <c r="G150" s="9"/>
      <c r="H150" s="9"/>
      <c r="I150" s="9"/>
      <c r="J150" s="9"/>
      <c r="K150" s="9"/>
      <c r="L150" s="9"/>
    </row>
    <row r="151" spans="4:12" ht="18" customHeight="1"/>
    <row r="152" spans="4:12" ht="18" customHeight="1">
      <c r="D152" s="8"/>
      <c r="F152" s="9"/>
      <c r="G152" s="9"/>
      <c r="H152" s="9"/>
      <c r="I152" s="9"/>
      <c r="J152" s="9"/>
      <c r="K152" s="9"/>
      <c r="L152" s="9"/>
    </row>
    <row r="153" spans="4:12" ht="18" customHeight="1"/>
    <row r="154" spans="4:12" ht="18" customHeight="1">
      <c r="D154" s="8"/>
      <c r="F154" s="9"/>
      <c r="G154" s="9"/>
      <c r="H154" s="9"/>
      <c r="I154" s="9"/>
      <c r="J154" s="9"/>
      <c r="K154" s="9"/>
      <c r="L154" s="9"/>
    </row>
    <row r="155" spans="4:12" ht="18" customHeight="1"/>
    <row r="156" spans="4:12" ht="18" customHeight="1">
      <c r="D156" s="8"/>
      <c r="F156" s="9"/>
      <c r="G156" s="9"/>
      <c r="H156" s="9"/>
      <c r="I156" s="9"/>
      <c r="J156" s="9"/>
      <c r="K156" s="9"/>
      <c r="L156" s="9"/>
    </row>
    <row r="157" spans="4:12" ht="18" customHeight="1"/>
    <row r="158" spans="4:12" ht="18" customHeight="1">
      <c r="D158" s="8"/>
      <c r="F158" s="9"/>
      <c r="G158" s="9"/>
      <c r="H158" s="9"/>
      <c r="I158" s="9"/>
      <c r="J158" s="9"/>
      <c r="K158" s="9"/>
      <c r="L158" s="9"/>
    </row>
    <row r="159" spans="4:12" ht="18" customHeight="1"/>
    <row r="160" spans="4:12" ht="18" customHeight="1">
      <c r="D160" s="8"/>
      <c r="F160" s="9"/>
      <c r="G160" s="9"/>
      <c r="H160" s="9"/>
      <c r="I160" s="9"/>
      <c r="J160" s="9"/>
      <c r="K160" s="9"/>
      <c r="L160" s="9"/>
    </row>
    <row r="161" spans="4:12" ht="18" customHeight="1"/>
    <row r="162" spans="4:12" ht="18" customHeight="1">
      <c r="D162" s="8"/>
      <c r="F162" s="9"/>
      <c r="G162" s="9"/>
      <c r="H162" s="9"/>
      <c r="I162" s="9"/>
      <c r="J162" s="9"/>
      <c r="K162" s="9"/>
      <c r="L162" s="9"/>
    </row>
    <row r="163" spans="4:12" ht="18" customHeight="1"/>
    <row r="164" spans="4:12" ht="18" customHeight="1">
      <c r="D164" s="8"/>
      <c r="F164" s="9"/>
      <c r="G164" s="9"/>
      <c r="H164" s="9"/>
      <c r="I164" s="9"/>
      <c r="J164" s="9"/>
      <c r="K164" s="9"/>
      <c r="L164" s="9"/>
    </row>
    <row r="165" spans="4:12" ht="18" customHeight="1"/>
    <row r="166" spans="4:12" ht="18" customHeight="1">
      <c r="D166" s="8"/>
      <c r="F166" s="9"/>
      <c r="G166" s="9"/>
      <c r="H166" s="9"/>
      <c r="I166" s="9"/>
      <c r="J166" s="9"/>
      <c r="K166" s="9"/>
      <c r="L166" s="9"/>
    </row>
    <row r="167" spans="4:12" ht="18" customHeight="1"/>
    <row r="168" spans="4:12" ht="18" customHeight="1">
      <c r="D168" s="8"/>
      <c r="F168" s="9"/>
      <c r="G168" s="9"/>
      <c r="H168" s="9"/>
      <c r="I168" s="9"/>
      <c r="J168" s="9"/>
      <c r="K168" s="9"/>
      <c r="L168" s="9"/>
    </row>
    <row r="169" spans="4:12" ht="18" customHeight="1"/>
    <row r="170" spans="4:12" ht="18" customHeight="1">
      <c r="D170" s="8"/>
      <c r="F170" s="9"/>
      <c r="G170" s="9"/>
      <c r="H170" s="9"/>
      <c r="I170" s="9"/>
      <c r="J170" s="9"/>
      <c r="K170" s="9"/>
      <c r="L170" s="9"/>
    </row>
    <row r="171" spans="4:12" ht="18" customHeight="1"/>
    <row r="172" spans="4:12" ht="18" customHeight="1">
      <c r="D172" s="8"/>
      <c r="F172" s="9"/>
      <c r="G172" s="9"/>
      <c r="H172" s="9"/>
      <c r="I172" s="9"/>
      <c r="J172" s="9"/>
      <c r="K172" s="9"/>
      <c r="L172" s="9"/>
    </row>
    <row r="173" spans="4:12" ht="18" customHeight="1"/>
    <row r="174" spans="4:12" ht="18" customHeight="1">
      <c r="D174" s="8"/>
      <c r="F174" s="9"/>
      <c r="G174" s="9"/>
      <c r="H174" s="9"/>
      <c r="I174" s="9"/>
      <c r="J174" s="9"/>
      <c r="K174" s="9"/>
      <c r="L174" s="9"/>
    </row>
    <row r="175" spans="4:12" ht="18" customHeight="1"/>
    <row r="176" spans="4:12" ht="18" customHeight="1">
      <c r="D176" s="8"/>
      <c r="F176" s="9"/>
      <c r="G176" s="9"/>
      <c r="H176" s="9"/>
      <c r="I176" s="9"/>
      <c r="J176" s="9"/>
      <c r="K176" s="9"/>
      <c r="L176" s="9"/>
    </row>
    <row r="177" spans="4:12" ht="18" customHeight="1"/>
    <row r="178" spans="4:12" ht="18" customHeight="1">
      <c r="D178" s="8"/>
      <c r="F178" s="9"/>
      <c r="G178" s="9"/>
      <c r="H178" s="9"/>
      <c r="I178" s="9"/>
      <c r="J178" s="9"/>
      <c r="K178" s="9"/>
      <c r="L178" s="9"/>
    </row>
    <row r="179" spans="4:12" ht="18" customHeight="1"/>
    <row r="180" spans="4:12" ht="18" customHeight="1">
      <c r="D180" s="8"/>
      <c r="F180" s="9"/>
      <c r="G180" s="9"/>
      <c r="H180" s="9"/>
      <c r="I180" s="9"/>
      <c r="J180" s="9"/>
      <c r="K180" s="9"/>
      <c r="L180" s="9"/>
    </row>
    <row r="181" spans="4:12" ht="18" customHeight="1"/>
    <row r="182" spans="4:12" ht="18" customHeight="1">
      <c r="D182" s="8"/>
      <c r="F182" s="9"/>
      <c r="G182" s="9"/>
      <c r="H182" s="9"/>
      <c r="I182" s="9"/>
      <c r="J182" s="9"/>
      <c r="K182" s="9"/>
      <c r="L182" s="9"/>
    </row>
    <row r="183" spans="4:12" ht="18" customHeight="1"/>
    <row r="184" spans="4:12" ht="18" customHeight="1">
      <c r="D184" s="8"/>
      <c r="F184" s="9"/>
      <c r="G184" s="9"/>
      <c r="H184" s="9"/>
      <c r="I184" s="9"/>
      <c r="J184" s="9"/>
      <c r="K184" s="9"/>
      <c r="L184" s="9"/>
    </row>
    <row r="185" spans="4:12" ht="18" customHeight="1"/>
    <row r="186" spans="4:12" ht="18" customHeight="1">
      <c r="D186" s="8"/>
      <c r="F186" s="9"/>
      <c r="G186" s="9"/>
      <c r="H186" s="9"/>
      <c r="I186" s="9"/>
      <c r="J186" s="9"/>
    </row>
    <row r="187" spans="4:12" ht="18" customHeight="1">
      <c r="F187" s="9"/>
      <c r="G187" s="9"/>
      <c r="H187" s="9"/>
      <c r="I187" s="9"/>
      <c r="J187" s="9"/>
    </row>
    <row r="188" spans="4:12" ht="18" customHeight="1">
      <c r="D188" s="8"/>
      <c r="F188" s="9"/>
      <c r="G188" s="9"/>
      <c r="H188" s="9"/>
      <c r="I188" s="9"/>
      <c r="J188" s="9"/>
    </row>
    <row r="189" spans="4:12" ht="18" customHeight="1">
      <c r="F189" s="9"/>
      <c r="G189" s="9"/>
      <c r="H189" s="9"/>
      <c r="I189" s="9"/>
      <c r="J189" s="9"/>
    </row>
    <row r="190" spans="4:12" ht="18" customHeight="1">
      <c r="D190" s="8"/>
      <c r="F190" s="9"/>
      <c r="G190" s="9"/>
      <c r="H190" s="9"/>
      <c r="I190" s="9"/>
      <c r="J190" s="9"/>
    </row>
    <row r="191" spans="4:12" ht="18" customHeight="1">
      <c r="F191" s="9"/>
      <c r="G191" s="9"/>
      <c r="H191" s="9"/>
      <c r="I191" s="9"/>
      <c r="J191" s="9"/>
    </row>
    <row r="192" spans="4:12" ht="18" customHeight="1">
      <c r="D192" s="8"/>
      <c r="F192" s="9"/>
      <c r="G192" s="9"/>
      <c r="H192" s="9"/>
      <c r="I192" s="9"/>
      <c r="J192" s="9"/>
    </row>
    <row r="193" spans="4:10" ht="18" customHeight="1">
      <c r="F193" s="9"/>
      <c r="G193" s="9"/>
      <c r="H193" s="9"/>
      <c r="I193" s="9"/>
      <c r="J193" s="9"/>
    </row>
    <row r="194" spans="4:10" ht="18" customHeight="1">
      <c r="D194" s="8"/>
      <c r="F194" s="9"/>
      <c r="G194" s="9"/>
      <c r="H194" s="9"/>
      <c r="I194" s="9"/>
      <c r="J194" s="9"/>
    </row>
    <row r="195" spans="4:10" ht="18" customHeight="1">
      <c r="F195" s="9"/>
      <c r="G195" s="9"/>
      <c r="H195" s="9"/>
      <c r="I195" s="9"/>
      <c r="J195" s="9"/>
    </row>
    <row r="196" spans="4:10" ht="18" customHeight="1">
      <c r="D196" s="8"/>
      <c r="F196" s="9"/>
      <c r="G196" s="9"/>
      <c r="H196" s="9"/>
      <c r="I196" s="9"/>
      <c r="J196" s="9"/>
    </row>
    <row r="197" spans="4:10" ht="18" customHeight="1">
      <c r="F197" s="9"/>
      <c r="G197" s="9"/>
      <c r="H197" s="9"/>
      <c r="I197" s="9"/>
      <c r="J197" s="9"/>
    </row>
    <row r="198" spans="4:10" ht="18" customHeight="1">
      <c r="D198" s="8"/>
      <c r="F198" s="9"/>
      <c r="G198" s="9"/>
      <c r="H198" s="9"/>
      <c r="I198" s="9"/>
      <c r="J198" s="9"/>
    </row>
    <row r="199" spans="4:10" ht="18" customHeight="1">
      <c r="F199" s="9"/>
      <c r="G199" s="9"/>
      <c r="H199" s="9"/>
      <c r="I199" s="9"/>
      <c r="J199" s="9"/>
    </row>
    <row r="200" spans="4:10" ht="18" customHeight="1">
      <c r="D200" s="8"/>
      <c r="F200" s="9"/>
      <c r="G200" s="9"/>
      <c r="H200" s="9"/>
      <c r="I200" s="9"/>
      <c r="J200" s="9"/>
    </row>
    <row r="201" spans="4:10" ht="18" customHeight="1">
      <c r="F201" s="9"/>
      <c r="G201" s="9"/>
      <c r="H201" s="9"/>
      <c r="I201" s="9"/>
      <c r="J201" s="9"/>
    </row>
    <row r="202" spans="4:10" ht="18" customHeight="1">
      <c r="D202" s="8"/>
      <c r="F202" s="9"/>
      <c r="G202" s="9"/>
      <c r="H202" s="9"/>
      <c r="I202" s="9"/>
      <c r="J202" s="9"/>
    </row>
    <row r="203" spans="4:10" ht="18" customHeight="1">
      <c r="F203" s="9"/>
      <c r="G203" s="9"/>
      <c r="H203" s="9"/>
      <c r="I203" s="9"/>
      <c r="J203" s="9"/>
    </row>
    <row r="204" spans="4:10" ht="18" customHeight="1">
      <c r="D204" s="8"/>
      <c r="F204" s="9"/>
      <c r="G204" s="9"/>
      <c r="H204" s="9"/>
      <c r="I204" s="9"/>
      <c r="J204" s="9"/>
    </row>
    <row r="205" spans="4:10" ht="18" customHeight="1">
      <c r="F205" s="9"/>
      <c r="G205" s="9"/>
      <c r="H205" s="9"/>
      <c r="I205" s="9"/>
      <c r="J205" s="9"/>
    </row>
    <row r="206" spans="4:10" ht="18" customHeight="1">
      <c r="D206" s="8"/>
      <c r="F206" s="9"/>
      <c r="G206" s="9"/>
      <c r="H206" s="9"/>
      <c r="I206" s="9"/>
      <c r="J206" s="9"/>
    </row>
    <row r="207" spans="4:10" ht="18" customHeight="1">
      <c r="F207" s="9"/>
      <c r="G207" s="9"/>
      <c r="H207" s="9"/>
      <c r="I207" s="9"/>
      <c r="J207" s="9"/>
    </row>
    <row r="208" spans="4:10" ht="18" customHeight="1">
      <c r="D208" s="8"/>
      <c r="F208" s="9"/>
      <c r="G208" s="9"/>
      <c r="H208" s="9"/>
      <c r="I208" s="9"/>
      <c r="J208" s="9"/>
    </row>
    <row r="209" spans="4:10" ht="18" customHeight="1">
      <c r="F209" s="9"/>
      <c r="G209" s="9"/>
      <c r="H209" s="9"/>
      <c r="I209" s="9"/>
      <c r="J209" s="9"/>
    </row>
    <row r="210" spans="4:10" ht="18" customHeight="1">
      <c r="D210" s="8"/>
      <c r="F210" s="9"/>
      <c r="G210" s="9"/>
      <c r="H210" s="9"/>
      <c r="I210" s="9"/>
      <c r="J210" s="9"/>
    </row>
    <row r="211" spans="4:10" ht="18" customHeight="1">
      <c r="F211" s="9"/>
      <c r="G211" s="9"/>
      <c r="H211" s="9"/>
      <c r="I211" s="9"/>
      <c r="J211" s="9"/>
    </row>
    <row r="212" spans="4:10" ht="18" customHeight="1">
      <c r="D212" s="8"/>
      <c r="F212" s="9"/>
      <c r="G212" s="9"/>
      <c r="H212" s="9"/>
      <c r="I212" s="9"/>
      <c r="J212" s="9"/>
    </row>
    <row r="213" spans="4:10" ht="18" customHeight="1">
      <c r="F213" s="9"/>
      <c r="G213" s="9"/>
      <c r="H213" s="9"/>
      <c r="I213" s="9"/>
      <c r="J213" s="9"/>
    </row>
    <row r="214" spans="4:10" ht="18" customHeight="1">
      <c r="D214" s="8"/>
      <c r="F214" s="9"/>
      <c r="G214" s="9"/>
      <c r="H214" s="9"/>
      <c r="I214" s="9"/>
      <c r="J214" s="9"/>
    </row>
    <row r="215" spans="4:10" ht="18" customHeight="1">
      <c r="F215" s="9"/>
      <c r="G215" s="9"/>
      <c r="H215" s="9"/>
      <c r="I215" s="9"/>
      <c r="J215" s="9"/>
    </row>
    <row r="216" spans="4:10" ht="18" customHeight="1">
      <c r="D216" s="8"/>
      <c r="F216" s="9"/>
      <c r="G216" s="9"/>
      <c r="H216" s="9"/>
      <c r="I216" s="9"/>
      <c r="J216" s="9"/>
    </row>
    <row r="217" spans="4:10" ht="18" customHeight="1">
      <c r="F217" s="9"/>
      <c r="G217" s="9"/>
      <c r="H217" s="9"/>
      <c r="I217" s="9"/>
      <c r="J217" s="9"/>
    </row>
    <row r="218" spans="4:10" ht="18" customHeight="1">
      <c r="D218" s="8"/>
      <c r="F218" s="9"/>
      <c r="G218" s="9"/>
      <c r="H218" s="9"/>
      <c r="I218" s="9"/>
      <c r="J218" s="9"/>
    </row>
    <row r="219" spans="4:10" ht="18" customHeight="1">
      <c r="F219" s="9"/>
      <c r="G219" s="9"/>
      <c r="H219" s="9"/>
      <c r="I219" s="9"/>
      <c r="J219" s="9"/>
    </row>
    <row r="220" spans="4:10" ht="18" customHeight="1">
      <c r="D220" s="8"/>
      <c r="F220" s="9"/>
      <c r="G220" s="9"/>
      <c r="H220" s="9"/>
      <c r="I220" s="9"/>
      <c r="J220" s="9"/>
    </row>
    <row r="221" spans="4:10" ht="18" customHeight="1">
      <c r="F221" s="9"/>
      <c r="G221" s="9"/>
      <c r="H221" s="9"/>
      <c r="I221" s="9"/>
      <c r="J221" s="9"/>
    </row>
    <row r="222" spans="4:10" ht="18" customHeight="1">
      <c r="D222" s="8"/>
      <c r="F222" s="9"/>
      <c r="G222" s="9"/>
      <c r="H222" s="9"/>
      <c r="I222" s="9"/>
      <c r="J222" s="9"/>
    </row>
    <row r="223" spans="4:10" ht="18" customHeight="1">
      <c r="F223" s="9"/>
      <c r="G223" s="9"/>
      <c r="H223" s="9"/>
      <c r="I223" s="9"/>
      <c r="J223" s="9"/>
    </row>
    <row r="224" spans="4:10" ht="18" customHeight="1">
      <c r="D224" s="8"/>
      <c r="F224" s="9"/>
      <c r="G224" s="9"/>
      <c r="H224" s="9"/>
      <c r="I224" s="9"/>
      <c r="J224" s="9"/>
    </row>
    <row r="225" spans="4:10" ht="18" customHeight="1">
      <c r="F225" s="9"/>
      <c r="G225" s="9"/>
      <c r="H225" s="9"/>
      <c r="I225" s="9"/>
      <c r="J225" s="9"/>
    </row>
    <row r="226" spans="4:10" ht="18" customHeight="1">
      <c r="D226" s="8"/>
    </row>
    <row r="227" spans="4:10" ht="18" customHeight="1"/>
    <row r="228" spans="4:10" ht="18" customHeight="1">
      <c r="D228" s="8"/>
    </row>
    <row r="229" spans="4:10" ht="18" customHeight="1"/>
    <row r="230" spans="4:10" ht="18" customHeight="1">
      <c r="D230" s="8"/>
    </row>
    <row r="231" spans="4:10" ht="18" customHeight="1"/>
    <row r="232" spans="4:10" ht="18" customHeight="1">
      <c r="D232" s="8"/>
    </row>
    <row r="233" spans="4:10" ht="18" customHeight="1"/>
    <row r="234" spans="4:10" ht="18" customHeight="1">
      <c r="D234" s="8"/>
    </row>
    <row r="235" spans="4:10" ht="18" customHeight="1"/>
    <row r="236" spans="4:10" ht="18" customHeight="1">
      <c r="D236" s="8"/>
    </row>
    <row r="237" spans="4:10" ht="18" customHeight="1"/>
    <row r="238" spans="4:10" ht="18" customHeight="1">
      <c r="D238" s="8"/>
    </row>
    <row r="239" spans="4:10" ht="18" customHeight="1"/>
    <row r="240" spans="4:10" ht="18" customHeight="1">
      <c r="D240" s="8"/>
    </row>
    <row r="241" spans="4:4" ht="18" customHeight="1"/>
    <row r="242" spans="4:4" ht="18" customHeight="1">
      <c r="D242" s="8"/>
    </row>
    <row r="243" spans="4:4" ht="18" customHeight="1"/>
    <row r="244" spans="4:4" ht="18" customHeight="1">
      <c r="D244" s="8"/>
    </row>
    <row r="245" spans="4:4" ht="18" customHeight="1"/>
    <row r="246" spans="4:4" ht="18" customHeight="1">
      <c r="D246" s="8"/>
    </row>
    <row r="247" spans="4:4" ht="18" customHeight="1"/>
    <row r="248" spans="4:4" ht="18" customHeight="1">
      <c r="D248" s="8"/>
    </row>
    <row r="249" spans="4:4" ht="18" customHeight="1"/>
    <row r="250" spans="4:4" ht="18" customHeight="1">
      <c r="D250" s="8"/>
    </row>
    <row r="251" spans="4:4" ht="18" customHeight="1"/>
    <row r="252" spans="4:4" ht="18" customHeight="1">
      <c r="D252" s="8"/>
    </row>
    <row r="253" spans="4:4" ht="18" customHeight="1"/>
    <row r="254" spans="4:4" ht="18" customHeight="1">
      <c r="D254" s="8"/>
    </row>
    <row r="255" spans="4:4" ht="18" customHeight="1"/>
    <row r="256" spans="4:4" ht="18" customHeight="1">
      <c r="D256" s="8"/>
    </row>
    <row r="257" spans="4:4" ht="18" customHeight="1"/>
    <row r="258" spans="4:4" ht="18" customHeight="1">
      <c r="D258" s="8"/>
    </row>
    <row r="259" spans="4:4" ht="18" customHeight="1"/>
    <row r="260" spans="4:4" ht="18" customHeight="1">
      <c r="D260" s="8"/>
    </row>
    <row r="261" spans="4:4" ht="18" customHeight="1"/>
    <row r="262" spans="4:4" ht="18" customHeight="1">
      <c r="D262" s="8"/>
    </row>
    <row r="263" spans="4:4" ht="18" customHeight="1"/>
    <row r="264" spans="4:4" ht="18" customHeight="1">
      <c r="D264" s="8"/>
    </row>
    <row r="265" spans="4:4" ht="18" customHeight="1"/>
    <row r="266" spans="4:4" ht="18" customHeight="1">
      <c r="D266" s="8"/>
    </row>
    <row r="267" spans="4:4" ht="18" customHeight="1"/>
    <row r="268" spans="4:4" ht="18" customHeight="1">
      <c r="D268" s="8"/>
    </row>
    <row r="269" spans="4:4" ht="18" customHeight="1"/>
    <row r="270" spans="4:4" ht="18" customHeight="1">
      <c r="D270" s="8"/>
    </row>
    <row r="271" spans="4:4" ht="18" customHeight="1"/>
    <row r="272" spans="4:4" ht="18" customHeight="1">
      <c r="D272" s="8"/>
    </row>
    <row r="273" spans="4:14" ht="18" customHeight="1"/>
    <row r="274" spans="4:14" ht="18" customHeight="1">
      <c r="D274" s="8"/>
    </row>
    <row r="275" spans="4:14" ht="18" customHeight="1">
      <c r="F275" s="25"/>
      <c r="G275" s="25"/>
      <c r="H275" s="25"/>
      <c r="I275" s="25"/>
      <c r="J275" s="25"/>
      <c r="K275" s="25"/>
      <c r="L275" s="25"/>
      <c r="M275" s="25"/>
      <c r="N275" s="25"/>
    </row>
    <row r="276" spans="4:14" ht="18" customHeight="1"/>
    <row r="277" spans="4:14" ht="18" customHeight="1"/>
    <row r="278" spans="4:14" ht="18" customHeight="1"/>
    <row r="279" spans="4:14" ht="18" customHeight="1"/>
    <row r="280" spans="4:14" ht="18" customHeight="1"/>
    <row r="281" spans="4:14" ht="18" customHeight="1"/>
    <row r="282" spans="4:14" ht="18" customHeight="1"/>
    <row r="283" spans="4:14" ht="18" customHeight="1"/>
    <row r="284" spans="4:14" ht="18" customHeight="1"/>
    <row r="285" spans="4:14" ht="18" customHeight="1"/>
    <row r="286" spans="4:14" ht="18" customHeight="1"/>
    <row r="287" spans="4:14" ht="18" customHeight="1"/>
    <row r="288" spans="4:14" ht="18" customHeight="1"/>
    <row r="289" ht="18" customHeight="1"/>
    <row r="290" ht="18" customHeight="1"/>
    <row r="291" ht="18" customHeight="1"/>
    <row r="292" ht="18" customHeight="1"/>
    <row r="293" ht="18" customHeight="1"/>
    <row r="294" ht="18" customHeight="1"/>
    <row r="295" ht="18" customHeight="1"/>
    <row r="296" ht="18" customHeight="1"/>
  </sheetData>
  <mergeCells count="22">
    <mergeCell ref="S5:S7"/>
    <mergeCell ref="Q5:Q7"/>
    <mergeCell ref="R5:R7"/>
    <mergeCell ref="P5:P7"/>
    <mergeCell ref="N5:N6"/>
    <mergeCell ref="O5:O6"/>
    <mergeCell ref="M5:M6"/>
    <mergeCell ref="A95:B95"/>
    <mergeCell ref="D5:D6"/>
    <mergeCell ref="E5:E6"/>
    <mergeCell ref="F5:F6"/>
    <mergeCell ref="G5:G6"/>
    <mergeCell ref="H5:H6"/>
    <mergeCell ref="I5:I6"/>
    <mergeCell ref="J5:J6"/>
    <mergeCell ref="K5:K6"/>
    <mergeCell ref="L5:L6"/>
    <mergeCell ref="A2:C2"/>
    <mergeCell ref="A3:C3"/>
    <mergeCell ref="A5:A6"/>
    <mergeCell ref="B5:B6"/>
    <mergeCell ref="C5:C6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FB123"/>
  <sheetViews>
    <sheetView tabSelected="1" zoomScaleNormal="100" workbookViewId="0">
      <selection activeCell="F22" sqref="F22"/>
    </sheetView>
  </sheetViews>
  <sheetFormatPr defaultRowHeight="15" outlineLevelRow="1"/>
  <cols>
    <col min="1" max="1" width="4.140625" style="45" customWidth="1"/>
    <col min="2" max="2" width="21.7109375" style="45" customWidth="1"/>
    <col min="3" max="3" width="7.28515625" style="56" customWidth="1"/>
    <col min="4" max="5" width="4.5703125" style="45" customWidth="1"/>
    <col min="6" max="6" width="8.7109375" style="45" customWidth="1"/>
    <col min="7" max="7" width="8" style="45" customWidth="1"/>
    <col min="8" max="8" width="8.140625" style="45" customWidth="1"/>
    <col min="9" max="9" width="5.5703125" style="45" customWidth="1"/>
    <col min="10" max="10" width="6.7109375" style="45" customWidth="1"/>
    <col min="11" max="11" width="5.5703125" style="45" customWidth="1"/>
    <col min="12" max="13" width="8" style="45" customWidth="1"/>
    <col min="14" max="14" width="7.140625" style="45" customWidth="1"/>
    <col min="15" max="15" width="7.42578125" style="45" customWidth="1"/>
    <col min="16" max="16" width="6.140625" style="45" customWidth="1"/>
    <col min="17" max="17" width="7" style="50" customWidth="1"/>
    <col min="18" max="18" width="8.140625" style="45" customWidth="1"/>
    <col min="19" max="20" width="8.5703125" style="54" customWidth="1"/>
    <col min="21" max="21" width="8.42578125" style="54" customWidth="1"/>
    <col min="22" max="22" width="7.42578125" style="54" customWidth="1"/>
    <col min="23" max="23" width="7.28515625" style="54" customWidth="1"/>
    <col min="24" max="24" width="9.85546875" style="54" bestFit="1" customWidth="1"/>
    <col min="25" max="25" width="8.140625" style="57" customWidth="1"/>
    <col min="26" max="26" width="11.140625" style="45" customWidth="1"/>
    <col min="27" max="28" width="11.140625" style="45" bestFit="1" customWidth="1"/>
    <col min="29" max="238" width="9.140625" style="45"/>
    <col min="239" max="239" width="4.140625" style="45" customWidth="1"/>
    <col min="240" max="240" width="15.5703125" style="45" customWidth="1"/>
    <col min="241" max="241" width="7.28515625" style="45" customWidth="1"/>
    <col min="242" max="242" width="4.85546875" style="45" customWidth="1"/>
    <col min="243" max="243" width="4.42578125" style="45" customWidth="1"/>
    <col min="244" max="249" width="0" style="45" hidden="1" customWidth="1"/>
    <col min="250" max="250" width="9" style="45" customWidth="1"/>
    <col min="251" max="251" width="4.85546875" style="45" customWidth="1"/>
    <col min="252" max="253" width="0" style="45" hidden="1" customWidth="1"/>
    <col min="254" max="255" width="4.85546875" style="45" customWidth="1"/>
    <col min="256" max="256" width="6.140625" style="45" customWidth="1"/>
    <col min="257" max="257" width="6.42578125" style="45" customWidth="1"/>
    <col min="258" max="258" width="4.85546875" style="45" customWidth="1"/>
    <col min="259" max="259" width="7.5703125" style="45" customWidth="1"/>
    <col min="260" max="260" width="0" style="45" hidden="1" customWidth="1"/>
    <col min="261" max="261" width="7.140625" style="45" customWidth="1"/>
    <col min="262" max="262" width="0" style="45" hidden="1" customWidth="1"/>
    <col min="263" max="263" width="6.85546875" style="45" customWidth="1"/>
    <col min="264" max="264" width="9.28515625" style="45" customWidth="1"/>
    <col min="265" max="265" width="5.85546875" style="45" customWidth="1"/>
    <col min="266" max="266" width="0" style="45" hidden="1" customWidth="1"/>
    <col min="267" max="267" width="10" style="45" customWidth="1"/>
    <col min="268" max="273" width="0" style="45" hidden="1" customWidth="1"/>
    <col min="274" max="494" width="9.140625" style="45"/>
    <col min="495" max="495" width="4.140625" style="45" customWidth="1"/>
    <col min="496" max="496" width="15.5703125" style="45" customWidth="1"/>
    <col min="497" max="497" width="7.28515625" style="45" customWidth="1"/>
    <col min="498" max="498" width="4.85546875" style="45" customWidth="1"/>
    <col min="499" max="499" width="4.42578125" style="45" customWidth="1"/>
    <col min="500" max="505" width="0" style="45" hidden="1" customWidth="1"/>
    <col min="506" max="506" width="9" style="45" customWidth="1"/>
    <col min="507" max="507" width="4.85546875" style="45" customWidth="1"/>
    <col min="508" max="509" width="0" style="45" hidden="1" customWidth="1"/>
    <col min="510" max="511" width="4.85546875" style="45" customWidth="1"/>
    <col min="512" max="512" width="6.140625" style="45" customWidth="1"/>
    <col min="513" max="513" width="6.42578125" style="45" customWidth="1"/>
    <col min="514" max="514" width="4.85546875" style="45" customWidth="1"/>
    <col min="515" max="515" width="7.5703125" style="45" customWidth="1"/>
    <col min="516" max="516" width="0" style="45" hidden="1" customWidth="1"/>
    <col min="517" max="517" width="7.140625" style="45" customWidth="1"/>
    <col min="518" max="518" width="0" style="45" hidden="1" customWidth="1"/>
    <col min="519" max="519" width="6.85546875" style="45" customWidth="1"/>
    <col min="520" max="520" width="9.28515625" style="45" customWidth="1"/>
    <col min="521" max="521" width="5.85546875" style="45" customWidth="1"/>
    <col min="522" max="522" width="0" style="45" hidden="1" customWidth="1"/>
    <col min="523" max="523" width="10" style="45" customWidth="1"/>
    <col min="524" max="529" width="0" style="45" hidden="1" customWidth="1"/>
    <col min="530" max="750" width="9.140625" style="45"/>
    <col min="751" max="751" width="4.140625" style="45" customWidth="1"/>
    <col min="752" max="752" width="15.5703125" style="45" customWidth="1"/>
    <col min="753" max="753" width="7.28515625" style="45" customWidth="1"/>
    <col min="754" max="754" width="4.85546875" style="45" customWidth="1"/>
    <col min="755" max="755" width="4.42578125" style="45" customWidth="1"/>
    <col min="756" max="761" width="0" style="45" hidden="1" customWidth="1"/>
    <col min="762" max="762" width="9" style="45" customWidth="1"/>
    <col min="763" max="763" width="4.85546875" style="45" customWidth="1"/>
    <col min="764" max="765" width="0" style="45" hidden="1" customWidth="1"/>
    <col min="766" max="767" width="4.85546875" style="45" customWidth="1"/>
    <col min="768" max="768" width="6.140625" style="45" customWidth="1"/>
    <col min="769" max="769" width="6.42578125" style="45" customWidth="1"/>
    <col min="770" max="770" width="4.85546875" style="45" customWidth="1"/>
    <col min="771" max="771" width="7.5703125" style="45" customWidth="1"/>
    <col min="772" max="772" width="0" style="45" hidden="1" customWidth="1"/>
    <col min="773" max="773" width="7.140625" style="45" customWidth="1"/>
    <col min="774" max="774" width="0" style="45" hidden="1" customWidth="1"/>
    <col min="775" max="775" width="6.85546875" style="45" customWidth="1"/>
    <col min="776" max="776" width="9.28515625" style="45" customWidth="1"/>
    <col min="777" max="777" width="5.85546875" style="45" customWidth="1"/>
    <col min="778" max="778" width="0" style="45" hidden="1" customWidth="1"/>
    <col min="779" max="779" width="10" style="45" customWidth="1"/>
    <col min="780" max="785" width="0" style="45" hidden="1" customWidth="1"/>
    <col min="786" max="1006" width="9.140625" style="45"/>
    <col min="1007" max="1007" width="4.140625" style="45" customWidth="1"/>
    <col min="1008" max="1008" width="15.5703125" style="45" customWidth="1"/>
    <col min="1009" max="1009" width="7.28515625" style="45" customWidth="1"/>
    <col min="1010" max="1010" width="4.85546875" style="45" customWidth="1"/>
    <col min="1011" max="1011" width="4.42578125" style="45" customWidth="1"/>
    <col min="1012" max="1017" width="0" style="45" hidden="1" customWidth="1"/>
    <col min="1018" max="1018" width="9" style="45" customWidth="1"/>
    <col min="1019" max="1019" width="4.85546875" style="45" customWidth="1"/>
    <col min="1020" max="1021" width="0" style="45" hidden="1" customWidth="1"/>
    <col min="1022" max="1023" width="4.85546875" style="45" customWidth="1"/>
    <col min="1024" max="1024" width="6.140625" style="45" customWidth="1"/>
    <col min="1025" max="1025" width="6.42578125" style="45" customWidth="1"/>
    <col min="1026" max="1026" width="4.85546875" style="45" customWidth="1"/>
    <col min="1027" max="1027" width="7.5703125" style="45" customWidth="1"/>
    <col min="1028" max="1028" width="0" style="45" hidden="1" customWidth="1"/>
    <col min="1029" max="1029" width="7.140625" style="45" customWidth="1"/>
    <col min="1030" max="1030" width="0" style="45" hidden="1" customWidth="1"/>
    <col min="1031" max="1031" width="6.85546875" style="45" customWidth="1"/>
    <col min="1032" max="1032" width="9.28515625" style="45" customWidth="1"/>
    <col min="1033" max="1033" width="5.85546875" style="45" customWidth="1"/>
    <col min="1034" max="1034" width="0" style="45" hidden="1" customWidth="1"/>
    <col min="1035" max="1035" width="10" style="45" customWidth="1"/>
    <col min="1036" max="1041" width="0" style="45" hidden="1" customWidth="1"/>
    <col min="1042" max="1262" width="9.140625" style="45"/>
    <col min="1263" max="1263" width="4.140625" style="45" customWidth="1"/>
    <col min="1264" max="1264" width="15.5703125" style="45" customWidth="1"/>
    <col min="1265" max="1265" width="7.28515625" style="45" customWidth="1"/>
    <col min="1266" max="1266" width="4.85546875" style="45" customWidth="1"/>
    <col min="1267" max="1267" width="4.42578125" style="45" customWidth="1"/>
    <col min="1268" max="1273" width="0" style="45" hidden="1" customWidth="1"/>
    <col min="1274" max="1274" width="9" style="45" customWidth="1"/>
    <col min="1275" max="1275" width="4.85546875" style="45" customWidth="1"/>
    <col min="1276" max="1277" width="0" style="45" hidden="1" customWidth="1"/>
    <col min="1278" max="1279" width="4.85546875" style="45" customWidth="1"/>
    <col min="1280" max="1280" width="6.140625" style="45" customWidth="1"/>
    <col min="1281" max="1281" width="6.42578125" style="45" customWidth="1"/>
    <col min="1282" max="1282" width="4.85546875" style="45" customWidth="1"/>
    <col min="1283" max="1283" width="7.5703125" style="45" customWidth="1"/>
    <col min="1284" max="1284" width="0" style="45" hidden="1" customWidth="1"/>
    <col min="1285" max="1285" width="7.140625" style="45" customWidth="1"/>
    <col min="1286" max="1286" width="0" style="45" hidden="1" customWidth="1"/>
    <col min="1287" max="1287" width="6.85546875" style="45" customWidth="1"/>
    <col min="1288" max="1288" width="9.28515625" style="45" customWidth="1"/>
    <col min="1289" max="1289" width="5.85546875" style="45" customWidth="1"/>
    <col min="1290" max="1290" width="0" style="45" hidden="1" customWidth="1"/>
    <col min="1291" max="1291" width="10" style="45" customWidth="1"/>
    <col min="1292" max="1297" width="0" style="45" hidden="1" customWidth="1"/>
    <col min="1298" max="1518" width="9.140625" style="45"/>
    <col min="1519" max="1519" width="4.140625" style="45" customWidth="1"/>
    <col min="1520" max="1520" width="15.5703125" style="45" customWidth="1"/>
    <col min="1521" max="1521" width="7.28515625" style="45" customWidth="1"/>
    <col min="1522" max="1522" width="4.85546875" style="45" customWidth="1"/>
    <col min="1523" max="1523" width="4.42578125" style="45" customWidth="1"/>
    <col min="1524" max="1529" width="0" style="45" hidden="1" customWidth="1"/>
    <col min="1530" max="1530" width="9" style="45" customWidth="1"/>
    <col min="1531" max="1531" width="4.85546875" style="45" customWidth="1"/>
    <col min="1532" max="1533" width="0" style="45" hidden="1" customWidth="1"/>
    <col min="1534" max="1535" width="4.85546875" style="45" customWidth="1"/>
    <col min="1536" max="1536" width="6.140625" style="45" customWidth="1"/>
    <col min="1537" max="1537" width="6.42578125" style="45" customWidth="1"/>
    <col min="1538" max="1538" width="4.85546875" style="45" customWidth="1"/>
    <col min="1539" max="1539" width="7.5703125" style="45" customWidth="1"/>
    <col min="1540" max="1540" width="0" style="45" hidden="1" customWidth="1"/>
    <col min="1541" max="1541" width="7.140625" style="45" customWidth="1"/>
    <col min="1542" max="1542" width="0" style="45" hidden="1" customWidth="1"/>
    <col min="1543" max="1543" width="6.85546875" style="45" customWidth="1"/>
    <col min="1544" max="1544" width="9.28515625" style="45" customWidth="1"/>
    <col min="1545" max="1545" width="5.85546875" style="45" customWidth="1"/>
    <col min="1546" max="1546" width="0" style="45" hidden="1" customWidth="1"/>
    <col min="1547" max="1547" width="10" style="45" customWidth="1"/>
    <col min="1548" max="1553" width="0" style="45" hidden="1" customWidth="1"/>
    <col min="1554" max="1774" width="9.140625" style="45"/>
    <col min="1775" max="1775" width="4.140625" style="45" customWidth="1"/>
    <col min="1776" max="1776" width="15.5703125" style="45" customWidth="1"/>
    <col min="1777" max="1777" width="7.28515625" style="45" customWidth="1"/>
    <col min="1778" max="1778" width="4.85546875" style="45" customWidth="1"/>
    <col min="1779" max="1779" width="4.42578125" style="45" customWidth="1"/>
    <col min="1780" max="1785" width="0" style="45" hidden="1" customWidth="1"/>
    <col min="1786" max="1786" width="9" style="45" customWidth="1"/>
    <col min="1787" max="1787" width="4.85546875" style="45" customWidth="1"/>
    <col min="1788" max="1789" width="0" style="45" hidden="1" customWidth="1"/>
    <col min="1790" max="1791" width="4.85546875" style="45" customWidth="1"/>
    <col min="1792" max="1792" width="6.140625" style="45" customWidth="1"/>
    <col min="1793" max="1793" width="6.42578125" style="45" customWidth="1"/>
    <col min="1794" max="1794" width="4.85546875" style="45" customWidth="1"/>
    <col min="1795" max="1795" width="7.5703125" style="45" customWidth="1"/>
    <col min="1796" max="1796" width="0" style="45" hidden="1" customWidth="1"/>
    <col min="1797" max="1797" width="7.140625" style="45" customWidth="1"/>
    <col min="1798" max="1798" width="0" style="45" hidden="1" customWidth="1"/>
    <col min="1799" max="1799" width="6.85546875" style="45" customWidth="1"/>
    <col min="1800" max="1800" width="9.28515625" style="45" customWidth="1"/>
    <col min="1801" max="1801" width="5.85546875" style="45" customWidth="1"/>
    <col min="1802" max="1802" width="0" style="45" hidden="1" customWidth="1"/>
    <col min="1803" max="1803" width="10" style="45" customWidth="1"/>
    <col min="1804" max="1809" width="0" style="45" hidden="1" customWidth="1"/>
    <col min="1810" max="2030" width="9.140625" style="45"/>
    <col min="2031" max="2031" width="4.140625" style="45" customWidth="1"/>
    <col min="2032" max="2032" width="15.5703125" style="45" customWidth="1"/>
    <col min="2033" max="2033" width="7.28515625" style="45" customWidth="1"/>
    <col min="2034" max="2034" width="4.85546875" style="45" customWidth="1"/>
    <col min="2035" max="2035" width="4.42578125" style="45" customWidth="1"/>
    <col min="2036" max="2041" width="0" style="45" hidden="1" customWidth="1"/>
    <col min="2042" max="2042" width="9" style="45" customWidth="1"/>
    <col min="2043" max="2043" width="4.85546875" style="45" customWidth="1"/>
    <col min="2044" max="2045" width="0" style="45" hidden="1" customWidth="1"/>
    <col min="2046" max="2047" width="4.85546875" style="45" customWidth="1"/>
    <col min="2048" max="2048" width="6.140625" style="45" customWidth="1"/>
    <col min="2049" max="2049" width="6.42578125" style="45" customWidth="1"/>
    <col min="2050" max="2050" width="4.85546875" style="45" customWidth="1"/>
    <col min="2051" max="2051" width="7.5703125" style="45" customWidth="1"/>
    <col min="2052" max="2052" width="0" style="45" hidden="1" customWidth="1"/>
    <col min="2053" max="2053" width="7.140625" style="45" customWidth="1"/>
    <col min="2054" max="2054" width="0" style="45" hidden="1" customWidth="1"/>
    <col min="2055" max="2055" width="6.85546875" style="45" customWidth="1"/>
    <col min="2056" max="2056" width="9.28515625" style="45" customWidth="1"/>
    <col min="2057" max="2057" width="5.85546875" style="45" customWidth="1"/>
    <col min="2058" max="2058" width="0" style="45" hidden="1" customWidth="1"/>
    <col min="2059" max="2059" width="10" style="45" customWidth="1"/>
    <col min="2060" max="2065" width="0" style="45" hidden="1" customWidth="1"/>
    <col min="2066" max="2286" width="9.140625" style="45"/>
    <col min="2287" max="2287" width="4.140625" style="45" customWidth="1"/>
    <col min="2288" max="2288" width="15.5703125" style="45" customWidth="1"/>
    <col min="2289" max="2289" width="7.28515625" style="45" customWidth="1"/>
    <col min="2290" max="2290" width="4.85546875" style="45" customWidth="1"/>
    <col min="2291" max="2291" width="4.42578125" style="45" customWidth="1"/>
    <col min="2292" max="2297" width="0" style="45" hidden="1" customWidth="1"/>
    <col min="2298" max="2298" width="9" style="45" customWidth="1"/>
    <col min="2299" max="2299" width="4.85546875" style="45" customWidth="1"/>
    <col min="2300" max="2301" width="0" style="45" hidden="1" customWidth="1"/>
    <col min="2302" max="2303" width="4.85546875" style="45" customWidth="1"/>
    <col min="2304" max="2304" width="6.140625" style="45" customWidth="1"/>
    <col min="2305" max="2305" width="6.42578125" style="45" customWidth="1"/>
    <col min="2306" max="2306" width="4.85546875" style="45" customWidth="1"/>
    <col min="2307" max="2307" width="7.5703125" style="45" customWidth="1"/>
    <col min="2308" max="2308" width="0" style="45" hidden="1" customWidth="1"/>
    <col min="2309" max="2309" width="7.140625" style="45" customWidth="1"/>
    <col min="2310" max="2310" width="0" style="45" hidden="1" customWidth="1"/>
    <col min="2311" max="2311" width="6.85546875" style="45" customWidth="1"/>
    <col min="2312" max="2312" width="9.28515625" style="45" customWidth="1"/>
    <col min="2313" max="2313" width="5.85546875" style="45" customWidth="1"/>
    <col min="2314" max="2314" width="0" style="45" hidden="1" customWidth="1"/>
    <col min="2315" max="2315" width="10" style="45" customWidth="1"/>
    <col min="2316" max="2321" width="0" style="45" hidden="1" customWidth="1"/>
    <col min="2322" max="2542" width="9.140625" style="45"/>
    <col min="2543" max="2543" width="4.140625" style="45" customWidth="1"/>
    <col min="2544" max="2544" width="15.5703125" style="45" customWidth="1"/>
    <col min="2545" max="2545" width="7.28515625" style="45" customWidth="1"/>
    <col min="2546" max="2546" width="4.85546875" style="45" customWidth="1"/>
    <col min="2547" max="2547" width="4.42578125" style="45" customWidth="1"/>
    <col min="2548" max="2553" width="0" style="45" hidden="1" customWidth="1"/>
    <col min="2554" max="2554" width="9" style="45" customWidth="1"/>
    <col min="2555" max="2555" width="4.85546875" style="45" customWidth="1"/>
    <col min="2556" max="2557" width="0" style="45" hidden="1" customWidth="1"/>
    <col min="2558" max="2559" width="4.85546875" style="45" customWidth="1"/>
    <col min="2560" max="2560" width="6.140625" style="45" customWidth="1"/>
    <col min="2561" max="2561" width="6.42578125" style="45" customWidth="1"/>
    <col min="2562" max="2562" width="4.85546875" style="45" customWidth="1"/>
    <col min="2563" max="2563" width="7.5703125" style="45" customWidth="1"/>
    <col min="2564" max="2564" width="0" style="45" hidden="1" customWidth="1"/>
    <col min="2565" max="2565" width="7.140625" style="45" customWidth="1"/>
    <col min="2566" max="2566" width="0" style="45" hidden="1" customWidth="1"/>
    <col min="2567" max="2567" width="6.85546875" style="45" customWidth="1"/>
    <col min="2568" max="2568" width="9.28515625" style="45" customWidth="1"/>
    <col min="2569" max="2569" width="5.85546875" style="45" customWidth="1"/>
    <col min="2570" max="2570" width="0" style="45" hidden="1" customWidth="1"/>
    <col min="2571" max="2571" width="10" style="45" customWidth="1"/>
    <col min="2572" max="2577" width="0" style="45" hidden="1" customWidth="1"/>
    <col min="2578" max="2798" width="9.140625" style="45"/>
    <col min="2799" max="2799" width="4.140625" style="45" customWidth="1"/>
    <col min="2800" max="2800" width="15.5703125" style="45" customWidth="1"/>
    <col min="2801" max="2801" width="7.28515625" style="45" customWidth="1"/>
    <col min="2802" max="2802" width="4.85546875" style="45" customWidth="1"/>
    <col min="2803" max="2803" width="4.42578125" style="45" customWidth="1"/>
    <col min="2804" max="2809" width="0" style="45" hidden="1" customWidth="1"/>
    <col min="2810" max="2810" width="9" style="45" customWidth="1"/>
    <col min="2811" max="2811" width="4.85546875" style="45" customWidth="1"/>
    <col min="2812" max="2813" width="0" style="45" hidden="1" customWidth="1"/>
    <col min="2814" max="2815" width="4.85546875" style="45" customWidth="1"/>
    <col min="2816" max="2816" width="6.140625" style="45" customWidth="1"/>
    <col min="2817" max="2817" width="6.42578125" style="45" customWidth="1"/>
    <col min="2818" max="2818" width="4.85546875" style="45" customWidth="1"/>
    <col min="2819" max="2819" width="7.5703125" style="45" customWidth="1"/>
    <col min="2820" max="2820" width="0" style="45" hidden="1" customWidth="1"/>
    <col min="2821" max="2821" width="7.140625" style="45" customWidth="1"/>
    <col min="2822" max="2822" width="0" style="45" hidden="1" customWidth="1"/>
    <col min="2823" max="2823" width="6.85546875" style="45" customWidth="1"/>
    <col min="2824" max="2824" width="9.28515625" style="45" customWidth="1"/>
    <col min="2825" max="2825" width="5.85546875" style="45" customWidth="1"/>
    <col min="2826" max="2826" width="0" style="45" hidden="1" customWidth="1"/>
    <col min="2827" max="2827" width="10" style="45" customWidth="1"/>
    <col min="2828" max="2833" width="0" style="45" hidden="1" customWidth="1"/>
    <col min="2834" max="3054" width="9.140625" style="45"/>
    <col min="3055" max="3055" width="4.140625" style="45" customWidth="1"/>
    <col min="3056" max="3056" width="15.5703125" style="45" customWidth="1"/>
    <col min="3057" max="3057" width="7.28515625" style="45" customWidth="1"/>
    <col min="3058" max="3058" width="4.85546875" style="45" customWidth="1"/>
    <col min="3059" max="3059" width="4.42578125" style="45" customWidth="1"/>
    <col min="3060" max="3065" width="0" style="45" hidden="1" customWidth="1"/>
    <col min="3066" max="3066" width="9" style="45" customWidth="1"/>
    <col min="3067" max="3067" width="4.85546875" style="45" customWidth="1"/>
    <col min="3068" max="3069" width="0" style="45" hidden="1" customWidth="1"/>
    <col min="3070" max="3071" width="4.85546875" style="45" customWidth="1"/>
    <col min="3072" max="3072" width="6.140625" style="45" customWidth="1"/>
    <col min="3073" max="3073" width="6.42578125" style="45" customWidth="1"/>
    <col min="3074" max="3074" width="4.85546875" style="45" customWidth="1"/>
    <col min="3075" max="3075" width="7.5703125" style="45" customWidth="1"/>
    <col min="3076" max="3076" width="0" style="45" hidden="1" customWidth="1"/>
    <col min="3077" max="3077" width="7.140625" style="45" customWidth="1"/>
    <col min="3078" max="3078" width="0" style="45" hidden="1" customWidth="1"/>
    <col min="3079" max="3079" width="6.85546875" style="45" customWidth="1"/>
    <col min="3080" max="3080" width="9.28515625" style="45" customWidth="1"/>
    <col min="3081" max="3081" width="5.85546875" style="45" customWidth="1"/>
    <col min="3082" max="3082" width="0" style="45" hidden="1" customWidth="1"/>
    <col min="3083" max="3083" width="10" style="45" customWidth="1"/>
    <col min="3084" max="3089" width="0" style="45" hidden="1" customWidth="1"/>
    <col min="3090" max="3310" width="9.140625" style="45"/>
    <col min="3311" max="3311" width="4.140625" style="45" customWidth="1"/>
    <col min="3312" max="3312" width="15.5703125" style="45" customWidth="1"/>
    <col min="3313" max="3313" width="7.28515625" style="45" customWidth="1"/>
    <col min="3314" max="3314" width="4.85546875" style="45" customWidth="1"/>
    <col min="3315" max="3315" width="4.42578125" style="45" customWidth="1"/>
    <col min="3316" max="3321" width="0" style="45" hidden="1" customWidth="1"/>
    <col min="3322" max="3322" width="9" style="45" customWidth="1"/>
    <col min="3323" max="3323" width="4.85546875" style="45" customWidth="1"/>
    <col min="3324" max="3325" width="0" style="45" hidden="1" customWidth="1"/>
    <col min="3326" max="3327" width="4.85546875" style="45" customWidth="1"/>
    <col min="3328" max="3328" width="6.140625" style="45" customWidth="1"/>
    <col min="3329" max="3329" width="6.42578125" style="45" customWidth="1"/>
    <col min="3330" max="3330" width="4.85546875" style="45" customWidth="1"/>
    <col min="3331" max="3331" width="7.5703125" style="45" customWidth="1"/>
    <col min="3332" max="3332" width="0" style="45" hidden="1" customWidth="1"/>
    <col min="3333" max="3333" width="7.140625" style="45" customWidth="1"/>
    <col min="3334" max="3334" width="0" style="45" hidden="1" customWidth="1"/>
    <col min="3335" max="3335" width="6.85546875" style="45" customWidth="1"/>
    <col min="3336" max="3336" width="9.28515625" style="45" customWidth="1"/>
    <col min="3337" max="3337" width="5.85546875" style="45" customWidth="1"/>
    <col min="3338" max="3338" width="0" style="45" hidden="1" customWidth="1"/>
    <col min="3339" max="3339" width="10" style="45" customWidth="1"/>
    <col min="3340" max="3345" width="0" style="45" hidden="1" customWidth="1"/>
    <col min="3346" max="3566" width="9.140625" style="45"/>
    <col min="3567" max="3567" width="4.140625" style="45" customWidth="1"/>
    <col min="3568" max="3568" width="15.5703125" style="45" customWidth="1"/>
    <col min="3569" max="3569" width="7.28515625" style="45" customWidth="1"/>
    <col min="3570" max="3570" width="4.85546875" style="45" customWidth="1"/>
    <col min="3571" max="3571" width="4.42578125" style="45" customWidth="1"/>
    <col min="3572" max="3577" width="0" style="45" hidden="1" customWidth="1"/>
    <col min="3578" max="3578" width="9" style="45" customWidth="1"/>
    <col min="3579" max="3579" width="4.85546875" style="45" customWidth="1"/>
    <col min="3580" max="3581" width="0" style="45" hidden="1" customWidth="1"/>
    <col min="3582" max="3583" width="4.85546875" style="45" customWidth="1"/>
    <col min="3584" max="3584" width="6.140625" style="45" customWidth="1"/>
    <col min="3585" max="3585" width="6.42578125" style="45" customWidth="1"/>
    <col min="3586" max="3586" width="4.85546875" style="45" customWidth="1"/>
    <col min="3587" max="3587" width="7.5703125" style="45" customWidth="1"/>
    <col min="3588" max="3588" width="0" style="45" hidden="1" customWidth="1"/>
    <col min="3589" max="3589" width="7.140625" style="45" customWidth="1"/>
    <col min="3590" max="3590" width="0" style="45" hidden="1" customWidth="1"/>
    <col min="3591" max="3591" width="6.85546875" style="45" customWidth="1"/>
    <col min="3592" max="3592" width="9.28515625" style="45" customWidth="1"/>
    <col min="3593" max="3593" width="5.85546875" style="45" customWidth="1"/>
    <col min="3594" max="3594" width="0" style="45" hidden="1" customWidth="1"/>
    <col min="3595" max="3595" width="10" style="45" customWidth="1"/>
    <col min="3596" max="3601" width="0" style="45" hidden="1" customWidth="1"/>
    <col min="3602" max="3822" width="9.140625" style="45"/>
    <col min="3823" max="3823" width="4.140625" style="45" customWidth="1"/>
    <col min="3824" max="3824" width="15.5703125" style="45" customWidth="1"/>
    <col min="3825" max="3825" width="7.28515625" style="45" customWidth="1"/>
    <col min="3826" max="3826" width="4.85546875" style="45" customWidth="1"/>
    <col min="3827" max="3827" width="4.42578125" style="45" customWidth="1"/>
    <col min="3828" max="3833" width="0" style="45" hidden="1" customWidth="1"/>
    <col min="3834" max="3834" width="9" style="45" customWidth="1"/>
    <col min="3835" max="3835" width="4.85546875" style="45" customWidth="1"/>
    <col min="3836" max="3837" width="0" style="45" hidden="1" customWidth="1"/>
    <col min="3838" max="3839" width="4.85546875" style="45" customWidth="1"/>
    <col min="3840" max="3840" width="6.140625" style="45" customWidth="1"/>
    <col min="3841" max="3841" width="6.42578125" style="45" customWidth="1"/>
    <col min="3842" max="3842" width="4.85546875" style="45" customWidth="1"/>
    <col min="3843" max="3843" width="7.5703125" style="45" customWidth="1"/>
    <col min="3844" max="3844" width="0" style="45" hidden="1" customWidth="1"/>
    <col min="3845" max="3845" width="7.140625" style="45" customWidth="1"/>
    <col min="3846" max="3846" width="0" style="45" hidden="1" customWidth="1"/>
    <col min="3847" max="3847" width="6.85546875" style="45" customWidth="1"/>
    <col min="3848" max="3848" width="9.28515625" style="45" customWidth="1"/>
    <col min="3849" max="3849" width="5.85546875" style="45" customWidth="1"/>
    <col min="3850" max="3850" width="0" style="45" hidden="1" customWidth="1"/>
    <col min="3851" max="3851" width="10" style="45" customWidth="1"/>
    <col min="3852" max="3857" width="0" style="45" hidden="1" customWidth="1"/>
    <col min="3858" max="4078" width="9.140625" style="45"/>
    <col min="4079" max="4079" width="4.140625" style="45" customWidth="1"/>
    <col min="4080" max="4080" width="15.5703125" style="45" customWidth="1"/>
    <col min="4081" max="4081" width="7.28515625" style="45" customWidth="1"/>
    <col min="4082" max="4082" width="4.85546875" style="45" customWidth="1"/>
    <col min="4083" max="4083" width="4.42578125" style="45" customWidth="1"/>
    <col min="4084" max="4089" width="0" style="45" hidden="1" customWidth="1"/>
    <col min="4090" max="4090" width="9" style="45" customWidth="1"/>
    <col min="4091" max="4091" width="4.85546875" style="45" customWidth="1"/>
    <col min="4092" max="4093" width="0" style="45" hidden="1" customWidth="1"/>
    <col min="4094" max="4095" width="4.85546875" style="45" customWidth="1"/>
    <col min="4096" max="4096" width="6.140625" style="45" customWidth="1"/>
    <col min="4097" max="4097" width="6.42578125" style="45" customWidth="1"/>
    <col min="4098" max="4098" width="4.85546875" style="45" customWidth="1"/>
    <col min="4099" max="4099" width="7.5703125" style="45" customWidth="1"/>
    <col min="4100" max="4100" width="0" style="45" hidden="1" customWidth="1"/>
    <col min="4101" max="4101" width="7.140625" style="45" customWidth="1"/>
    <col min="4102" max="4102" width="0" style="45" hidden="1" customWidth="1"/>
    <col min="4103" max="4103" width="6.85546875" style="45" customWidth="1"/>
    <col min="4104" max="4104" width="9.28515625" style="45" customWidth="1"/>
    <col min="4105" max="4105" width="5.85546875" style="45" customWidth="1"/>
    <col min="4106" max="4106" width="0" style="45" hidden="1" customWidth="1"/>
    <col min="4107" max="4107" width="10" style="45" customWidth="1"/>
    <col min="4108" max="4113" width="0" style="45" hidden="1" customWidth="1"/>
    <col min="4114" max="4334" width="9.140625" style="45"/>
    <col min="4335" max="4335" width="4.140625" style="45" customWidth="1"/>
    <col min="4336" max="4336" width="15.5703125" style="45" customWidth="1"/>
    <col min="4337" max="4337" width="7.28515625" style="45" customWidth="1"/>
    <col min="4338" max="4338" width="4.85546875" style="45" customWidth="1"/>
    <col min="4339" max="4339" width="4.42578125" style="45" customWidth="1"/>
    <col min="4340" max="4345" width="0" style="45" hidden="1" customWidth="1"/>
    <col min="4346" max="4346" width="9" style="45" customWidth="1"/>
    <col min="4347" max="4347" width="4.85546875" style="45" customWidth="1"/>
    <col min="4348" max="4349" width="0" style="45" hidden="1" customWidth="1"/>
    <col min="4350" max="4351" width="4.85546875" style="45" customWidth="1"/>
    <col min="4352" max="4352" width="6.140625" style="45" customWidth="1"/>
    <col min="4353" max="4353" width="6.42578125" style="45" customWidth="1"/>
    <col min="4354" max="4354" width="4.85546875" style="45" customWidth="1"/>
    <col min="4355" max="4355" width="7.5703125" style="45" customWidth="1"/>
    <col min="4356" max="4356" width="0" style="45" hidden="1" customWidth="1"/>
    <col min="4357" max="4357" width="7.140625" style="45" customWidth="1"/>
    <col min="4358" max="4358" width="0" style="45" hidden="1" customWidth="1"/>
    <col min="4359" max="4359" width="6.85546875" style="45" customWidth="1"/>
    <col min="4360" max="4360" width="9.28515625" style="45" customWidth="1"/>
    <col min="4361" max="4361" width="5.85546875" style="45" customWidth="1"/>
    <col min="4362" max="4362" width="0" style="45" hidden="1" customWidth="1"/>
    <col min="4363" max="4363" width="10" style="45" customWidth="1"/>
    <col min="4364" max="4369" width="0" style="45" hidden="1" customWidth="1"/>
    <col min="4370" max="4590" width="9.140625" style="45"/>
    <col min="4591" max="4591" width="4.140625" style="45" customWidth="1"/>
    <col min="4592" max="4592" width="15.5703125" style="45" customWidth="1"/>
    <col min="4593" max="4593" width="7.28515625" style="45" customWidth="1"/>
    <col min="4594" max="4594" width="4.85546875" style="45" customWidth="1"/>
    <col min="4595" max="4595" width="4.42578125" style="45" customWidth="1"/>
    <col min="4596" max="4601" width="0" style="45" hidden="1" customWidth="1"/>
    <col min="4602" max="4602" width="9" style="45" customWidth="1"/>
    <col min="4603" max="4603" width="4.85546875" style="45" customWidth="1"/>
    <col min="4604" max="4605" width="0" style="45" hidden="1" customWidth="1"/>
    <col min="4606" max="4607" width="4.85546875" style="45" customWidth="1"/>
    <col min="4608" max="4608" width="6.140625" style="45" customWidth="1"/>
    <col min="4609" max="4609" width="6.42578125" style="45" customWidth="1"/>
    <col min="4610" max="4610" width="4.85546875" style="45" customWidth="1"/>
    <col min="4611" max="4611" width="7.5703125" style="45" customWidth="1"/>
    <col min="4612" max="4612" width="0" style="45" hidden="1" customWidth="1"/>
    <col min="4613" max="4613" width="7.140625" style="45" customWidth="1"/>
    <col min="4614" max="4614" width="0" style="45" hidden="1" customWidth="1"/>
    <col min="4615" max="4615" width="6.85546875" style="45" customWidth="1"/>
    <col min="4616" max="4616" width="9.28515625" style="45" customWidth="1"/>
    <col min="4617" max="4617" width="5.85546875" style="45" customWidth="1"/>
    <col min="4618" max="4618" width="0" style="45" hidden="1" customWidth="1"/>
    <col min="4619" max="4619" width="10" style="45" customWidth="1"/>
    <col min="4620" max="4625" width="0" style="45" hidden="1" customWidth="1"/>
    <col min="4626" max="4846" width="9.140625" style="45"/>
    <col min="4847" max="4847" width="4.140625" style="45" customWidth="1"/>
    <col min="4848" max="4848" width="15.5703125" style="45" customWidth="1"/>
    <col min="4849" max="4849" width="7.28515625" style="45" customWidth="1"/>
    <col min="4850" max="4850" width="4.85546875" style="45" customWidth="1"/>
    <col min="4851" max="4851" width="4.42578125" style="45" customWidth="1"/>
    <col min="4852" max="4857" width="0" style="45" hidden="1" customWidth="1"/>
    <col min="4858" max="4858" width="9" style="45" customWidth="1"/>
    <col min="4859" max="4859" width="4.85546875" style="45" customWidth="1"/>
    <col min="4860" max="4861" width="0" style="45" hidden="1" customWidth="1"/>
    <col min="4862" max="4863" width="4.85546875" style="45" customWidth="1"/>
    <col min="4864" max="4864" width="6.140625" style="45" customWidth="1"/>
    <col min="4865" max="4865" width="6.42578125" style="45" customWidth="1"/>
    <col min="4866" max="4866" width="4.85546875" style="45" customWidth="1"/>
    <col min="4867" max="4867" width="7.5703125" style="45" customWidth="1"/>
    <col min="4868" max="4868" width="0" style="45" hidden="1" customWidth="1"/>
    <col min="4869" max="4869" width="7.140625" style="45" customWidth="1"/>
    <col min="4870" max="4870" width="0" style="45" hidden="1" customWidth="1"/>
    <col min="4871" max="4871" width="6.85546875" style="45" customWidth="1"/>
    <col min="4872" max="4872" width="9.28515625" style="45" customWidth="1"/>
    <col min="4873" max="4873" width="5.85546875" style="45" customWidth="1"/>
    <col min="4874" max="4874" width="0" style="45" hidden="1" customWidth="1"/>
    <col min="4875" max="4875" width="10" style="45" customWidth="1"/>
    <col min="4876" max="4881" width="0" style="45" hidden="1" customWidth="1"/>
    <col min="4882" max="5102" width="9.140625" style="45"/>
    <col min="5103" max="5103" width="4.140625" style="45" customWidth="1"/>
    <col min="5104" max="5104" width="15.5703125" style="45" customWidth="1"/>
    <col min="5105" max="5105" width="7.28515625" style="45" customWidth="1"/>
    <col min="5106" max="5106" width="4.85546875" style="45" customWidth="1"/>
    <col min="5107" max="5107" width="4.42578125" style="45" customWidth="1"/>
    <col min="5108" max="5113" width="0" style="45" hidden="1" customWidth="1"/>
    <col min="5114" max="5114" width="9" style="45" customWidth="1"/>
    <col min="5115" max="5115" width="4.85546875" style="45" customWidth="1"/>
    <col min="5116" max="5117" width="0" style="45" hidden="1" customWidth="1"/>
    <col min="5118" max="5119" width="4.85546875" style="45" customWidth="1"/>
    <col min="5120" max="5120" width="6.140625" style="45" customWidth="1"/>
    <col min="5121" max="5121" width="6.42578125" style="45" customWidth="1"/>
    <col min="5122" max="5122" width="4.85546875" style="45" customWidth="1"/>
    <col min="5123" max="5123" width="7.5703125" style="45" customWidth="1"/>
    <col min="5124" max="5124" width="0" style="45" hidden="1" customWidth="1"/>
    <col min="5125" max="5125" width="7.140625" style="45" customWidth="1"/>
    <col min="5126" max="5126" width="0" style="45" hidden="1" customWidth="1"/>
    <col min="5127" max="5127" width="6.85546875" style="45" customWidth="1"/>
    <col min="5128" max="5128" width="9.28515625" style="45" customWidth="1"/>
    <col min="5129" max="5129" width="5.85546875" style="45" customWidth="1"/>
    <col min="5130" max="5130" width="0" style="45" hidden="1" customWidth="1"/>
    <col min="5131" max="5131" width="10" style="45" customWidth="1"/>
    <col min="5132" max="5137" width="0" style="45" hidden="1" customWidth="1"/>
    <col min="5138" max="5358" width="9.140625" style="45"/>
    <col min="5359" max="5359" width="4.140625" style="45" customWidth="1"/>
    <col min="5360" max="5360" width="15.5703125" style="45" customWidth="1"/>
    <col min="5361" max="5361" width="7.28515625" style="45" customWidth="1"/>
    <col min="5362" max="5362" width="4.85546875" style="45" customWidth="1"/>
    <col min="5363" max="5363" width="4.42578125" style="45" customWidth="1"/>
    <col min="5364" max="5369" width="0" style="45" hidden="1" customWidth="1"/>
    <col min="5370" max="5370" width="9" style="45" customWidth="1"/>
    <col min="5371" max="5371" width="4.85546875" style="45" customWidth="1"/>
    <col min="5372" max="5373" width="0" style="45" hidden="1" customWidth="1"/>
    <col min="5374" max="5375" width="4.85546875" style="45" customWidth="1"/>
    <col min="5376" max="5376" width="6.140625" style="45" customWidth="1"/>
    <col min="5377" max="5377" width="6.42578125" style="45" customWidth="1"/>
    <col min="5378" max="5378" width="4.85546875" style="45" customWidth="1"/>
    <col min="5379" max="5379" width="7.5703125" style="45" customWidth="1"/>
    <col min="5380" max="5380" width="0" style="45" hidden="1" customWidth="1"/>
    <col min="5381" max="5381" width="7.140625" style="45" customWidth="1"/>
    <col min="5382" max="5382" width="0" style="45" hidden="1" customWidth="1"/>
    <col min="5383" max="5383" width="6.85546875" style="45" customWidth="1"/>
    <col min="5384" max="5384" width="9.28515625" style="45" customWidth="1"/>
    <col min="5385" max="5385" width="5.85546875" style="45" customWidth="1"/>
    <col min="5386" max="5386" width="0" style="45" hidden="1" customWidth="1"/>
    <col min="5387" max="5387" width="10" style="45" customWidth="1"/>
    <col min="5388" max="5393" width="0" style="45" hidden="1" customWidth="1"/>
    <col min="5394" max="5614" width="9.140625" style="45"/>
    <col min="5615" max="5615" width="4.140625" style="45" customWidth="1"/>
    <col min="5616" max="5616" width="15.5703125" style="45" customWidth="1"/>
    <col min="5617" max="5617" width="7.28515625" style="45" customWidth="1"/>
    <col min="5618" max="5618" width="4.85546875" style="45" customWidth="1"/>
    <col min="5619" max="5619" width="4.42578125" style="45" customWidth="1"/>
    <col min="5620" max="5625" width="0" style="45" hidden="1" customWidth="1"/>
    <col min="5626" max="5626" width="9" style="45" customWidth="1"/>
    <col min="5627" max="5627" width="4.85546875" style="45" customWidth="1"/>
    <col min="5628" max="5629" width="0" style="45" hidden="1" customWidth="1"/>
    <col min="5630" max="5631" width="4.85546875" style="45" customWidth="1"/>
    <col min="5632" max="5632" width="6.140625" style="45" customWidth="1"/>
    <col min="5633" max="5633" width="6.42578125" style="45" customWidth="1"/>
    <col min="5634" max="5634" width="4.85546875" style="45" customWidth="1"/>
    <col min="5635" max="5635" width="7.5703125" style="45" customWidth="1"/>
    <col min="5636" max="5636" width="0" style="45" hidden="1" customWidth="1"/>
    <col min="5637" max="5637" width="7.140625" style="45" customWidth="1"/>
    <col min="5638" max="5638" width="0" style="45" hidden="1" customWidth="1"/>
    <col min="5639" max="5639" width="6.85546875" style="45" customWidth="1"/>
    <col min="5640" max="5640" width="9.28515625" style="45" customWidth="1"/>
    <col min="5641" max="5641" width="5.85546875" style="45" customWidth="1"/>
    <col min="5642" max="5642" width="0" style="45" hidden="1" customWidth="1"/>
    <col min="5643" max="5643" width="10" style="45" customWidth="1"/>
    <col min="5644" max="5649" width="0" style="45" hidden="1" customWidth="1"/>
    <col min="5650" max="5870" width="9.140625" style="45"/>
    <col min="5871" max="5871" width="4.140625" style="45" customWidth="1"/>
    <col min="5872" max="5872" width="15.5703125" style="45" customWidth="1"/>
    <col min="5873" max="5873" width="7.28515625" style="45" customWidth="1"/>
    <col min="5874" max="5874" width="4.85546875" style="45" customWidth="1"/>
    <col min="5875" max="5875" width="4.42578125" style="45" customWidth="1"/>
    <col min="5876" max="5881" width="0" style="45" hidden="1" customWidth="1"/>
    <col min="5882" max="5882" width="9" style="45" customWidth="1"/>
    <col min="5883" max="5883" width="4.85546875" style="45" customWidth="1"/>
    <col min="5884" max="5885" width="0" style="45" hidden="1" customWidth="1"/>
    <col min="5886" max="5887" width="4.85546875" style="45" customWidth="1"/>
    <col min="5888" max="5888" width="6.140625" style="45" customWidth="1"/>
    <col min="5889" max="5889" width="6.42578125" style="45" customWidth="1"/>
    <col min="5890" max="5890" width="4.85546875" style="45" customWidth="1"/>
    <col min="5891" max="5891" width="7.5703125" style="45" customWidth="1"/>
    <col min="5892" max="5892" width="0" style="45" hidden="1" customWidth="1"/>
    <col min="5893" max="5893" width="7.140625" style="45" customWidth="1"/>
    <col min="5894" max="5894" width="0" style="45" hidden="1" customWidth="1"/>
    <col min="5895" max="5895" width="6.85546875" style="45" customWidth="1"/>
    <col min="5896" max="5896" width="9.28515625" style="45" customWidth="1"/>
    <col min="5897" max="5897" width="5.85546875" style="45" customWidth="1"/>
    <col min="5898" max="5898" width="0" style="45" hidden="1" customWidth="1"/>
    <col min="5899" max="5899" width="10" style="45" customWidth="1"/>
    <col min="5900" max="5905" width="0" style="45" hidden="1" customWidth="1"/>
    <col min="5906" max="6126" width="9.140625" style="45"/>
    <col min="6127" max="6127" width="4.140625" style="45" customWidth="1"/>
    <col min="6128" max="6128" width="15.5703125" style="45" customWidth="1"/>
    <col min="6129" max="6129" width="7.28515625" style="45" customWidth="1"/>
    <col min="6130" max="6130" width="4.85546875" style="45" customWidth="1"/>
    <col min="6131" max="6131" width="4.42578125" style="45" customWidth="1"/>
    <col min="6132" max="6137" width="0" style="45" hidden="1" customWidth="1"/>
    <col min="6138" max="6138" width="9" style="45" customWidth="1"/>
    <col min="6139" max="6139" width="4.85546875" style="45" customWidth="1"/>
    <col min="6140" max="6141" width="0" style="45" hidden="1" customWidth="1"/>
    <col min="6142" max="6143" width="4.85546875" style="45" customWidth="1"/>
    <col min="6144" max="6144" width="6.140625" style="45" customWidth="1"/>
    <col min="6145" max="6145" width="6.42578125" style="45" customWidth="1"/>
    <col min="6146" max="6146" width="4.85546875" style="45" customWidth="1"/>
    <col min="6147" max="6147" width="7.5703125" style="45" customWidth="1"/>
    <col min="6148" max="6148" width="0" style="45" hidden="1" customWidth="1"/>
    <col min="6149" max="6149" width="7.140625" style="45" customWidth="1"/>
    <col min="6150" max="6150" width="0" style="45" hidden="1" customWidth="1"/>
    <col min="6151" max="6151" width="6.85546875" style="45" customWidth="1"/>
    <col min="6152" max="6152" width="9.28515625" style="45" customWidth="1"/>
    <col min="6153" max="6153" width="5.85546875" style="45" customWidth="1"/>
    <col min="6154" max="6154" width="0" style="45" hidden="1" customWidth="1"/>
    <col min="6155" max="6155" width="10" style="45" customWidth="1"/>
    <col min="6156" max="6161" width="0" style="45" hidden="1" customWidth="1"/>
    <col min="6162" max="6382" width="9.140625" style="45"/>
    <col min="6383" max="6383" width="4.140625" style="45" customWidth="1"/>
    <col min="6384" max="6384" width="15.5703125" style="45" customWidth="1"/>
    <col min="6385" max="6385" width="7.28515625" style="45" customWidth="1"/>
    <col min="6386" max="6386" width="4.85546875" style="45" customWidth="1"/>
    <col min="6387" max="6387" width="4.42578125" style="45" customWidth="1"/>
    <col min="6388" max="6393" width="0" style="45" hidden="1" customWidth="1"/>
    <col min="6394" max="6394" width="9" style="45" customWidth="1"/>
    <col min="6395" max="6395" width="4.85546875" style="45" customWidth="1"/>
    <col min="6396" max="6397" width="0" style="45" hidden="1" customWidth="1"/>
    <col min="6398" max="6399" width="4.85546875" style="45" customWidth="1"/>
    <col min="6400" max="6400" width="6.140625" style="45" customWidth="1"/>
    <col min="6401" max="6401" width="6.42578125" style="45" customWidth="1"/>
    <col min="6402" max="6402" width="4.85546875" style="45" customWidth="1"/>
    <col min="6403" max="6403" width="7.5703125" style="45" customWidth="1"/>
    <col min="6404" max="6404" width="0" style="45" hidden="1" customWidth="1"/>
    <col min="6405" max="6405" width="7.140625" style="45" customWidth="1"/>
    <col min="6406" max="6406" width="0" style="45" hidden="1" customWidth="1"/>
    <col min="6407" max="6407" width="6.85546875" style="45" customWidth="1"/>
    <col min="6408" max="6408" width="9.28515625" style="45" customWidth="1"/>
    <col min="6409" max="6409" width="5.85546875" style="45" customWidth="1"/>
    <col min="6410" max="6410" width="0" style="45" hidden="1" customWidth="1"/>
    <col min="6411" max="6411" width="10" style="45" customWidth="1"/>
    <col min="6412" max="6417" width="0" style="45" hidden="1" customWidth="1"/>
    <col min="6418" max="6638" width="9.140625" style="45"/>
    <col min="6639" max="6639" width="4.140625" style="45" customWidth="1"/>
    <col min="6640" max="6640" width="15.5703125" style="45" customWidth="1"/>
    <col min="6641" max="6641" width="7.28515625" style="45" customWidth="1"/>
    <col min="6642" max="6642" width="4.85546875" style="45" customWidth="1"/>
    <col min="6643" max="6643" width="4.42578125" style="45" customWidth="1"/>
    <col min="6644" max="6649" width="0" style="45" hidden="1" customWidth="1"/>
    <col min="6650" max="6650" width="9" style="45" customWidth="1"/>
    <col min="6651" max="6651" width="4.85546875" style="45" customWidth="1"/>
    <col min="6652" max="6653" width="0" style="45" hidden="1" customWidth="1"/>
    <col min="6654" max="6655" width="4.85546875" style="45" customWidth="1"/>
    <col min="6656" max="6656" width="6.140625" style="45" customWidth="1"/>
    <col min="6657" max="6657" width="6.42578125" style="45" customWidth="1"/>
    <col min="6658" max="6658" width="4.85546875" style="45" customWidth="1"/>
    <col min="6659" max="6659" width="7.5703125" style="45" customWidth="1"/>
    <col min="6660" max="6660" width="0" style="45" hidden="1" customWidth="1"/>
    <col min="6661" max="6661" width="7.140625" style="45" customWidth="1"/>
    <col min="6662" max="6662" width="0" style="45" hidden="1" customWidth="1"/>
    <col min="6663" max="6663" width="6.85546875" style="45" customWidth="1"/>
    <col min="6664" max="6664" width="9.28515625" style="45" customWidth="1"/>
    <col min="6665" max="6665" width="5.85546875" style="45" customWidth="1"/>
    <col min="6666" max="6666" width="0" style="45" hidden="1" customWidth="1"/>
    <col min="6667" max="6667" width="10" style="45" customWidth="1"/>
    <col min="6668" max="6673" width="0" style="45" hidden="1" customWidth="1"/>
    <col min="6674" max="6894" width="9.140625" style="45"/>
    <col min="6895" max="6895" width="4.140625" style="45" customWidth="1"/>
    <col min="6896" max="6896" width="15.5703125" style="45" customWidth="1"/>
    <col min="6897" max="6897" width="7.28515625" style="45" customWidth="1"/>
    <col min="6898" max="6898" width="4.85546875" style="45" customWidth="1"/>
    <col min="6899" max="6899" width="4.42578125" style="45" customWidth="1"/>
    <col min="6900" max="6905" width="0" style="45" hidden="1" customWidth="1"/>
    <col min="6906" max="6906" width="9" style="45" customWidth="1"/>
    <col min="6907" max="6907" width="4.85546875" style="45" customWidth="1"/>
    <col min="6908" max="6909" width="0" style="45" hidden="1" customWidth="1"/>
    <col min="6910" max="6911" width="4.85546875" style="45" customWidth="1"/>
    <col min="6912" max="6912" width="6.140625" style="45" customWidth="1"/>
    <col min="6913" max="6913" width="6.42578125" style="45" customWidth="1"/>
    <col min="6914" max="6914" width="4.85546875" style="45" customWidth="1"/>
    <col min="6915" max="6915" width="7.5703125" style="45" customWidth="1"/>
    <col min="6916" max="6916" width="0" style="45" hidden="1" customWidth="1"/>
    <col min="6917" max="6917" width="7.140625" style="45" customWidth="1"/>
    <col min="6918" max="6918" width="0" style="45" hidden="1" customWidth="1"/>
    <col min="6919" max="6919" width="6.85546875" style="45" customWidth="1"/>
    <col min="6920" max="6920" width="9.28515625" style="45" customWidth="1"/>
    <col min="6921" max="6921" width="5.85546875" style="45" customWidth="1"/>
    <col min="6922" max="6922" width="0" style="45" hidden="1" customWidth="1"/>
    <col min="6923" max="6923" width="10" style="45" customWidth="1"/>
    <col min="6924" max="6929" width="0" style="45" hidden="1" customWidth="1"/>
    <col min="6930" max="7150" width="9.140625" style="45"/>
    <col min="7151" max="7151" width="4.140625" style="45" customWidth="1"/>
    <col min="7152" max="7152" width="15.5703125" style="45" customWidth="1"/>
    <col min="7153" max="7153" width="7.28515625" style="45" customWidth="1"/>
    <col min="7154" max="7154" width="4.85546875" style="45" customWidth="1"/>
    <col min="7155" max="7155" width="4.42578125" style="45" customWidth="1"/>
    <col min="7156" max="7161" width="0" style="45" hidden="1" customWidth="1"/>
    <col min="7162" max="7162" width="9" style="45" customWidth="1"/>
    <col min="7163" max="7163" width="4.85546875" style="45" customWidth="1"/>
    <col min="7164" max="7165" width="0" style="45" hidden="1" customWidth="1"/>
    <col min="7166" max="7167" width="4.85546875" style="45" customWidth="1"/>
    <col min="7168" max="7168" width="6.140625" style="45" customWidth="1"/>
    <col min="7169" max="7169" width="6.42578125" style="45" customWidth="1"/>
    <col min="7170" max="7170" width="4.85546875" style="45" customWidth="1"/>
    <col min="7171" max="7171" width="7.5703125" style="45" customWidth="1"/>
    <col min="7172" max="7172" width="0" style="45" hidden="1" customWidth="1"/>
    <col min="7173" max="7173" width="7.140625" style="45" customWidth="1"/>
    <col min="7174" max="7174" width="0" style="45" hidden="1" customWidth="1"/>
    <col min="7175" max="7175" width="6.85546875" style="45" customWidth="1"/>
    <col min="7176" max="7176" width="9.28515625" style="45" customWidth="1"/>
    <col min="7177" max="7177" width="5.85546875" style="45" customWidth="1"/>
    <col min="7178" max="7178" width="0" style="45" hidden="1" customWidth="1"/>
    <col min="7179" max="7179" width="10" style="45" customWidth="1"/>
    <col min="7180" max="7185" width="0" style="45" hidden="1" customWidth="1"/>
    <col min="7186" max="7406" width="9.140625" style="45"/>
    <col min="7407" max="7407" width="4.140625" style="45" customWidth="1"/>
    <col min="7408" max="7408" width="15.5703125" style="45" customWidth="1"/>
    <col min="7409" max="7409" width="7.28515625" style="45" customWidth="1"/>
    <col min="7410" max="7410" width="4.85546875" style="45" customWidth="1"/>
    <col min="7411" max="7411" width="4.42578125" style="45" customWidth="1"/>
    <col min="7412" max="7417" width="0" style="45" hidden="1" customWidth="1"/>
    <col min="7418" max="7418" width="9" style="45" customWidth="1"/>
    <col min="7419" max="7419" width="4.85546875" style="45" customWidth="1"/>
    <col min="7420" max="7421" width="0" style="45" hidden="1" customWidth="1"/>
    <col min="7422" max="7423" width="4.85546875" style="45" customWidth="1"/>
    <col min="7424" max="7424" width="6.140625" style="45" customWidth="1"/>
    <col min="7425" max="7425" width="6.42578125" style="45" customWidth="1"/>
    <col min="7426" max="7426" width="4.85546875" style="45" customWidth="1"/>
    <col min="7427" max="7427" width="7.5703125" style="45" customWidth="1"/>
    <col min="7428" max="7428" width="0" style="45" hidden="1" customWidth="1"/>
    <col min="7429" max="7429" width="7.140625" style="45" customWidth="1"/>
    <col min="7430" max="7430" width="0" style="45" hidden="1" customWidth="1"/>
    <col min="7431" max="7431" width="6.85546875" style="45" customWidth="1"/>
    <col min="7432" max="7432" width="9.28515625" style="45" customWidth="1"/>
    <col min="7433" max="7433" width="5.85546875" style="45" customWidth="1"/>
    <col min="7434" max="7434" width="0" style="45" hidden="1" customWidth="1"/>
    <col min="7435" max="7435" width="10" style="45" customWidth="1"/>
    <col min="7436" max="7441" width="0" style="45" hidden="1" customWidth="1"/>
    <col min="7442" max="7662" width="9.140625" style="45"/>
    <col min="7663" max="7663" width="4.140625" style="45" customWidth="1"/>
    <col min="7664" max="7664" width="15.5703125" style="45" customWidth="1"/>
    <col min="7665" max="7665" width="7.28515625" style="45" customWidth="1"/>
    <col min="7666" max="7666" width="4.85546875" style="45" customWidth="1"/>
    <col min="7667" max="7667" width="4.42578125" style="45" customWidth="1"/>
    <col min="7668" max="7673" width="0" style="45" hidden="1" customWidth="1"/>
    <col min="7674" max="7674" width="9" style="45" customWidth="1"/>
    <col min="7675" max="7675" width="4.85546875" style="45" customWidth="1"/>
    <col min="7676" max="7677" width="0" style="45" hidden="1" customWidth="1"/>
    <col min="7678" max="7679" width="4.85546875" style="45" customWidth="1"/>
    <col min="7680" max="7680" width="6.140625" style="45" customWidth="1"/>
    <col min="7681" max="7681" width="6.42578125" style="45" customWidth="1"/>
    <col min="7682" max="7682" width="4.85546875" style="45" customWidth="1"/>
    <col min="7683" max="7683" width="7.5703125" style="45" customWidth="1"/>
    <col min="7684" max="7684" width="0" style="45" hidden="1" customWidth="1"/>
    <col min="7685" max="7685" width="7.140625" style="45" customWidth="1"/>
    <col min="7686" max="7686" width="0" style="45" hidden="1" customWidth="1"/>
    <col min="7687" max="7687" width="6.85546875" style="45" customWidth="1"/>
    <col min="7688" max="7688" width="9.28515625" style="45" customWidth="1"/>
    <col min="7689" max="7689" width="5.85546875" style="45" customWidth="1"/>
    <col min="7690" max="7690" width="0" style="45" hidden="1" customWidth="1"/>
    <col min="7691" max="7691" width="10" style="45" customWidth="1"/>
    <col min="7692" max="7697" width="0" style="45" hidden="1" customWidth="1"/>
    <col min="7698" max="7918" width="9.140625" style="45"/>
    <col min="7919" max="7919" width="4.140625" style="45" customWidth="1"/>
    <col min="7920" max="7920" width="15.5703125" style="45" customWidth="1"/>
    <col min="7921" max="7921" width="7.28515625" style="45" customWidth="1"/>
    <col min="7922" max="7922" width="4.85546875" style="45" customWidth="1"/>
    <col min="7923" max="7923" width="4.42578125" style="45" customWidth="1"/>
    <col min="7924" max="7929" width="0" style="45" hidden="1" customWidth="1"/>
    <col min="7930" max="7930" width="9" style="45" customWidth="1"/>
    <col min="7931" max="7931" width="4.85546875" style="45" customWidth="1"/>
    <col min="7932" max="7933" width="0" style="45" hidden="1" customWidth="1"/>
    <col min="7934" max="7935" width="4.85546875" style="45" customWidth="1"/>
    <col min="7936" max="7936" width="6.140625" style="45" customWidth="1"/>
    <col min="7937" max="7937" width="6.42578125" style="45" customWidth="1"/>
    <col min="7938" max="7938" width="4.85546875" style="45" customWidth="1"/>
    <col min="7939" max="7939" width="7.5703125" style="45" customWidth="1"/>
    <col min="7940" max="7940" width="0" style="45" hidden="1" customWidth="1"/>
    <col min="7941" max="7941" width="7.140625" style="45" customWidth="1"/>
    <col min="7942" max="7942" width="0" style="45" hidden="1" customWidth="1"/>
    <col min="7943" max="7943" width="6.85546875" style="45" customWidth="1"/>
    <col min="7944" max="7944" width="9.28515625" style="45" customWidth="1"/>
    <col min="7945" max="7945" width="5.85546875" style="45" customWidth="1"/>
    <col min="7946" max="7946" width="0" style="45" hidden="1" customWidth="1"/>
    <col min="7947" max="7947" width="10" style="45" customWidth="1"/>
    <col min="7948" max="7953" width="0" style="45" hidden="1" customWidth="1"/>
    <col min="7954" max="8174" width="9.140625" style="45"/>
    <col min="8175" max="8175" width="4.140625" style="45" customWidth="1"/>
    <col min="8176" max="8176" width="15.5703125" style="45" customWidth="1"/>
    <col min="8177" max="8177" width="7.28515625" style="45" customWidth="1"/>
    <col min="8178" max="8178" width="4.85546875" style="45" customWidth="1"/>
    <col min="8179" max="8179" width="4.42578125" style="45" customWidth="1"/>
    <col min="8180" max="8185" width="0" style="45" hidden="1" customWidth="1"/>
    <col min="8186" max="8186" width="9" style="45" customWidth="1"/>
    <col min="8187" max="8187" width="4.85546875" style="45" customWidth="1"/>
    <col min="8188" max="8189" width="0" style="45" hidden="1" customWidth="1"/>
    <col min="8190" max="8191" width="4.85546875" style="45" customWidth="1"/>
    <col min="8192" max="8192" width="6.140625" style="45" customWidth="1"/>
    <col min="8193" max="8193" width="6.42578125" style="45" customWidth="1"/>
    <col min="8194" max="8194" width="4.85546875" style="45" customWidth="1"/>
    <col min="8195" max="8195" width="7.5703125" style="45" customWidth="1"/>
    <col min="8196" max="8196" width="0" style="45" hidden="1" customWidth="1"/>
    <col min="8197" max="8197" width="7.140625" style="45" customWidth="1"/>
    <col min="8198" max="8198" width="0" style="45" hidden="1" customWidth="1"/>
    <col min="8199" max="8199" width="6.85546875" style="45" customWidth="1"/>
    <col min="8200" max="8200" width="9.28515625" style="45" customWidth="1"/>
    <col min="8201" max="8201" width="5.85546875" style="45" customWidth="1"/>
    <col min="8202" max="8202" width="0" style="45" hidden="1" customWidth="1"/>
    <col min="8203" max="8203" width="10" style="45" customWidth="1"/>
    <col min="8204" max="8209" width="0" style="45" hidden="1" customWidth="1"/>
    <col min="8210" max="8430" width="9.140625" style="45"/>
    <col min="8431" max="8431" width="4.140625" style="45" customWidth="1"/>
    <col min="8432" max="8432" width="15.5703125" style="45" customWidth="1"/>
    <col min="8433" max="8433" width="7.28515625" style="45" customWidth="1"/>
    <col min="8434" max="8434" width="4.85546875" style="45" customWidth="1"/>
    <col min="8435" max="8435" width="4.42578125" style="45" customWidth="1"/>
    <col min="8436" max="8441" width="0" style="45" hidden="1" customWidth="1"/>
    <col min="8442" max="8442" width="9" style="45" customWidth="1"/>
    <col min="8443" max="8443" width="4.85546875" style="45" customWidth="1"/>
    <col min="8444" max="8445" width="0" style="45" hidden="1" customWidth="1"/>
    <col min="8446" max="8447" width="4.85546875" style="45" customWidth="1"/>
    <col min="8448" max="8448" width="6.140625" style="45" customWidth="1"/>
    <col min="8449" max="8449" width="6.42578125" style="45" customWidth="1"/>
    <col min="8450" max="8450" width="4.85546875" style="45" customWidth="1"/>
    <col min="8451" max="8451" width="7.5703125" style="45" customWidth="1"/>
    <col min="8452" max="8452" width="0" style="45" hidden="1" customWidth="1"/>
    <col min="8453" max="8453" width="7.140625" style="45" customWidth="1"/>
    <col min="8454" max="8454" width="0" style="45" hidden="1" customWidth="1"/>
    <col min="8455" max="8455" width="6.85546875" style="45" customWidth="1"/>
    <col min="8456" max="8456" width="9.28515625" style="45" customWidth="1"/>
    <col min="8457" max="8457" width="5.85546875" style="45" customWidth="1"/>
    <col min="8458" max="8458" width="0" style="45" hidden="1" customWidth="1"/>
    <col min="8459" max="8459" width="10" style="45" customWidth="1"/>
    <col min="8460" max="8465" width="0" style="45" hidden="1" customWidth="1"/>
    <col min="8466" max="8686" width="9.140625" style="45"/>
    <col min="8687" max="8687" width="4.140625" style="45" customWidth="1"/>
    <col min="8688" max="8688" width="15.5703125" style="45" customWidth="1"/>
    <col min="8689" max="8689" width="7.28515625" style="45" customWidth="1"/>
    <col min="8690" max="8690" width="4.85546875" style="45" customWidth="1"/>
    <col min="8691" max="8691" width="4.42578125" style="45" customWidth="1"/>
    <col min="8692" max="8697" width="0" style="45" hidden="1" customWidth="1"/>
    <col min="8698" max="8698" width="9" style="45" customWidth="1"/>
    <col min="8699" max="8699" width="4.85546875" style="45" customWidth="1"/>
    <col min="8700" max="8701" width="0" style="45" hidden="1" customWidth="1"/>
    <col min="8702" max="8703" width="4.85546875" style="45" customWidth="1"/>
    <col min="8704" max="8704" width="6.140625" style="45" customWidth="1"/>
    <col min="8705" max="8705" width="6.42578125" style="45" customWidth="1"/>
    <col min="8706" max="8706" width="4.85546875" style="45" customWidth="1"/>
    <col min="8707" max="8707" width="7.5703125" style="45" customWidth="1"/>
    <col min="8708" max="8708" width="0" style="45" hidden="1" customWidth="1"/>
    <col min="8709" max="8709" width="7.140625" style="45" customWidth="1"/>
    <col min="8710" max="8710" width="0" style="45" hidden="1" customWidth="1"/>
    <col min="8711" max="8711" width="6.85546875" style="45" customWidth="1"/>
    <col min="8712" max="8712" width="9.28515625" style="45" customWidth="1"/>
    <col min="8713" max="8713" width="5.85546875" style="45" customWidth="1"/>
    <col min="8714" max="8714" width="0" style="45" hidden="1" customWidth="1"/>
    <col min="8715" max="8715" width="10" style="45" customWidth="1"/>
    <col min="8716" max="8721" width="0" style="45" hidden="1" customWidth="1"/>
    <col min="8722" max="8942" width="9.140625" style="45"/>
    <col min="8943" max="8943" width="4.140625" style="45" customWidth="1"/>
    <col min="8944" max="8944" width="15.5703125" style="45" customWidth="1"/>
    <col min="8945" max="8945" width="7.28515625" style="45" customWidth="1"/>
    <col min="8946" max="8946" width="4.85546875" style="45" customWidth="1"/>
    <col min="8947" max="8947" width="4.42578125" style="45" customWidth="1"/>
    <col min="8948" max="8953" width="0" style="45" hidden="1" customWidth="1"/>
    <col min="8954" max="8954" width="9" style="45" customWidth="1"/>
    <col min="8955" max="8955" width="4.85546875" style="45" customWidth="1"/>
    <col min="8956" max="8957" width="0" style="45" hidden="1" customWidth="1"/>
    <col min="8958" max="8959" width="4.85546875" style="45" customWidth="1"/>
    <col min="8960" max="8960" width="6.140625" style="45" customWidth="1"/>
    <col min="8961" max="8961" width="6.42578125" style="45" customWidth="1"/>
    <col min="8962" max="8962" width="4.85546875" style="45" customWidth="1"/>
    <col min="8963" max="8963" width="7.5703125" style="45" customWidth="1"/>
    <col min="8964" max="8964" width="0" style="45" hidden="1" customWidth="1"/>
    <col min="8965" max="8965" width="7.140625" style="45" customWidth="1"/>
    <col min="8966" max="8966" width="0" style="45" hidden="1" customWidth="1"/>
    <col min="8967" max="8967" width="6.85546875" style="45" customWidth="1"/>
    <col min="8968" max="8968" width="9.28515625" style="45" customWidth="1"/>
    <col min="8969" max="8969" width="5.85546875" style="45" customWidth="1"/>
    <col min="8970" max="8970" width="0" style="45" hidden="1" customWidth="1"/>
    <col min="8971" max="8971" width="10" style="45" customWidth="1"/>
    <col min="8972" max="8977" width="0" style="45" hidden="1" customWidth="1"/>
    <col min="8978" max="9198" width="9.140625" style="45"/>
    <col min="9199" max="9199" width="4.140625" style="45" customWidth="1"/>
    <col min="9200" max="9200" width="15.5703125" style="45" customWidth="1"/>
    <col min="9201" max="9201" width="7.28515625" style="45" customWidth="1"/>
    <col min="9202" max="9202" width="4.85546875" style="45" customWidth="1"/>
    <col min="9203" max="9203" width="4.42578125" style="45" customWidth="1"/>
    <col min="9204" max="9209" width="0" style="45" hidden="1" customWidth="1"/>
    <col min="9210" max="9210" width="9" style="45" customWidth="1"/>
    <col min="9211" max="9211" width="4.85546875" style="45" customWidth="1"/>
    <col min="9212" max="9213" width="0" style="45" hidden="1" customWidth="1"/>
    <col min="9214" max="9215" width="4.85546875" style="45" customWidth="1"/>
    <col min="9216" max="9216" width="6.140625" style="45" customWidth="1"/>
    <col min="9217" max="9217" width="6.42578125" style="45" customWidth="1"/>
    <col min="9218" max="9218" width="4.85546875" style="45" customWidth="1"/>
    <col min="9219" max="9219" width="7.5703125" style="45" customWidth="1"/>
    <col min="9220" max="9220" width="0" style="45" hidden="1" customWidth="1"/>
    <col min="9221" max="9221" width="7.140625" style="45" customWidth="1"/>
    <col min="9222" max="9222" width="0" style="45" hidden="1" customWidth="1"/>
    <col min="9223" max="9223" width="6.85546875" style="45" customWidth="1"/>
    <col min="9224" max="9224" width="9.28515625" style="45" customWidth="1"/>
    <col min="9225" max="9225" width="5.85546875" style="45" customWidth="1"/>
    <col min="9226" max="9226" width="0" style="45" hidden="1" customWidth="1"/>
    <col min="9227" max="9227" width="10" style="45" customWidth="1"/>
    <col min="9228" max="9233" width="0" style="45" hidden="1" customWidth="1"/>
    <col min="9234" max="9454" width="9.140625" style="45"/>
    <col min="9455" max="9455" width="4.140625" style="45" customWidth="1"/>
    <col min="9456" max="9456" width="15.5703125" style="45" customWidth="1"/>
    <col min="9457" max="9457" width="7.28515625" style="45" customWidth="1"/>
    <col min="9458" max="9458" width="4.85546875" style="45" customWidth="1"/>
    <col min="9459" max="9459" width="4.42578125" style="45" customWidth="1"/>
    <col min="9460" max="9465" width="0" style="45" hidden="1" customWidth="1"/>
    <col min="9466" max="9466" width="9" style="45" customWidth="1"/>
    <col min="9467" max="9467" width="4.85546875" style="45" customWidth="1"/>
    <col min="9468" max="9469" width="0" style="45" hidden="1" customWidth="1"/>
    <col min="9470" max="9471" width="4.85546875" style="45" customWidth="1"/>
    <col min="9472" max="9472" width="6.140625" style="45" customWidth="1"/>
    <col min="9473" max="9473" width="6.42578125" style="45" customWidth="1"/>
    <col min="9474" max="9474" width="4.85546875" style="45" customWidth="1"/>
    <col min="9475" max="9475" width="7.5703125" style="45" customWidth="1"/>
    <col min="9476" max="9476" width="0" style="45" hidden="1" customWidth="1"/>
    <col min="9477" max="9477" width="7.140625" style="45" customWidth="1"/>
    <col min="9478" max="9478" width="0" style="45" hidden="1" customWidth="1"/>
    <col min="9479" max="9479" width="6.85546875" style="45" customWidth="1"/>
    <col min="9480" max="9480" width="9.28515625" style="45" customWidth="1"/>
    <col min="9481" max="9481" width="5.85546875" style="45" customWidth="1"/>
    <col min="9482" max="9482" width="0" style="45" hidden="1" customWidth="1"/>
    <col min="9483" max="9483" width="10" style="45" customWidth="1"/>
    <col min="9484" max="9489" width="0" style="45" hidden="1" customWidth="1"/>
    <col min="9490" max="9710" width="9.140625" style="45"/>
    <col min="9711" max="9711" width="4.140625" style="45" customWidth="1"/>
    <col min="9712" max="9712" width="15.5703125" style="45" customWidth="1"/>
    <col min="9713" max="9713" width="7.28515625" style="45" customWidth="1"/>
    <col min="9714" max="9714" width="4.85546875" style="45" customWidth="1"/>
    <col min="9715" max="9715" width="4.42578125" style="45" customWidth="1"/>
    <col min="9716" max="9721" width="0" style="45" hidden="1" customWidth="1"/>
    <col min="9722" max="9722" width="9" style="45" customWidth="1"/>
    <col min="9723" max="9723" width="4.85546875" style="45" customWidth="1"/>
    <col min="9724" max="9725" width="0" style="45" hidden="1" customWidth="1"/>
    <col min="9726" max="9727" width="4.85546875" style="45" customWidth="1"/>
    <col min="9728" max="9728" width="6.140625" style="45" customWidth="1"/>
    <col min="9729" max="9729" width="6.42578125" style="45" customWidth="1"/>
    <col min="9730" max="9730" width="4.85546875" style="45" customWidth="1"/>
    <col min="9731" max="9731" width="7.5703125" style="45" customWidth="1"/>
    <col min="9732" max="9732" width="0" style="45" hidden="1" customWidth="1"/>
    <col min="9733" max="9733" width="7.140625" style="45" customWidth="1"/>
    <col min="9734" max="9734" width="0" style="45" hidden="1" customWidth="1"/>
    <col min="9735" max="9735" width="6.85546875" style="45" customWidth="1"/>
    <col min="9736" max="9736" width="9.28515625" style="45" customWidth="1"/>
    <col min="9737" max="9737" width="5.85546875" style="45" customWidth="1"/>
    <col min="9738" max="9738" width="0" style="45" hidden="1" customWidth="1"/>
    <col min="9739" max="9739" width="10" style="45" customWidth="1"/>
    <col min="9740" max="9745" width="0" style="45" hidden="1" customWidth="1"/>
    <col min="9746" max="9966" width="9.140625" style="45"/>
    <col min="9967" max="9967" width="4.140625" style="45" customWidth="1"/>
    <col min="9968" max="9968" width="15.5703125" style="45" customWidth="1"/>
    <col min="9969" max="9969" width="7.28515625" style="45" customWidth="1"/>
    <col min="9970" max="9970" width="4.85546875" style="45" customWidth="1"/>
    <col min="9971" max="9971" width="4.42578125" style="45" customWidth="1"/>
    <col min="9972" max="9977" width="0" style="45" hidden="1" customWidth="1"/>
    <col min="9978" max="9978" width="9" style="45" customWidth="1"/>
    <col min="9979" max="9979" width="4.85546875" style="45" customWidth="1"/>
    <col min="9980" max="9981" width="0" style="45" hidden="1" customWidth="1"/>
    <col min="9982" max="9983" width="4.85546875" style="45" customWidth="1"/>
    <col min="9984" max="9984" width="6.140625" style="45" customWidth="1"/>
    <col min="9985" max="9985" width="6.42578125" style="45" customWidth="1"/>
    <col min="9986" max="9986" width="4.85546875" style="45" customWidth="1"/>
    <col min="9987" max="9987" width="7.5703125" style="45" customWidth="1"/>
    <col min="9988" max="9988" width="0" style="45" hidden="1" customWidth="1"/>
    <col min="9989" max="9989" width="7.140625" style="45" customWidth="1"/>
    <col min="9990" max="9990" width="0" style="45" hidden="1" customWidth="1"/>
    <col min="9991" max="9991" width="6.85546875" style="45" customWidth="1"/>
    <col min="9992" max="9992" width="9.28515625" style="45" customWidth="1"/>
    <col min="9993" max="9993" width="5.85546875" style="45" customWidth="1"/>
    <col min="9994" max="9994" width="0" style="45" hidden="1" customWidth="1"/>
    <col min="9995" max="9995" width="10" style="45" customWidth="1"/>
    <col min="9996" max="10001" width="0" style="45" hidden="1" customWidth="1"/>
    <col min="10002" max="10222" width="9.140625" style="45"/>
    <col min="10223" max="10223" width="4.140625" style="45" customWidth="1"/>
    <col min="10224" max="10224" width="15.5703125" style="45" customWidth="1"/>
    <col min="10225" max="10225" width="7.28515625" style="45" customWidth="1"/>
    <col min="10226" max="10226" width="4.85546875" style="45" customWidth="1"/>
    <col min="10227" max="10227" width="4.42578125" style="45" customWidth="1"/>
    <col min="10228" max="10233" width="0" style="45" hidden="1" customWidth="1"/>
    <col min="10234" max="10234" width="9" style="45" customWidth="1"/>
    <col min="10235" max="10235" width="4.85546875" style="45" customWidth="1"/>
    <col min="10236" max="10237" width="0" style="45" hidden="1" customWidth="1"/>
    <col min="10238" max="10239" width="4.85546875" style="45" customWidth="1"/>
    <col min="10240" max="10240" width="6.140625" style="45" customWidth="1"/>
    <col min="10241" max="10241" width="6.42578125" style="45" customWidth="1"/>
    <col min="10242" max="10242" width="4.85546875" style="45" customWidth="1"/>
    <col min="10243" max="10243" width="7.5703125" style="45" customWidth="1"/>
    <col min="10244" max="10244" width="0" style="45" hidden="1" customWidth="1"/>
    <col min="10245" max="10245" width="7.140625" style="45" customWidth="1"/>
    <col min="10246" max="10246" width="0" style="45" hidden="1" customWidth="1"/>
    <col min="10247" max="10247" width="6.85546875" style="45" customWidth="1"/>
    <col min="10248" max="10248" width="9.28515625" style="45" customWidth="1"/>
    <col min="10249" max="10249" width="5.85546875" style="45" customWidth="1"/>
    <col min="10250" max="10250" width="0" style="45" hidden="1" customWidth="1"/>
    <col min="10251" max="10251" width="10" style="45" customWidth="1"/>
    <col min="10252" max="10257" width="0" style="45" hidden="1" customWidth="1"/>
    <col min="10258" max="10478" width="9.140625" style="45"/>
    <col min="10479" max="10479" width="4.140625" style="45" customWidth="1"/>
    <col min="10480" max="10480" width="15.5703125" style="45" customWidth="1"/>
    <col min="10481" max="10481" width="7.28515625" style="45" customWidth="1"/>
    <col min="10482" max="10482" width="4.85546875" style="45" customWidth="1"/>
    <col min="10483" max="10483" width="4.42578125" style="45" customWidth="1"/>
    <col min="10484" max="10489" width="0" style="45" hidden="1" customWidth="1"/>
    <col min="10490" max="10490" width="9" style="45" customWidth="1"/>
    <col min="10491" max="10491" width="4.85546875" style="45" customWidth="1"/>
    <col min="10492" max="10493" width="0" style="45" hidden="1" customWidth="1"/>
    <col min="10494" max="10495" width="4.85546875" style="45" customWidth="1"/>
    <col min="10496" max="10496" width="6.140625" style="45" customWidth="1"/>
    <col min="10497" max="10497" width="6.42578125" style="45" customWidth="1"/>
    <col min="10498" max="10498" width="4.85546875" style="45" customWidth="1"/>
    <col min="10499" max="10499" width="7.5703125" style="45" customWidth="1"/>
    <col min="10500" max="10500" width="0" style="45" hidden="1" customWidth="1"/>
    <col min="10501" max="10501" width="7.140625" style="45" customWidth="1"/>
    <col min="10502" max="10502" width="0" style="45" hidden="1" customWidth="1"/>
    <col min="10503" max="10503" width="6.85546875" style="45" customWidth="1"/>
    <col min="10504" max="10504" width="9.28515625" style="45" customWidth="1"/>
    <col min="10505" max="10505" width="5.85546875" style="45" customWidth="1"/>
    <col min="10506" max="10506" width="0" style="45" hidden="1" customWidth="1"/>
    <col min="10507" max="10507" width="10" style="45" customWidth="1"/>
    <col min="10508" max="10513" width="0" style="45" hidden="1" customWidth="1"/>
    <col min="10514" max="10734" width="9.140625" style="45"/>
    <col min="10735" max="10735" width="4.140625" style="45" customWidth="1"/>
    <col min="10736" max="10736" width="15.5703125" style="45" customWidth="1"/>
    <col min="10737" max="10737" width="7.28515625" style="45" customWidth="1"/>
    <col min="10738" max="10738" width="4.85546875" style="45" customWidth="1"/>
    <col min="10739" max="10739" width="4.42578125" style="45" customWidth="1"/>
    <col min="10740" max="10745" width="0" style="45" hidden="1" customWidth="1"/>
    <col min="10746" max="10746" width="9" style="45" customWidth="1"/>
    <col min="10747" max="10747" width="4.85546875" style="45" customWidth="1"/>
    <col min="10748" max="10749" width="0" style="45" hidden="1" customWidth="1"/>
    <col min="10750" max="10751" width="4.85546875" style="45" customWidth="1"/>
    <col min="10752" max="10752" width="6.140625" style="45" customWidth="1"/>
    <col min="10753" max="10753" width="6.42578125" style="45" customWidth="1"/>
    <col min="10754" max="10754" width="4.85546875" style="45" customWidth="1"/>
    <col min="10755" max="10755" width="7.5703125" style="45" customWidth="1"/>
    <col min="10756" max="10756" width="0" style="45" hidden="1" customWidth="1"/>
    <col min="10757" max="10757" width="7.140625" style="45" customWidth="1"/>
    <col min="10758" max="10758" width="0" style="45" hidden="1" customWidth="1"/>
    <col min="10759" max="10759" width="6.85546875" style="45" customWidth="1"/>
    <col min="10760" max="10760" width="9.28515625" style="45" customWidth="1"/>
    <col min="10761" max="10761" width="5.85546875" style="45" customWidth="1"/>
    <col min="10762" max="10762" width="0" style="45" hidden="1" customWidth="1"/>
    <col min="10763" max="10763" width="10" style="45" customWidth="1"/>
    <col min="10764" max="10769" width="0" style="45" hidden="1" customWidth="1"/>
    <col min="10770" max="10990" width="9.140625" style="45"/>
    <col min="10991" max="10991" width="4.140625" style="45" customWidth="1"/>
    <col min="10992" max="10992" width="15.5703125" style="45" customWidth="1"/>
    <col min="10993" max="10993" width="7.28515625" style="45" customWidth="1"/>
    <col min="10994" max="10994" width="4.85546875" style="45" customWidth="1"/>
    <col min="10995" max="10995" width="4.42578125" style="45" customWidth="1"/>
    <col min="10996" max="11001" width="0" style="45" hidden="1" customWidth="1"/>
    <col min="11002" max="11002" width="9" style="45" customWidth="1"/>
    <col min="11003" max="11003" width="4.85546875" style="45" customWidth="1"/>
    <col min="11004" max="11005" width="0" style="45" hidden="1" customWidth="1"/>
    <col min="11006" max="11007" width="4.85546875" style="45" customWidth="1"/>
    <col min="11008" max="11008" width="6.140625" style="45" customWidth="1"/>
    <col min="11009" max="11009" width="6.42578125" style="45" customWidth="1"/>
    <col min="11010" max="11010" width="4.85546875" style="45" customWidth="1"/>
    <col min="11011" max="11011" width="7.5703125" style="45" customWidth="1"/>
    <col min="11012" max="11012" width="0" style="45" hidden="1" customWidth="1"/>
    <col min="11013" max="11013" width="7.140625" style="45" customWidth="1"/>
    <col min="11014" max="11014" width="0" style="45" hidden="1" customWidth="1"/>
    <col min="11015" max="11015" width="6.85546875" style="45" customWidth="1"/>
    <col min="11016" max="11016" width="9.28515625" style="45" customWidth="1"/>
    <col min="11017" max="11017" width="5.85546875" style="45" customWidth="1"/>
    <col min="11018" max="11018" width="0" style="45" hidden="1" customWidth="1"/>
    <col min="11019" max="11019" width="10" style="45" customWidth="1"/>
    <col min="11020" max="11025" width="0" style="45" hidden="1" customWidth="1"/>
    <col min="11026" max="11246" width="9.140625" style="45"/>
    <col min="11247" max="11247" width="4.140625" style="45" customWidth="1"/>
    <col min="11248" max="11248" width="15.5703125" style="45" customWidth="1"/>
    <col min="11249" max="11249" width="7.28515625" style="45" customWidth="1"/>
    <col min="11250" max="11250" width="4.85546875" style="45" customWidth="1"/>
    <col min="11251" max="11251" width="4.42578125" style="45" customWidth="1"/>
    <col min="11252" max="11257" width="0" style="45" hidden="1" customWidth="1"/>
    <col min="11258" max="11258" width="9" style="45" customWidth="1"/>
    <col min="11259" max="11259" width="4.85546875" style="45" customWidth="1"/>
    <col min="11260" max="11261" width="0" style="45" hidden="1" customWidth="1"/>
    <col min="11262" max="11263" width="4.85546875" style="45" customWidth="1"/>
    <col min="11264" max="11264" width="6.140625" style="45" customWidth="1"/>
    <col min="11265" max="11265" width="6.42578125" style="45" customWidth="1"/>
    <col min="11266" max="11266" width="4.85546875" style="45" customWidth="1"/>
    <col min="11267" max="11267" width="7.5703125" style="45" customWidth="1"/>
    <col min="11268" max="11268" width="0" style="45" hidden="1" customWidth="1"/>
    <col min="11269" max="11269" width="7.140625" style="45" customWidth="1"/>
    <col min="11270" max="11270" width="0" style="45" hidden="1" customWidth="1"/>
    <col min="11271" max="11271" width="6.85546875" style="45" customWidth="1"/>
    <col min="11272" max="11272" width="9.28515625" style="45" customWidth="1"/>
    <col min="11273" max="11273" width="5.85546875" style="45" customWidth="1"/>
    <col min="11274" max="11274" width="0" style="45" hidden="1" customWidth="1"/>
    <col min="11275" max="11275" width="10" style="45" customWidth="1"/>
    <col min="11276" max="11281" width="0" style="45" hidden="1" customWidth="1"/>
    <col min="11282" max="11502" width="9.140625" style="45"/>
    <col min="11503" max="11503" width="4.140625" style="45" customWidth="1"/>
    <col min="11504" max="11504" width="15.5703125" style="45" customWidth="1"/>
    <col min="11505" max="11505" width="7.28515625" style="45" customWidth="1"/>
    <col min="11506" max="11506" width="4.85546875" style="45" customWidth="1"/>
    <col min="11507" max="11507" width="4.42578125" style="45" customWidth="1"/>
    <col min="11508" max="11513" width="0" style="45" hidden="1" customWidth="1"/>
    <col min="11514" max="11514" width="9" style="45" customWidth="1"/>
    <col min="11515" max="11515" width="4.85546875" style="45" customWidth="1"/>
    <col min="11516" max="11517" width="0" style="45" hidden="1" customWidth="1"/>
    <col min="11518" max="11518" width="4.85546875" style="45" customWidth="1"/>
    <col min="11519" max="11519" width="4.85546875" customWidth="1"/>
    <col min="11520" max="11520" width="6.140625" customWidth="1"/>
    <col min="11521" max="11521" width="6.42578125" customWidth="1"/>
    <col min="11522" max="11522" width="4.85546875" customWidth="1"/>
    <col min="11523" max="11523" width="7.5703125" customWidth="1"/>
    <col min="11524" max="11524" width="0" hidden="1" customWidth="1"/>
    <col min="11525" max="11525" width="7.140625" customWidth="1"/>
    <col min="11526" max="11526" width="0" hidden="1" customWidth="1"/>
    <col min="11527" max="11527" width="6.85546875" customWidth="1"/>
    <col min="11528" max="11528" width="9.28515625" customWidth="1"/>
    <col min="11529" max="11529" width="5.85546875" customWidth="1"/>
    <col min="11530" max="11530" width="0" hidden="1" customWidth="1"/>
    <col min="11531" max="11531" width="10" customWidth="1"/>
    <col min="11532" max="11537" width="0" hidden="1" customWidth="1"/>
    <col min="11759" max="11759" width="4.140625" customWidth="1"/>
    <col min="11760" max="11760" width="15.5703125" customWidth="1"/>
    <col min="11761" max="11761" width="7.28515625" customWidth="1"/>
    <col min="11762" max="11762" width="4.85546875" customWidth="1"/>
    <col min="11763" max="11763" width="4.42578125" customWidth="1"/>
    <col min="11764" max="11769" width="0" hidden="1" customWidth="1"/>
    <col min="11770" max="11770" width="9" customWidth="1"/>
    <col min="11771" max="11771" width="4.85546875" customWidth="1"/>
    <col min="11772" max="11773" width="0" hidden="1" customWidth="1"/>
    <col min="11774" max="11775" width="4.85546875" customWidth="1"/>
    <col min="11776" max="11776" width="6.140625" customWidth="1"/>
    <col min="11777" max="11777" width="6.42578125" customWidth="1"/>
    <col min="11778" max="11778" width="4.85546875" customWidth="1"/>
    <col min="11779" max="11779" width="7.5703125" customWidth="1"/>
    <col min="11780" max="11780" width="0" hidden="1" customWidth="1"/>
    <col min="11781" max="11781" width="7.140625" customWidth="1"/>
    <col min="11782" max="11782" width="0" hidden="1" customWidth="1"/>
    <col min="11783" max="11783" width="6.85546875" customWidth="1"/>
    <col min="11784" max="11784" width="9.28515625" customWidth="1"/>
    <col min="11785" max="11785" width="5.85546875" customWidth="1"/>
    <col min="11786" max="11786" width="0" hidden="1" customWidth="1"/>
    <col min="11787" max="11787" width="10" customWidth="1"/>
    <col min="11788" max="11793" width="0" hidden="1" customWidth="1"/>
    <col min="12015" max="12015" width="4.140625" customWidth="1"/>
    <col min="12016" max="12016" width="15.5703125" customWidth="1"/>
    <col min="12017" max="12017" width="7.28515625" customWidth="1"/>
    <col min="12018" max="12018" width="4.85546875" customWidth="1"/>
    <col min="12019" max="12019" width="4.42578125" customWidth="1"/>
    <col min="12020" max="12025" width="0" hidden="1" customWidth="1"/>
    <col min="12026" max="12026" width="9" customWidth="1"/>
    <col min="12027" max="12027" width="4.85546875" customWidth="1"/>
    <col min="12028" max="12029" width="0" hidden="1" customWidth="1"/>
    <col min="12030" max="12031" width="4.85546875" customWidth="1"/>
    <col min="12032" max="12032" width="6.140625" customWidth="1"/>
    <col min="12033" max="12033" width="6.42578125" customWidth="1"/>
    <col min="12034" max="12034" width="4.85546875" customWidth="1"/>
    <col min="12035" max="12035" width="7.5703125" customWidth="1"/>
    <col min="12036" max="12036" width="0" hidden="1" customWidth="1"/>
    <col min="12037" max="12037" width="7.140625" customWidth="1"/>
    <col min="12038" max="12038" width="0" hidden="1" customWidth="1"/>
    <col min="12039" max="12039" width="6.85546875" customWidth="1"/>
    <col min="12040" max="12040" width="9.28515625" customWidth="1"/>
    <col min="12041" max="12041" width="5.85546875" customWidth="1"/>
    <col min="12042" max="12042" width="0" hidden="1" customWidth="1"/>
    <col min="12043" max="12043" width="10" customWidth="1"/>
    <col min="12044" max="12049" width="0" hidden="1" customWidth="1"/>
    <col min="12271" max="12271" width="4.140625" customWidth="1"/>
    <col min="12272" max="12272" width="15.5703125" customWidth="1"/>
    <col min="12273" max="12273" width="7.28515625" customWidth="1"/>
    <col min="12274" max="12274" width="4.85546875" customWidth="1"/>
    <col min="12275" max="12275" width="4.42578125" customWidth="1"/>
    <col min="12276" max="12281" width="0" hidden="1" customWidth="1"/>
    <col min="12282" max="12282" width="9" customWidth="1"/>
    <col min="12283" max="12283" width="4.85546875" customWidth="1"/>
    <col min="12284" max="12285" width="0" hidden="1" customWidth="1"/>
    <col min="12286" max="12287" width="4.85546875" customWidth="1"/>
    <col min="12288" max="12288" width="6.140625" customWidth="1"/>
    <col min="12289" max="12289" width="6.42578125" customWidth="1"/>
    <col min="12290" max="12290" width="4.85546875" customWidth="1"/>
    <col min="12291" max="12291" width="7.5703125" customWidth="1"/>
    <col min="12292" max="12292" width="0" hidden="1" customWidth="1"/>
    <col min="12293" max="12293" width="7.140625" customWidth="1"/>
    <col min="12294" max="12294" width="0" hidden="1" customWidth="1"/>
    <col min="12295" max="12295" width="6.85546875" customWidth="1"/>
    <col min="12296" max="12296" width="9.28515625" customWidth="1"/>
    <col min="12297" max="12297" width="5.85546875" customWidth="1"/>
    <col min="12298" max="12298" width="0" hidden="1" customWidth="1"/>
    <col min="12299" max="12299" width="10" customWidth="1"/>
    <col min="12300" max="12305" width="0" hidden="1" customWidth="1"/>
    <col min="12527" max="12527" width="4.140625" customWidth="1"/>
    <col min="12528" max="12528" width="15.5703125" customWidth="1"/>
    <col min="12529" max="12529" width="7.28515625" customWidth="1"/>
    <col min="12530" max="12530" width="4.85546875" customWidth="1"/>
    <col min="12531" max="12531" width="4.42578125" customWidth="1"/>
    <col min="12532" max="12537" width="0" hidden="1" customWidth="1"/>
    <col min="12538" max="12538" width="9" customWidth="1"/>
    <col min="12539" max="12539" width="4.85546875" customWidth="1"/>
    <col min="12540" max="12541" width="0" hidden="1" customWidth="1"/>
    <col min="12542" max="12543" width="4.85546875" customWidth="1"/>
    <col min="12544" max="12544" width="6.140625" customWidth="1"/>
    <col min="12545" max="12545" width="6.42578125" customWidth="1"/>
    <col min="12546" max="12546" width="4.85546875" customWidth="1"/>
    <col min="12547" max="12547" width="7.5703125" customWidth="1"/>
    <col min="12548" max="12548" width="0" hidden="1" customWidth="1"/>
    <col min="12549" max="12549" width="7.140625" customWidth="1"/>
    <col min="12550" max="12550" width="0" hidden="1" customWidth="1"/>
    <col min="12551" max="12551" width="6.85546875" customWidth="1"/>
    <col min="12552" max="12552" width="9.28515625" customWidth="1"/>
    <col min="12553" max="12553" width="5.85546875" customWidth="1"/>
    <col min="12554" max="12554" width="0" hidden="1" customWidth="1"/>
    <col min="12555" max="12555" width="10" customWidth="1"/>
    <col min="12556" max="12561" width="0" hidden="1" customWidth="1"/>
    <col min="12783" max="12783" width="4.140625" customWidth="1"/>
    <col min="12784" max="12784" width="15.5703125" customWidth="1"/>
    <col min="12785" max="12785" width="7.28515625" customWidth="1"/>
    <col min="12786" max="12786" width="4.85546875" customWidth="1"/>
    <col min="12787" max="12787" width="4.42578125" customWidth="1"/>
    <col min="12788" max="12793" width="0" hidden="1" customWidth="1"/>
    <col min="12794" max="12794" width="9" customWidth="1"/>
    <col min="12795" max="12795" width="4.85546875" customWidth="1"/>
    <col min="12796" max="12797" width="0" hidden="1" customWidth="1"/>
    <col min="12798" max="12799" width="4.85546875" customWidth="1"/>
    <col min="12800" max="12800" width="6.140625" customWidth="1"/>
    <col min="12801" max="12801" width="6.42578125" customWidth="1"/>
    <col min="12802" max="12802" width="4.85546875" customWidth="1"/>
    <col min="12803" max="12803" width="7.5703125" customWidth="1"/>
    <col min="12804" max="12804" width="0" hidden="1" customWidth="1"/>
    <col min="12805" max="12805" width="7.140625" customWidth="1"/>
    <col min="12806" max="12806" width="0" hidden="1" customWidth="1"/>
    <col min="12807" max="12807" width="6.85546875" customWidth="1"/>
    <col min="12808" max="12808" width="9.28515625" customWidth="1"/>
    <col min="12809" max="12809" width="5.85546875" customWidth="1"/>
    <col min="12810" max="12810" width="0" hidden="1" customWidth="1"/>
    <col min="12811" max="12811" width="10" customWidth="1"/>
    <col min="12812" max="12817" width="0" hidden="1" customWidth="1"/>
    <col min="13039" max="13039" width="4.140625" customWidth="1"/>
    <col min="13040" max="13040" width="15.5703125" customWidth="1"/>
    <col min="13041" max="13041" width="7.28515625" customWidth="1"/>
    <col min="13042" max="13042" width="4.85546875" customWidth="1"/>
    <col min="13043" max="13043" width="4.42578125" customWidth="1"/>
    <col min="13044" max="13049" width="0" hidden="1" customWidth="1"/>
    <col min="13050" max="13050" width="9" customWidth="1"/>
    <col min="13051" max="13051" width="4.85546875" customWidth="1"/>
    <col min="13052" max="13053" width="0" hidden="1" customWidth="1"/>
    <col min="13054" max="13055" width="4.85546875" customWidth="1"/>
    <col min="13056" max="13056" width="6.140625" customWidth="1"/>
    <col min="13057" max="13057" width="6.42578125" customWidth="1"/>
    <col min="13058" max="13058" width="4.85546875" customWidth="1"/>
    <col min="13059" max="13059" width="7.5703125" customWidth="1"/>
    <col min="13060" max="13060" width="0" hidden="1" customWidth="1"/>
    <col min="13061" max="13061" width="7.140625" customWidth="1"/>
    <col min="13062" max="13062" width="0" hidden="1" customWidth="1"/>
    <col min="13063" max="13063" width="6.85546875" customWidth="1"/>
    <col min="13064" max="13064" width="9.28515625" customWidth="1"/>
    <col min="13065" max="13065" width="5.85546875" customWidth="1"/>
    <col min="13066" max="13066" width="0" hidden="1" customWidth="1"/>
    <col min="13067" max="13067" width="10" customWidth="1"/>
    <col min="13068" max="13073" width="0" hidden="1" customWidth="1"/>
    <col min="13295" max="13295" width="4.140625" customWidth="1"/>
    <col min="13296" max="13296" width="15.5703125" customWidth="1"/>
    <col min="13297" max="13297" width="7.28515625" customWidth="1"/>
    <col min="13298" max="13298" width="4.85546875" customWidth="1"/>
    <col min="13299" max="13299" width="4.42578125" customWidth="1"/>
    <col min="13300" max="13305" width="0" hidden="1" customWidth="1"/>
    <col min="13306" max="13306" width="9" customWidth="1"/>
    <col min="13307" max="13307" width="4.85546875" customWidth="1"/>
    <col min="13308" max="13309" width="0" hidden="1" customWidth="1"/>
    <col min="13310" max="13311" width="4.85546875" customWidth="1"/>
    <col min="13312" max="13312" width="6.140625" customWidth="1"/>
    <col min="13313" max="13313" width="6.42578125" customWidth="1"/>
    <col min="13314" max="13314" width="4.85546875" customWidth="1"/>
    <col min="13315" max="13315" width="7.5703125" customWidth="1"/>
    <col min="13316" max="13316" width="0" hidden="1" customWidth="1"/>
    <col min="13317" max="13317" width="7.140625" customWidth="1"/>
    <col min="13318" max="13318" width="0" hidden="1" customWidth="1"/>
    <col min="13319" max="13319" width="6.85546875" customWidth="1"/>
    <col min="13320" max="13320" width="9.28515625" customWidth="1"/>
    <col min="13321" max="13321" width="5.85546875" customWidth="1"/>
    <col min="13322" max="13322" width="0" hidden="1" customWidth="1"/>
    <col min="13323" max="13323" width="10" customWidth="1"/>
    <col min="13324" max="13329" width="0" hidden="1" customWidth="1"/>
    <col min="13551" max="13551" width="4.140625" customWidth="1"/>
    <col min="13552" max="13552" width="15.5703125" customWidth="1"/>
    <col min="13553" max="13553" width="7.28515625" customWidth="1"/>
    <col min="13554" max="13554" width="4.85546875" customWidth="1"/>
    <col min="13555" max="13555" width="4.42578125" customWidth="1"/>
    <col min="13556" max="13561" width="0" hidden="1" customWidth="1"/>
    <col min="13562" max="13562" width="9" customWidth="1"/>
    <col min="13563" max="13563" width="4.85546875" customWidth="1"/>
    <col min="13564" max="13565" width="0" hidden="1" customWidth="1"/>
    <col min="13566" max="13567" width="4.85546875" customWidth="1"/>
    <col min="13568" max="13568" width="6.140625" customWidth="1"/>
    <col min="13569" max="13569" width="6.42578125" customWidth="1"/>
    <col min="13570" max="13570" width="4.85546875" customWidth="1"/>
    <col min="13571" max="13571" width="7.5703125" customWidth="1"/>
    <col min="13572" max="13572" width="0" hidden="1" customWidth="1"/>
    <col min="13573" max="13573" width="7.140625" customWidth="1"/>
    <col min="13574" max="13574" width="0" hidden="1" customWidth="1"/>
    <col min="13575" max="13575" width="6.85546875" customWidth="1"/>
    <col min="13576" max="13576" width="9.28515625" customWidth="1"/>
    <col min="13577" max="13577" width="5.85546875" customWidth="1"/>
    <col min="13578" max="13578" width="0" hidden="1" customWidth="1"/>
    <col min="13579" max="13579" width="10" customWidth="1"/>
    <col min="13580" max="13585" width="0" hidden="1" customWidth="1"/>
    <col min="13807" max="13807" width="4.140625" customWidth="1"/>
    <col min="13808" max="13808" width="15.5703125" customWidth="1"/>
    <col min="13809" max="13809" width="7.28515625" customWidth="1"/>
    <col min="13810" max="13810" width="4.85546875" customWidth="1"/>
    <col min="13811" max="13811" width="4.42578125" customWidth="1"/>
    <col min="13812" max="13817" width="0" hidden="1" customWidth="1"/>
    <col min="13818" max="13818" width="9" customWidth="1"/>
    <col min="13819" max="13819" width="4.85546875" customWidth="1"/>
    <col min="13820" max="13821" width="0" hidden="1" customWidth="1"/>
    <col min="13822" max="13823" width="4.85546875" customWidth="1"/>
    <col min="13824" max="13824" width="6.140625" customWidth="1"/>
    <col min="13825" max="13825" width="6.42578125" customWidth="1"/>
    <col min="13826" max="13826" width="4.85546875" customWidth="1"/>
    <col min="13827" max="13827" width="7.5703125" customWidth="1"/>
    <col min="13828" max="13828" width="0" hidden="1" customWidth="1"/>
    <col min="13829" max="13829" width="7.140625" customWidth="1"/>
    <col min="13830" max="13830" width="0" hidden="1" customWidth="1"/>
    <col min="13831" max="13831" width="6.85546875" customWidth="1"/>
    <col min="13832" max="13832" width="9.28515625" customWidth="1"/>
    <col min="13833" max="13833" width="5.85546875" customWidth="1"/>
    <col min="13834" max="13834" width="0" hidden="1" customWidth="1"/>
    <col min="13835" max="13835" width="10" customWidth="1"/>
    <col min="13836" max="13841" width="0" hidden="1" customWidth="1"/>
    <col min="14063" max="14063" width="4.140625" customWidth="1"/>
    <col min="14064" max="14064" width="15.5703125" customWidth="1"/>
    <col min="14065" max="14065" width="7.28515625" customWidth="1"/>
    <col min="14066" max="14066" width="4.85546875" customWidth="1"/>
    <col min="14067" max="14067" width="4.42578125" customWidth="1"/>
    <col min="14068" max="14073" width="0" hidden="1" customWidth="1"/>
    <col min="14074" max="14074" width="9" customWidth="1"/>
    <col min="14075" max="14075" width="4.85546875" customWidth="1"/>
    <col min="14076" max="14077" width="0" hidden="1" customWidth="1"/>
    <col min="14078" max="14079" width="4.85546875" customWidth="1"/>
    <col min="14080" max="14080" width="6.140625" customWidth="1"/>
    <col min="14081" max="14081" width="6.42578125" customWidth="1"/>
    <col min="14082" max="14082" width="4.85546875" customWidth="1"/>
    <col min="14083" max="14083" width="7.5703125" customWidth="1"/>
    <col min="14084" max="14084" width="0" hidden="1" customWidth="1"/>
    <col min="14085" max="14085" width="7.140625" customWidth="1"/>
    <col min="14086" max="14086" width="0" hidden="1" customWidth="1"/>
    <col min="14087" max="14087" width="6.85546875" customWidth="1"/>
    <col min="14088" max="14088" width="9.28515625" customWidth="1"/>
    <col min="14089" max="14089" width="5.85546875" customWidth="1"/>
    <col min="14090" max="14090" width="0" hidden="1" customWidth="1"/>
    <col min="14091" max="14091" width="10" customWidth="1"/>
    <col min="14092" max="14097" width="0" hidden="1" customWidth="1"/>
    <col min="14319" max="14319" width="4.140625" customWidth="1"/>
    <col min="14320" max="14320" width="15.5703125" customWidth="1"/>
    <col min="14321" max="14321" width="7.28515625" customWidth="1"/>
    <col min="14322" max="14322" width="4.85546875" customWidth="1"/>
    <col min="14323" max="14323" width="4.42578125" customWidth="1"/>
    <col min="14324" max="14329" width="0" hidden="1" customWidth="1"/>
    <col min="14330" max="14330" width="9" customWidth="1"/>
    <col min="14331" max="14331" width="4.85546875" customWidth="1"/>
    <col min="14332" max="14333" width="0" hidden="1" customWidth="1"/>
    <col min="14334" max="14335" width="4.85546875" customWidth="1"/>
    <col min="14336" max="14336" width="6.140625" customWidth="1"/>
    <col min="14337" max="14337" width="6.42578125" customWidth="1"/>
    <col min="14338" max="14338" width="4.85546875" customWidth="1"/>
    <col min="14339" max="14339" width="7.5703125" customWidth="1"/>
    <col min="14340" max="14340" width="0" hidden="1" customWidth="1"/>
    <col min="14341" max="14341" width="7.140625" customWidth="1"/>
    <col min="14342" max="14342" width="0" hidden="1" customWidth="1"/>
    <col min="14343" max="14343" width="6.85546875" customWidth="1"/>
    <col min="14344" max="14344" width="9.28515625" customWidth="1"/>
    <col min="14345" max="14345" width="5.85546875" customWidth="1"/>
    <col min="14346" max="14346" width="0" hidden="1" customWidth="1"/>
    <col min="14347" max="14347" width="10" customWidth="1"/>
    <col min="14348" max="14353" width="0" hidden="1" customWidth="1"/>
    <col min="14575" max="14575" width="4.140625" customWidth="1"/>
    <col min="14576" max="14576" width="15.5703125" customWidth="1"/>
    <col min="14577" max="14577" width="7.28515625" customWidth="1"/>
    <col min="14578" max="14578" width="4.85546875" customWidth="1"/>
    <col min="14579" max="14579" width="4.42578125" customWidth="1"/>
    <col min="14580" max="14585" width="0" hidden="1" customWidth="1"/>
    <col min="14586" max="14586" width="9" customWidth="1"/>
    <col min="14587" max="14587" width="4.85546875" customWidth="1"/>
    <col min="14588" max="14589" width="0" hidden="1" customWidth="1"/>
    <col min="14590" max="14591" width="4.85546875" customWidth="1"/>
    <col min="14592" max="14592" width="6.140625" customWidth="1"/>
    <col min="14593" max="14593" width="6.42578125" customWidth="1"/>
    <col min="14594" max="14594" width="4.85546875" customWidth="1"/>
    <col min="14595" max="14595" width="7.5703125" customWidth="1"/>
    <col min="14596" max="14596" width="0" hidden="1" customWidth="1"/>
    <col min="14597" max="14597" width="7.140625" customWidth="1"/>
    <col min="14598" max="14598" width="0" hidden="1" customWidth="1"/>
    <col min="14599" max="14599" width="6.85546875" customWidth="1"/>
    <col min="14600" max="14600" width="9.28515625" customWidth="1"/>
    <col min="14601" max="14601" width="5.85546875" customWidth="1"/>
    <col min="14602" max="14602" width="0" hidden="1" customWidth="1"/>
    <col min="14603" max="14603" width="10" customWidth="1"/>
    <col min="14604" max="14609" width="0" hidden="1" customWidth="1"/>
    <col min="14831" max="14831" width="4.140625" customWidth="1"/>
    <col min="14832" max="14832" width="15.5703125" customWidth="1"/>
    <col min="14833" max="14833" width="7.28515625" customWidth="1"/>
    <col min="14834" max="14834" width="4.85546875" customWidth="1"/>
    <col min="14835" max="14835" width="4.42578125" customWidth="1"/>
    <col min="14836" max="14841" width="0" hidden="1" customWidth="1"/>
    <col min="14842" max="14842" width="9" customWidth="1"/>
    <col min="14843" max="14843" width="4.85546875" customWidth="1"/>
    <col min="14844" max="14845" width="0" hidden="1" customWidth="1"/>
    <col min="14846" max="14847" width="4.85546875" customWidth="1"/>
    <col min="14848" max="14848" width="6.140625" customWidth="1"/>
    <col min="14849" max="14849" width="6.42578125" customWidth="1"/>
    <col min="14850" max="14850" width="4.85546875" customWidth="1"/>
    <col min="14851" max="14851" width="7.5703125" customWidth="1"/>
    <col min="14852" max="14852" width="0" hidden="1" customWidth="1"/>
    <col min="14853" max="14853" width="7.140625" customWidth="1"/>
    <col min="14854" max="14854" width="0" hidden="1" customWidth="1"/>
    <col min="14855" max="14855" width="6.85546875" customWidth="1"/>
    <col min="14856" max="14856" width="9.28515625" customWidth="1"/>
    <col min="14857" max="14857" width="5.85546875" customWidth="1"/>
    <col min="14858" max="14858" width="0" hidden="1" customWidth="1"/>
    <col min="14859" max="14859" width="10" customWidth="1"/>
    <col min="14860" max="14865" width="0" hidden="1" customWidth="1"/>
    <col min="15087" max="15087" width="4.140625" customWidth="1"/>
    <col min="15088" max="15088" width="15.5703125" customWidth="1"/>
    <col min="15089" max="15089" width="7.28515625" customWidth="1"/>
    <col min="15090" max="15090" width="4.85546875" customWidth="1"/>
    <col min="15091" max="15091" width="4.42578125" customWidth="1"/>
    <col min="15092" max="15097" width="0" hidden="1" customWidth="1"/>
    <col min="15098" max="15098" width="9" customWidth="1"/>
    <col min="15099" max="15099" width="4.85546875" customWidth="1"/>
    <col min="15100" max="15101" width="0" hidden="1" customWidth="1"/>
    <col min="15102" max="15103" width="4.85546875" customWidth="1"/>
    <col min="15104" max="15104" width="6.140625" customWidth="1"/>
    <col min="15105" max="15105" width="6.42578125" customWidth="1"/>
    <col min="15106" max="15106" width="4.85546875" customWidth="1"/>
    <col min="15107" max="15107" width="7.5703125" customWidth="1"/>
    <col min="15108" max="15108" width="0" hidden="1" customWidth="1"/>
    <col min="15109" max="15109" width="7.140625" customWidth="1"/>
    <col min="15110" max="15110" width="0" hidden="1" customWidth="1"/>
    <col min="15111" max="15111" width="6.85546875" customWidth="1"/>
    <col min="15112" max="15112" width="9.28515625" customWidth="1"/>
    <col min="15113" max="15113" width="5.85546875" customWidth="1"/>
    <col min="15114" max="15114" width="0" hidden="1" customWidth="1"/>
    <col min="15115" max="15115" width="10" customWidth="1"/>
    <col min="15116" max="15121" width="0" hidden="1" customWidth="1"/>
    <col min="15343" max="15343" width="4.140625" customWidth="1"/>
    <col min="15344" max="15344" width="15.5703125" customWidth="1"/>
    <col min="15345" max="15345" width="7.28515625" customWidth="1"/>
    <col min="15346" max="15346" width="4.85546875" customWidth="1"/>
    <col min="15347" max="15347" width="4.42578125" customWidth="1"/>
    <col min="15348" max="15353" width="0" hidden="1" customWidth="1"/>
    <col min="15354" max="15354" width="9" customWidth="1"/>
    <col min="15355" max="15355" width="4.85546875" customWidth="1"/>
    <col min="15356" max="15357" width="0" hidden="1" customWidth="1"/>
    <col min="15358" max="15359" width="4.85546875" customWidth="1"/>
    <col min="15360" max="15360" width="6.140625" customWidth="1"/>
    <col min="15361" max="15361" width="6.42578125" customWidth="1"/>
    <col min="15362" max="15362" width="4.85546875" customWidth="1"/>
    <col min="15363" max="15363" width="7.5703125" customWidth="1"/>
    <col min="15364" max="15364" width="0" hidden="1" customWidth="1"/>
    <col min="15365" max="15365" width="7.140625" customWidth="1"/>
    <col min="15366" max="15366" width="0" hidden="1" customWidth="1"/>
    <col min="15367" max="15367" width="6.85546875" customWidth="1"/>
    <col min="15368" max="15368" width="9.28515625" customWidth="1"/>
    <col min="15369" max="15369" width="5.85546875" customWidth="1"/>
    <col min="15370" max="15370" width="0" hidden="1" customWidth="1"/>
    <col min="15371" max="15371" width="10" customWidth="1"/>
    <col min="15372" max="15377" width="0" hidden="1" customWidth="1"/>
    <col min="15599" max="15599" width="4.140625" customWidth="1"/>
    <col min="15600" max="15600" width="15.5703125" customWidth="1"/>
    <col min="15601" max="15601" width="7.28515625" customWidth="1"/>
    <col min="15602" max="15602" width="4.85546875" customWidth="1"/>
    <col min="15603" max="15603" width="4.42578125" customWidth="1"/>
    <col min="15604" max="15609" width="0" hidden="1" customWidth="1"/>
    <col min="15610" max="15610" width="9" customWidth="1"/>
    <col min="15611" max="15611" width="4.85546875" customWidth="1"/>
    <col min="15612" max="15613" width="0" hidden="1" customWidth="1"/>
    <col min="15614" max="15615" width="4.85546875" customWidth="1"/>
    <col min="15616" max="15616" width="6.140625" customWidth="1"/>
    <col min="15617" max="15617" width="6.42578125" customWidth="1"/>
    <col min="15618" max="15618" width="4.85546875" customWidth="1"/>
    <col min="15619" max="15619" width="7.5703125" customWidth="1"/>
    <col min="15620" max="15620" width="0" hidden="1" customWidth="1"/>
    <col min="15621" max="15621" width="7.140625" customWidth="1"/>
    <col min="15622" max="15622" width="0" hidden="1" customWidth="1"/>
    <col min="15623" max="15623" width="6.85546875" customWidth="1"/>
    <col min="15624" max="15624" width="9.28515625" customWidth="1"/>
    <col min="15625" max="15625" width="5.85546875" customWidth="1"/>
    <col min="15626" max="15626" width="0" hidden="1" customWidth="1"/>
    <col min="15627" max="15627" width="10" customWidth="1"/>
    <col min="15628" max="15633" width="0" hidden="1" customWidth="1"/>
    <col min="15855" max="15855" width="4.140625" customWidth="1"/>
    <col min="15856" max="15856" width="15.5703125" customWidth="1"/>
    <col min="15857" max="15857" width="7.28515625" customWidth="1"/>
    <col min="15858" max="15858" width="4.85546875" customWidth="1"/>
    <col min="15859" max="15859" width="4.42578125" customWidth="1"/>
    <col min="15860" max="15865" width="0" hidden="1" customWidth="1"/>
    <col min="15866" max="15866" width="9" customWidth="1"/>
    <col min="15867" max="15867" width="4.85546875" customWidth="1"/>
    <col min="15868" max="15869" width="0" hidden="1" customWidth="1"/>
    <col min="15870" max="15871" width="4.85546875" customWidth="1"/>
    <col min="15872" max="15872" width="6.140625" customWidth="1"/>
    <col min="15873" max="15873" width="6.42578125" customWidth="1"/>
    <col min="15874" max="15874" width="4.85546875" customWidth="1"/>
    <col min="15875" max="15875" width="7.5703125" customWidth="1"/>
    <col min="15876" max="15876" width="0" hidden="1" customWidth="1"/>
    <col min="15877" max="15877" width="7.140625" customWidth="1"/>
    <col min="15878" max="15878" width="0" hidden="1" customWidth="1"/>
    <col min="15879" max="15879" width="6.85546875" customWidth="1"/>
    <col min="15880" max="15880" width="9.28515625" customWidth="1"/>
    <col min="15881" max="15881" width="5.85546875" customWidth="1"/>
    <col min="15882" max="15882" width="0" hidden="1" customWidth="1"/>
    <col min="15883" max="15883" width="10" customWidth="1"/>
    <col min="15884" max="15889" width="0" hidden="1" customWidth="1"/>
    <col min="16111" max="16111" width="4.140625" customWidth="1"/>
    <col min="16112" max="16112" width="15.5703125" customWidth="1"/>
    <col min="16113" max="16113" width="7.28515625" customWidth="1"/>
    <col min="16114" max="16114" width="4.85546875" customWidth="1"/>
    <col min="16115" max="16115" width="4.42578125" customWidth="1"/>
    <col min="16116" max="16121" width="0" hidden="1" customWidth="1"/>
    <col min="16122" max="16122" width="9" customWidth="1"/>
    <col min="16123" max="16123" width="4.85546875" customWidth="1"/>
    <col min="16124" max="16125" width="0" hidden="1" customWidth="1"/>
    <col min="16126" max="16127" width="4.85546875" customWidth="1"/>
    <col min="16128" max="16128" width="6.140625" customWidth="1"/>
    <col min="16129" max="16129" width="6.42578125" customWidth="1"/>
    <col min="16130" max="16130" width="4.85546875" customWidth="1"/>
    <col min="16131" max="16131" width="7.5703125" customWidth="1"/>
    <col min="16132" max="16132" width="0" hidden="1" customWidth="1"/>
    <col min="16133" max="16133" width="7.140625" customWidth="1"/>
    <col min="16134" max="16134" width="0" hidden="1" customWidth="1"/>
    <col min="16135" max="16135" width="6.85546875" customWidth="1"/>
    <col min="16136" max="16136" width="9.28515625" customWidth="1"/>
    <col min="16137" max="16137" width="5.85546875" customWidth="1"/>
    <col min="16138" max="16138" width="0" hidden="1" customWidth="1"/>
    <col min="16139" max="16139" width="10" customWidth="1"/>
    <col min="16140" max="16145" width="0" hidden="1" customWidth="1"/>
    <col min="16378" max="16384" width="9.140625" customWidth="1"/>
  </cols>
  <sheetData>
    <row r="1" spans="1:31 11519:16382" s="52" customFormat="1" ht="16.5">
      <c r="A1" s="116" t="s">
        <v>18</v>
      </c>
      <c r="B1" s="46"/>
      <c r="C1" s="47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8"/>
      <c r="T1" s="48"/>
      <c r="U1" s="46"/>
      <c r="V1" s="49"/>
      <c r="W1" s="46"/>
      <c r="X1" s="50"/>
      <c r="Y1" s="51"/>
      <c r="QAA1"/>
      <c r="QAB1"/>
      <c r="QAC1"/>
      <c r="QAD1"/>
      <c r="QAE1"/>
      <c r="QAF1"/>
      <c r="QAG1"/>
      <c r="QAH1"/>
      <c r="QAI1"/>
      <c r="QAJ1"/>
      <c r="QAK1"/>
      <c r="QAL1"/>
      <c r="QAM1"/>
      <c r="QAN1"/>
      <c r="QAO1"/>
      <c r="QAP1"/>
      <c r="QAQ1"/>
      <c r="QAR1"/>
      <c r="QAS1"/>
      <c r="QAT1"/>
      <c r="QAU1"/>
      <c r="QAV1"/>
      <c r="QAW1"/>
      <c r="QAX1"/>
      <c r="QAY1"/>
      <c r="QAZ1"/>
      <c r="QBA1"/>
      <c r="QBB1"/>
      <c r="QBC1"/>
      <c r="QBD1"/>
      <c r="QBE1"/>
      <c r="QBF1"/>
      <c r="QBG1"/>
      <c r="QBH1"/>
      <c r="QBI1"/>
      <c r="QBJ1"/>
      <c r="QBK1"/>
      <c r="QBL1"/>
      <c r="QBM1"/>
      <c r="QBN1"/>
      <c r="QBO1"/>
      <c r="QBP1"/>
      <c r="QBQ1"/>
      <c r="QBR1"/>
      <c r="QBS1"/>
      <c r="QBT1"/>
      <c r="QBU1"/>
      <c r="QBV1"/>
      <c r="QBW1"/>
      <c r="QBX1"/>
      <c r="QBY1"/>
      <c r="QBZ1"/>
      <c r="QCA1"/>
      <c r="QCB1"/>
      <c r="QCC1"/>
      <c r="QCD1"/>
      <c r="QCE1"/>
      <c r="QCF1"/>
      <c r="QCG1"/>
      <c r="QCH1"/>
      <c r="QCI1"/>
      <c r="QCJ1"/>
      <c r="QCK1"/>
      <c r="QCL1"/>
      <c r="QCM1"/>
      <c r="QCN1"/>
      <c r="QCO1"/>
      <c r="QCP1"/>
      <c r="QCQ1"/>
      <c r="QCR1"/>
      <c r="QCS1"/>
      <c r="QCT1"/>
      <c r="QCU1"/>
      <c r="QCV1"/>
      <c r="QCW1"/>
      <c r="QCX1"/>
      <c r="QCY1"/>
      <c r="QCZ1"/>
      <c r="QDA1"/>
      <c r="QDB1"/>
      <c r="QDC1"/>
      <c r="QDD1"/>
      <c r="QDE1"/>
      <c r="QDF1"/>
      <c r="QDG1"/>
      <c r="QDH1"/>
      <c r="QDI1"/>
      <c r="QDJ1"/>
      <c r="QDK1"/>
      <c r="QDL1"/>
      <c r="QDM1"/>
      <c r="QDN1"/>
      <c r="QDO1"/>
      <c r="QDP1"/>
      <c r="QDQ1"/>
      <c r="QDR1"/>
      <c r="QDS1"/>
      <c r="QDT1"/>
      <c r="QDU1"/>
      <c r="QDV1"/>
      <c r="QDW1"/>
      <c r="QDX1"/>
      <c r="QDY1"/>
      <c r="QDZ1"/>
      <c r="QEA1"/>
      <c r="QEB1"/>
      <c r="QEC1"/>
      <c r="QED1"/>
      <c r="QEE1"/>
      <c r="QEF1"/>
      <c r="QEG1"/>
      <c r="QEH1"/>
      <c r="QEI1"/>
      <c r="QEJ1"/>
      <c r="QEK1"/>
      <c r="QEL1"/>
      <c r="QEM1"/>
      <c r="QEN1"/>
      <c r="QEO1"/>
      <c r="QEP1"/>
      <c r="QEQ1"/>
      <c r="QER1"/>
      <c r="QES1"/>
      <c r="QET1"/>
      <c r="QEU1"/>
      <c r="QEV1"/>
      <c r="QEW1"/>
      <c r="QEX1"/>
      <c r="QEY1"/>
      <c r="QEZ1"/>
      <c r="QFA1"/>
      <c r="QFB1"/>
      <c r="QFC1"/>
      <c r="QFD1"/>
      <c r="QFE1"/>
      <c r="QFF1"/>
      <c r="QFG1"/>
      <c r="QFH1"/>
      <c r="QFI1"/>
      <c r="QFJ1"/>
      <c r="QFK1"/>
      <c r="QFL1"/>
      <c r="QFM1"/>
      <c r="QFN1"/>
      <c r="QFO1"/>
      <c r="QFP1"/>
      <c r="QFQ1"/>
      <c r="QFR1"/>
      <c r="QFS1"/>
      <c r="QFT1"/>
      <c r="QFU1"/>
      <c r="QFV1"/>
      <c r="QFW1"/>
      <c r="QFX1"/>
      <c r="QFY1"/>
      <c r="QFZ1"/>
      <c r="QGA1"/>
      <c r="QGB1"/>
      <c r="QGC1"/>
      <c r="QGD1"/>
      <c r="QGE1"/>
      <c r="QGF1"/>
      <c r="QGG1"/>
      <c r="QGH1"/>
      <c r="QGI1"/>
      <c r="QGJ1"/>
      <c r="QGK1"/>
      <c r="QGL1"/>
      <c r="QGM1"/>
      <c r="QGN1"/>
      <c r="QGO1"/>
      <c r="QGP1"/>
      <c r="QGQ1"/>
      <c r="QGR1"/>
      <c r="QGS1"/>
      <c r="QGT1"/>
      <c r="QGU1"/>
      <c r="QGV1"/>
      <c r="QGW1"/>
      <c r="QGX1"/>
      <c r="QGY1"/>
      <c r="QGZ1"/>
      <c r="QHA1"/>
      <c r="QHB1"/>
      <c r="QHC1"/>
      <c r="QHD1"/>
      <c r="QHE1"/>
      <c r="QHF1"/>
      <c r="QHG1"/>
      <c r="QHH1"/>
      <c r="QHI1"/>
      <c r="QHJ1"/>
      <c r="QHK1"/>
      <c r="QHL1"/>
      <c r="QHM1"/>
      <c r="QHN1"/>
      <c r="QHO1"/>
      <c r="QHP1"/>
      <c r="QHQ1"/>
      <c r="QHR1"/>
      <c r="QHS1"/>
      <c r="QHT1"/>
      <c r="QHU1"/>
      <c r="QHV1"/>
      <c r="QHW1"/>
      <c r="QHX1"/>
      <c r="QHY1"/>
      <c r="QHZ1"/>
      <c r="QIA1"/>
      <c r="QIB1"/>
      <c r="QIC1"/>
      <c r="QID1"/>
      <c r="QIE1"/>
      <c r="QIF1"/>
      <c r="QIG1"/>
      <c r="QIH1"/>
      <c r="QII1"/>
      <c r="QIJ1"/>
      <c r="QIK1"/>
      <c r="QIL1"/>
      <c r="QIM1"/>
      <c r="QIN1"/>
      <c r="QIO1"/>
      <c r="QIP1"/>
      <c r="QIQ1"/>
      <c r="QIR1"/>
      <c r="QIS1"/>
      <c r="QIT1"/>
      <c r="QIU1"/>
      <c r="QIV1"/>
      <c r="QIW1"/>
      <c r="QIX1"/>
      <c r="QIY1"/>
      <c r="QIZ1"/>
      <c r="QJA1"/>
      <c r="QJB1"/>
      <c r="QJC1"/>
      <c r="QJD1"/>
      <c r="QJE1"/>
      <c r="QJF1"/>
      <c r="QJG1"/>
      <c r="QJH1"/>
      <c r="QJI1"/>
      <c r="QJJ1"/>
      <c r="QJK1"/>
      <c r="QJL1"/>
      <c r="QJM1"/>
      <c r="QJN1"/>
      <c r="QJO1"/>
      <c r="QJP1"/>
      <c r="QJQ1"/>
      <c r="QJR1"/>
      <c r="QJS1"/>
      <c r="QJT1"/>
      <c r="QJU1"/>
      <c r="QJV1"/>
      <c r="QJW1"/>
      <c r="QJX1"/>
      <c r="QJY1"/>
      <c r="QJZ1"/>
      <c r="QKA1"/>
      <c r="QKB1"/>
      <c r="QKC1"/>
      <c r="QKD1"/>
      <c r="QKE1"/>
      <c r="QKF1"/>
      <c r="QKG1"/>
      <c r="QKH1"/>
      <c r="QKI1"/>
      <c r="QKJ1"/>
      <c r="QKK1"/>
      <c r="QKL1"/>
      <c r="QKM1"/>
      <c r="QKN1"/>
      <c r="QKO1"/>
      <c r="QKP1"/>
      <c r="QKQ1"/>
      <c r="QKR1"/>
      <c r="QKS1"/>
      <c r="QKT1"/>
      <c r="QKU1"/>
      <c r="QKV1"/>
      <c r="QKW1"/>
      <c r="QKX1"/>
      <c r="QKY1"/>
      <c r="QKZ1"/>
      <c r="QLA1"/>
      <c r="QLB1"/>
      <c r="QLC1"/>
      <c r="QLD1"/>
      <c r="QLE1"/>
      <c r="QLF1"/>
      <c r="QLG1"/>
      <c r="QLH1"/>
      <c r="QLI1"/>
      <c r="QLJ1"/>
      <c r="QLK1"/>
      <c r="QLL1"/>
      <c r="QLM1"/>
      <c r="QLN1"/>
      <c r="QLO1"/>
      <c r="QLP1"/>
      <c r="QLQ1"/>
      <c r="QLR1"/>
      <c r="QLS1"/>
      <c r="QLT1"/>
      <c r="QLU1"/>
      <c r="QLV1"/>
      <c r="QLW1"/>
      <c r="QLX1"/>
      <c r="QLY1"/>
      <c r="QLZ1"/>
      <c r="QMA1"/>
      <c r="QMB1"/>
      <c r="QMC1"/>
      <c r="QMD1"/>
      <c r="QME1"/>
      <c r="QMF1"/>
      <c r="QMG1"/>
      <c r="QMH1"/>
      <c r="QMI1"/>
      <c r="QMJ1"/>
      <c r="QMK1"/>
      <c r="QML1"/>
      <c r="QMM1"/>
      <c r="QMN1"/>
      <c r="QMO1"/>
      <c r="QMP1"/>
      <c r="QMQ1"/>
      <c r="QMR1"/>
      <c r="QMS1"/>
      <c r="QMT1"/>
      <c r="QMU1"/>
      <c r="QMV1"/>
      <c r="QMW1"/>
      <c r="QMX1"/>
      <c r="QMY1"/>
      <c r="QMZ1"/>
      <c r="QNA1"/>
      <c r="QNB1"/>
      <c r="QNC1"/>
      <c r="QND1"/>
      <c r="QNE1"/>
      <c r="QNF1"/>
      <c r="QNG1"/>
      <c r="QNH1"/>
      <c r="QNI1"/>
      <c r="QNJ1"/>
      <c r="QNK1"/>
      <c r="QNL1"/>
      <c r="QNM1"/>
      <c r="QNN1"/>
      <c r="QNO1"/>
      <c r="QNP1"/>
      <c r="QNQ1"/>
      <c r="QNR1"/>
      <c r="QNS1"/>
      <c r="QNT1"/>
      <c r="QNU1"/>
      <c r="QNV1"/>
      <c r="QNW1"/>
      <c r="QNX1"/>
      <c r="QNY1"/>
      <c r="QNZ1"/>
      <c r="QOA1"/>
      <c r="QOB1"/>
      <c r="QOC1"/>
      <c r="QOD1"/>
      <c r="QOE1"/>
      <c r="QOF1"/>
      <c r="QOG1"/>
      <c r="QOH1"/>
      <c r="QOI1"/>
      <c r="QOJ1"/>
      <c r="QOK1"/>
      <c r="QOL1"/>
      <c r="QOM1"/>
      <c r="QON1"/>
      <c r="QOO1"/>
      <c r="QOP1"/>
      <c r="QOQ1"/>
      <c r="QOR1"/>
      <c r="QOS1"/>
      <c r="QOT1"/>
      <c r="QOU1"/>
      <c r="QOV1"/>
      <c r="QOW1"/>
      <c r="QOX1"/>
      <c r="QOY1"/>
      <c r="QOZ1"/>
      <c r="QPA1"/>
      <c r="QPB1"/>
      <c r="QPC1"/>
      <c r="QPD1"/>
      <c r="QPE1"/>
      <c r="QPF1"/>
      <c r="QPG1"/>
      <c r="QPH1"/>
      <c r="QPI1"/>
      <c r="QPJ1"/>
      <c r="QPK1"/>
      <c r="QPL1"/>
      <c r="QPM1"/>
      <c r="QPN1"/>
      <c r="QPO1"/>
      <c r="QPP1"/>
      <c r="QPQ1"/>
      <c r="QPR1"/>
      <c r="QPS1"/>
      <c r="QPT1"/>
      <c r="QPU1"/>
      <c r="QPV1"/>
      <c r="QPW1"/>
      <c r="QPX1"/>
      <c r="QPY1"/>
      <c r="QPZ1"/>
      <c r="QQA1"/>
      <c r="QQB1"/>
      <c r="QQC1"/>
      <c r="QQD1"/>
      <c r="QQE1"/>
      <c r="QQF1"/>
      <c r="QQG1"/>
      <c r="QQH1"/>
      <c r="QQI1"/>
      <c r="QQJ1"/>
      <c r="QQK1"/>
      <c r="QQL1"/>
      <c r="QQM1"/>
      <c r="QQN1"/>
      <c r="QQO1"/>
      <c r="QQP1"/>
      <c r="QQQ1"/>
      <c r="QQR1"/>
      <c r="QQS1"/>
      <c r="QQT1"/>
      <c r="QQU1"/>
      <c r="QQV1"/>
      <c r="QQW1"/>
      <c r="QQX1"/>
      <c r="QQY1"/>
      <c r="QQZ1"/>
      <c r="QRA1"/>
      <c r="QRB1"/>
      <c r="QRC1"/>
      <c r="QRD1"/>
      <c r="QRE1"/>
      <c r="QRF1"/>
      <c r="QRG1"/>
      <c r="QRH1"/>
      <c r="QRI1"/>
      <c r="QRJ1"/>
      <c r="QRK1"/>
      <c r="QRL1"/>
      <c r="QRM1"/>
      <c r="QRN1"/>
      <c r="QRO1"/>
      <c r="QRP1"/>
      <c r="QRQ1"/>
      <c r="QRR1"/>
      <c r="QRS1"/>
      <c r="QRT1"/>
      <c r="QRU1"/>
      <c r="QRV1"/>
      <c r="QRW1"/>
      <c r="QRX1"/>
      <c r="QRY1"/>
      <c r="QRZ1"/>
      <c r="QSA1"/>
      <c r="QSB1"/>
      <c r="QSC1"/>
      <c r="QSD1"/>
      <c r="QSE1"/>
      <c r="QSF1"/>
      <c r="QSG1"/>
      <c r="QSH1"/>
      <c r="QSI1"/>
      <c r="QSJ1"/>
      <c r="QSK1"/>
      <c r="QSL1"/>
      <c r="QSM1"/>
      <c r="QSN1"/>
      <c r="QSO1"/>
      <c r="QSP1"/>
      <c r="QSQ1"/>
      <c r="QSR1"/>
      <c r="QSS1"/>
      <c r="QST1"/>
      <c r="QSU1"/>
      <c r="QSV1"/>
      <c r="QSW1"/>
      <c r="QSX1"/>
      <c r="QSY1"/>
      <c r="QSZ1"/>
      <c r="QTA1"/>
      <c r="QTB1"/>
      <c r="QTC1"/>
      <c r="QTD1"/>
      <c r="QTE1"/>
      <c r="QTF1"/>
      <c r="QTG1"/>
      <c r="QTH1"/>
      <c r="QTI1"/>
      <c r="QTJ1"/>
      <c r="QTK1"/>
      <c r="QTL1"/>
      <c r="QTM1"/>
      <c r="QTN1"/>
      <c r="QTO1"/>
      <c r="QTP1"/>
      <c r="QTQ1"/>
      <c r="QTR1"/>
      <c r="QTS1"/>
      <c r="QTT1"/>
      <c r="QTU1"/>
      <c r="QTV1"/>
      <c r="QTW1"/>
      <c r="QTX1"/>
      <c r="QTY1"/>
      <c r="QTZ1"/>
      <c r="QUA1"/>
      <c r="QUB1"/>
      <c r="QUC1"/>
      <c r="QUD1"/>
      <c r="QUE1"/>
      <c r="QUF1"/>
      <c r="QUG1"/>
      <c r="QUH1"/>
      <c r="QUI1"/>
      <c r="QUJ1"/>
      <c r="QUK1"/>
      <c r="QUL1"/>
      <c r="QUM1"/>
      <c r="QUN1"/>
      <c r="QUO1"/>
      <c r="QUP1"/>
      <c r="QUQ1"/>
      <c r="QUR1"/>
      <c r="QUS1"/>
      <c r="QUT1"/>
      <c r="QUU1"/>
      <c r="QUV1"/>
      <c r="QUW1"/>
      <c r="QUX1"/>
      <c r="QUY1"/>
      <c r="QUZ1"/>
      <c r="QVA1"/>
      <c r="QVB1"/>
      <c r="QVC1"/>
      <c r="QVD1"/>
      <c r="QVE1"/>
      <c r="QVF1"/>
      <c r="QVG1"/>
      <c r="QVH1"/>
      <c r="QVI1"/>
      <c r="QVJ1"/>
      <c r="QVK1"/>
      <c r="QVL1"/>
      <c r="QVM1"/>
      <c r="QVN1"/>
      <c r="QVO1"/>
      <c r="QVP1"/>
      <c r="QVQ1"/>
      <c r="QVR1"/>
      <c r="QVS1"/>
      <c r="QVT1"/>
      <c r="QVU1"/>
      <c r="QVV1"/>
      <c r="QVW1"/>
      <c r="QVX1"/>
      <c r="QVY1"/>
      <c r="QVZ1"/>
      <c r="QWA1"/>
      <c r="QWB1"/>
      <c r="QWC1"/>
      <c r="QWD1"/>
      <c r="QWE1"/>
      <c r="QWF1"/>
      <c r="QWG1"/>
      <c r="QWH1"/>
      <c r="QWI1"/>
      <c r="QWJ1"/>
      <c r="QWK1"/>
      <c r="QWL1"/>
      <c r="QWM1"/>
      <c r="QWN1"/>
      <c r="QWO1"/>
      <c r="QWP1"/>
      <c r="QWQ1"/>
      <c r="QWR1"/>
      <c r="QWS1"/>
      <c r="QWT1"/>
      <c r="QWU1"/>
      <c r="QWV1"/>
      <c r="QWW1"/>
      <c r="QWX1"/>
      <c r="QWY1"/>
      <c r="QWZ1"/>
      <c r="QXA1"/>
      <c r="QXB1"/>
      <c r="QXC1"/>
      <c r="QXD1"/>
      <c r="QXE1"/>
      <c r="QXF1"/>
      <c r="QXG1"/>
      <c r="QXH1"/>
      <c r="QXI1"/>
      <c r="QXJ1"/>
      <c r="QXK1"/>
      <c r="QXL1"/>
      <c r="QXM1"/>
      <c r="QXN1"/>
      <c r="QXO1"/>
      <c r="QXP1"/>
      <c r="QXQ1"/>
      <c r="QXR1"/>
      <c r="QXS1"/>
      <c r="QXT1"/>
      <c r="QXU1"/>
      <c r="QXV1"/>
      <c r="QXW1"/>
      <c r="QXX1"/>
      <c r="QXY1"/>
      <c r="QXZ1"/>
      <c r="QYA1"/>
      <c r="QYB1"/>
      <c r="QYC1"/>
      <c r="QYD1"/>
      <c r="QYE1"/>
      <c r="QYF1"/>
      <c r="QYG1"/>
      <c r="QYH1"/>
      <c r="QYI1"/>
      <c r="QYJ1"/>
      <c r="QYK1"/>
      <c r="QYL1"/>
      <c r="QYM1"/>
      <c r="QYN1"/>
      <c r="QYO1"/>
      <c r="QYP1"/>
      <c r="QYQ1"/>
      <c r="QYR1"/>
      <c r="QYS1"/>
      <c r="QYT1"/>
      <c r="QYU1"/>
      <c r="QYV1"/>
      <c r="QYW1"/>
      <c r="QYX1"/>
      <c r="QYY1"/>
      <c r="QYZ1"/>
      <c r="QZA1"/>
      <c r="QZB1"/>
      <c r="QZC1"/>
      <c r="QZD1"/>
      <c r="QZE1"/>
      <c r="QZF1"/>
      <c r="QZG1"/>
      <c r="QZH1"/>
      <c r="QZI1"/>
      <c r="QZJ1"/>
      <c r="QZK1"/>
      <c r="QZL1"/>
      <c r="QZM1"/>
      <c r="QZN1"/>
      <c r="QZO1"/>
      <c r="QZP1"/>
      <c r="QZQ1"/>
      <c r="QZR1"/>
      <c r="QZS1"/>
      <c r="QZT1"/>
      <c r="QZU1"/>
      <c r="QZV1"/>
      <c r="QZW1"/>
      <c r="QZX1"/>
      <c r="QZY1"/>
      <c r="QZZ1"/>
      <c r="RAA1"/>
      <c r="RAB1"/>
      <c r="RAC1"/>
      <c r="RAD1"/>
      <c r="RAE1"/>
      <c r="RAF1"/>
      <c r="RAG1"/>
      <c r="RAH1"/>
      <c r="RAI1"/>
      <c r="RAJ1"/>
      <c r="RAK1"/>
      <c r="RAL1"/>
      <c r="RAM1"/>
      <c r="RAN1"/>
      <c r="RAO1"/>
      <c r="RAP1"/>
      <c r="RAQ1"/>
      <c r="RAR1"/>
      <c r="RAS1"/>
      <c r="RAT1"/>
      <c r="RAU1"/>
      <c r="RAV1"/>
      <c r="RAW1"/>
      <c r="RAX1"/>
      <c r="RAY1"/>
      <c r="RAZ1"/>
      <c r="RBA1"/>
      <c r="RBB1"/>
      <c r="RBC1"/>
      <c r="RBD1"/>
      <c r="RBE1"/>
      <c r="RBF1"/>
      <c r="RBG1"/>
      <c r="RBH1"/>
      <c r="RBI1"/>
      <c r="RBJ1"/>
      <c r="RBK1"/>
      <c r="RBL1"/>
      <c r="RBM1"/>
      <c r="RBN1"/>
      <c r="RBO1"/>
      <c r="RBP1"/>
      <c r="RBQ1"/>
      <c r="RBR1"/>
      <c r="RBS1"/>
      <c r="RBT1"/>
      <c r="RBU1"/>
      <c r="RBV1"/>
      <c r="RBW1"/>
      <c r="RBX1"/>
      <c r="RBY1"/>
      <c r="RBZ1"/>
      <c r="RCA1"/>
      <c r="RCB1"/>
      <c r="RCC1"/>
      <c r="RCD1"/>
      <c r="RCE1"/>
      <c r="RCF1"/>
      <c r="RCG1"/>
      <c r="RCH1"/>
      <c r="RCI1"/>
      <c r="RCJ1"/>
      <c r="RCK1"/>
      <c r="RCL1"/>
      <c r="RCM1"/>
      <c r="RCN1"/>
      <c r="RCO1"/>
      <c r="RCP1"/>
      <c r="RCQ1"/>
      <c r="RCR1"/>
      <c r="RCS1"/>
      <c r="RCT1"/>
      <c r="RCU1"/>
      <c r="RCV1"/>
      <c r="RCW1"/>
      <c r="RCX1"/>
      <c r="RCY1"/>
      <c r="RCZ1"/>
      <c r="RDA1"/>
      <c r="RDB1"/>
      <c r="RDC1"/>
      <c r="RDD1"/>
      <c r="RDE1"/>
      <c r="RDF1"/>
      <c r="RDG1"/>
      <c r="RDH1"/>
      <c r="RDI1"/>
      <c r="RDJ1"/>
      <c r="RDK1"/>
      <c r="RDL1"/>
      <c r="RDM1"/>
      <c r="RDN1"/>
      <c r="RDO1"/>
      <c r="RDP1"/>
      <c r="RDQ1"/>
      <c r="RDR1"/>
      <c r="RDS1"/>
      <c r="RDT1"/>
      <c r="RDU1"/>
      <c r="RDV1"/>
      <c r="RDW1"/>
      <c r="RDX1"/>
      <c r="RDY1"/>
      <c r="RDZ1"/>
      <c r="REA1"/>
      <c r="REB1"/>
      <c r="REC1"/>
      <c r="RED1"/>
      <c r="REE1"/>
      <c r="REF1"/>
      <c r="REG1"/>
      <c r="REH1"/>
      <c r="REI1"/>
      <c r="REJ1"/>
      <c r="REK1"/>
      <c r="REL1"/>
      <c r="REM1"/>
      <c r="REN1"/>
      <c r="REO1"/>
      <c r="REP1"/>
      <c r="REQ1"/>
      <c r="RER1"/>
      <c r="RES1"/>
      <c r="RET1"/>
      <c r="REU1"/>
      <c r="REV1"/>
      <c r="REW1"/>
      <c r="REX1"/>
      <c r="REY1"/>
      <c r="REZ1"/>
      <c r="RFA1"/>
      <c r="RFB1"/>
      <c r="RFC1"/>
      <c r="RFD1"/>
      <c r="RFE1"/>
      <c r="RFF1"/>
      <c r="RFG1"/>
      <c r="RFH1"/>
      <c r="RFI1"/>
      <c r="RFJ1"/>
      <c r="RFK1"/>
      <c r="RFL1"/>
      <c r="RFM1"/>
      <c r="RFN1"/>
      <c r="RFO1"/>
      <c r="RFP1"/>
      <c r="RFQ1"/>
      <c r="RFR1"/>
      <c r="RFS1"/>
      <c r="RFT1"/>
      <c r="RFU1"/>
      <c r="RFV1"/>
      <c r="RFW1"/>
      <c r="RFX1"/>
      <c r="RFY1"/>
      <c r="RFZ1"/>
      <c r="RGA1"/>
      <c r="RGB1"/>
      <c r="RGC1"/>
      <c r="RGD1"/>
      <c r="RGE1"/>
      <c r="RGF1"/>
      <c r="RGG1"/>
      <c r="RGH1"/>
      <c r="RGI1"/>
      <c r="RGJ1"/>
      <c r="RGK1"/>
      <c r="RGL1"/>
      <c r="RGM1"/>
      <c r="RGN1"/>
      <c r="RGO1"/>
      <c r="RGP1"/>
      <c r="RGQ1"/>
      <c r="RGR1"/>
      <c r="RGS1"/>
      <c r="RGT1"/>
      <c r="RGU1"/>
      <c r="RGV1"/>
      <c r="RGW1"/>
      <c r="RGX1"/>
      <c r="RGY1"/>
      <c r="RGZ1"/>
      <c r="RHA1"/>
      <c r="RHB1"/>
      <c r="RHC1"/>
      <c r="RHD1"/>
      <c r="RHE1"/>
      <c r="RHF1"/>
      <c r="RHG1"/>
      <c r="RHH1"/>
      <c r="RHI1"/>
      <c r="RHJ1"/>
      <c r="RHK1"/>
      <c r="RHL1"/>
      <c r="RHM1"/>
      <c r="RHN1"/>
      <c r="RHO1"/>
      <c r="RHP1"/>
      <c r="RHQ1"/>
      <c r="RHR1"/>
      <c r="RHS1"/>
      <c r="RHT1"/>
      <c r="RHU1"/>
      <c r="RHV1"/>
      <c r="RHW1"/>
      <c r="RHX1"/>
      <c r="RHY1"/>
      <c r="RHZ1"/>
      <c r="RIA1"/>
      <c r="RIB1"/>
      <c r="RIC1"/>
      <c r="RID1"/>
      <c r="RIE1"/>
      <c r="RIF1"/>
      <c r="RIG1"/>
      <c r="RIH1"/>
      <c r="RII1"/>
      <c r="RIJ1"/>
      <c r="RIK1"/>
      <c r="RIL1"/>
      <c r="RIM1"/>
      <c r="RIN1"/>
      <c r="RIO1"/>
      <c r="RIP1"/>
      <c r="RIQ1"/>
      <c r="RIR1"/>
      <c r="RIS1"/>
      <c r="RIT1"/>
      <c r="RIU1"/>
      <c r="RIV1"/>
      <c r="RIW1"/>
      <c r="RIX1"/>
      <c r="RIY1"/>
      <c r="RIZ1"/>
      <c r="RJA1"/>
      <c r="RJB1"/>
      <c r="RJC1"/>
      <c r="RJD1"/>
      <c r="RJE1"/>
      <c r="RJF1"/>
      <c r="RJG1"/>
      <c r="RJH1"/>
      <c r="RJI1"/>
      <c r="RJJ1"/>
      <c r="RJK1"/>
      <c r="RJL1"/>
      <c r="RJM1"/>
      <c r="RJN1"/>
      <c r="RJO1"/>
      <c r="RJP1"/>
      <c r="RJQ1"/>
      <c r="RJR1"/>
      <c r="RJS1"/>
      <c r="RJT1"/>
      <c r="RJU1"/>
      <c r="RJV1"/>
      <c r="RJW1"/>
      <c r="RJX1"/>
      <c r="RJY1"/>
      <c r="RJZ1"/>
      <c r="RKA1"/>
      <c r="RKB1"/>
      <c r="RKC1"/>
      <c r="RKD1"/>
      <c r="RKE1"/>
      <c r="RKF1"/>
      <c r="RKG1"/>
      <c r="RKH1"/>
      <c r="RKI1"/>
      <c r="RKJ1"/>
      <c r="RKK1"/>
      <c r="RKL1"/>
      <c r="RKM1"/>
      <c r="RKN1"/>
      <c r="RKO1"/>
      <c r="RKP1"/>
      <c r="RKQ1"/>
      <c r="RKR1"/>
      <c r="RKS1"/>
      <c r="RKT1"/>
      <c r="RKU1"/>
      <c r="RKV1"/>
      <c r="RKW1"/>
      <c r="RKX1"/>
      <c r="RKY1"/>
      <c r="RKZ1"/>
      <c r="RLA1"/>
      <c r="RLB1"/>
      <c r="RLC1"/>
      <c r="RLD1"/>
      <c r="RLE1"/>
      <c r="RLF1"/>
      <c r="RLG1"/>
      <c r="RLH1"/>
      <c r="RLI1"/>
      <c r="RLJ1"/>
      <c r="RLK1"/>
      <c r="RLL1"/>
      <c r="RLM1"/>
      <c r="RLN1"/>
      <c r="RLO1"/>
      <c r="RLP1"/>
      <c r="RLQ1"/>
      <c r="RLR1"/>
      <c r="RLS1"/>
      <c r="RLT1"/>
      <c r="RLU1"/>
      <c r="RLV1"/>
      <c r="RLW1"/>
      <c r="RLX1"/>
      <c r="RLY1"/>
      <c r="RLZ1"/>
      <c r="RMA1"/>
      <c r="RMB1"/>
      <c r="RMC1"/>
      <c r="RMD1"/>
      <c r="RME1"/>
      <c r="RMF1"/>
      <c r="RMG1"/>
      <c r="RMH1"/>
      <c r="RMI1"/>
      <c r="RMJ1"/>
      <c r="RMK1"/>
      <c r="RML1"/>
      <c r="RMM1"/>
      <c r="RMN1"/>
      <c r="RMO1"/>
      <c r="RMP1"/>
      <c r="RMQ1"/>
      <c r="RMR1"/>
      <c r="RMS1"/>
      <c r="RMT1"/>
      <c r="RMU1"/>
      <c r="RMV1"/>
      <c r="RMW1"/>
      <c r="RMX1"/>
      <c r="RMY1"/>
      <c r="RMZ1"/>
      <c r="RNA1"/>
      <c r="RNB1"/>
      <c r="RNC1"/>
      <c r="RND1"/>
      <c r="RNE1"/>
      <c r="RNF1"/>
      <c r="RNG1"/>
      <c r="RNH1"/>
      <c r="RNI1"/>
      <c r="RNJ1"/>
      <c r="RNK1"/>
      <c r="RNL1"/>
      <c r="RNM1"/>
      <c r="RNN1"/>
      <c r="RNO1"/>
      <c r="RNP1"/>
      <c r="RNQ1"/>
      <c r="RNR1"/>
      <c r="RNS1"/>
      <c r="RNT1"/>
      <c r="RNU1"/>
      <c r="RNV1"/>
      <c r="RNW1"/>
      <c r="RNX1"/>
      <c r="RNY1"/>
      <c r="RNZ1"/>
      <c r="ROA1"/>
      <c r="ROB1"/>
      <c r="ROC1"/>
      <c r="ROD1"/>
      <c r="ROE1"/>
      <c r="ROF1"/>
      <c r="ROG1"/>
      <c r="ROH1"/>
      <c r="ROI1"/>
      <c r="ROJ1"/>
      <c r="ROK1"/>
      <c r="ROL1"/>
      <c r="ROM1"/>
      <c r="RON1"/>
      <c r="ROO1"/>
      <c r="ROP1"/>
      <c r="ROQ1"/>
      <c r="ROR1"/>
      <c r="ROS1"/>
      <c r="ROT1"/>
      <c r="ROU1"/>
      <c r="ROV1"/>
      <c r="ROW1"/>
      <c r="ROX1"/>
      <c r="ROY1"/>
      <c r="ROZ1"/>
      <c r="RPA1"/>
      <c r="RPB1"/>
      <c r="RPC1"/>
      <c r="RPD1"/>
      <c r="RPE1"/>
      <c r="RPF1"/>
      <c r="RPG1"/>
      <c r="RPH1"/>
      <c r="RPI1"/>
      <c r="RPJ1"/>
      <c r="RPK1"/>
      <c r="RPL1"/>
      <c r="RPM1"/>
      <c r="RPN1"/>
      <c r="RPO1"/>
      <c r="RPP1"/>
      <c r="RPQ1"/>
      <c r="RPR1"/>
      <c r="RPS1"/>
      <c r="RPT1"/>
      <c r="RPU1"/>
      <c r="RPV1"/>
      <c r="RPW1"/>
      <c r="RPX1"/>
      <c r="RPY1"/>
      <c r="RPZ1"/>
      <c r="RQA1"/>
      <c r="RQB1"/>
      <c r="RQC1"/>
      <c r="RQD1"/>
      <c r="RQE1"/>
      <c r="RQF1"/>
      <c r="RQG1"/>
      <c r="RQH1"/>
      <c r="RQI1"/>
      <c r="RQJ1"/>
      <c r="RQK1"/>
      <c r="RQL1"/>
      <c r="RQM1"/>
      <c r="RQN1"/>
      <c r="RQO1"/>
      <c r="RQP1"/>
      <c r="RQQ1"/>
      <c r="RQR1"/>
      <c r="RQS1"/>
      <c r="RQT1"/>
      <c r="RQU1"/>
      <c r="RQV1"/>
      <c r="RQW1"/>
      <c r="RQX1"/>
      <c r="RQY1"/>
      <c r="RQZ1"/>
      <c r="RRA1"/>
      <c r="RRB1"/>
      <c r="RRC1"/>
      <c r="RRD1"/>
      <c r="RRE1"/>
      <c r="RRF1"/>
      <c r="RRG1"/>
      <c r="RRH1"/>
      <c r="RRI1"/>
      <c r="RRJ1"/>
      <c r="RRK1"/>
      <c r="RRL1"/>
      <c r="RRM1"/>
      <c r="RRN1"/>
      <c r="RRO1"/>
      <c r="RRP1"/>
      <c r="RRQ1"/>
      <c r="RRR1"/>
      <c r="RRS1"/>
      <c r="RRT1"/>
      <c r="RRU1"/>
      <c r="RRV1"/>
      <c r="RRW1"/>
      <c r="RRX1"/>
      <c r="RRY1"/>
      <c r="RRZ1"/>
      <c r="RSA1"/>
      <c r="RSB1"/>
      <c r="RSC1"/>
      <c r="RSD1"/>
      <c r="RSE1"/>
      <c r="RSF1"/>
      <c r="RSG1"/>
      <c r="RSH1"/>
      <c r="RSI1"/>
      <c r="RSJ1"/>
      <c r="RSK1"/>
      <c r="RSL1"/>
      <c r="RSM1"/>
      <c r="RSN1"/>
      <c r="RSO1"/>
      <c r="RSP1"/>
      <c r="RSQ1"/>
      <c r="RSR1"/>
      <c r="RSS1"/>
      <c r="RST1"/>
      <c r="RSU1"/>
      <c r="RSV1"/>
      <c r="RSW1"/>
      <c r="RSX1"/>
      <c r="RSY1"/>
      <c r="RSZ1"/>
      <c r="RTA1"/>
      <c r="RTB1"/>
      <c r="RTC1"/>
      <c r="RTD1"/>
      <c r="RTE1"/>
      <c r="RTF1"/>
      <c r="RTG1"/>
      <c r="RTH1"/>
      <c r="RTI1"/>
      <c r="RTJ1"/>
      <c r="RTK1"/>
      <c r="RTL1"/>
      <c r="RTM1"/>
      <c r="RTN1"/>
      <c r="RTO1"/>
      <c r="RTP1"/>
      <c r="RTQ1"/>
      <c r="RTR1"/>
      <c r="RTS1"/>
      <c r="RTT1"/>
      <c r="RTU1"/>
      <c r="RTV1"/>
      <c r="RTW1"/>
      <c r="RTX1"/>
      <c r="RTY1"/>
      <c r="RTZ1"/>
      <c r="RUA1"/>
      <c r="RUB1"/>
      <c r="RUC1"/>
      <c r="RUD1"/>
      <c r="RUE1"/>
      <c r="RUF1"/>
      <c r="RUG1"/>
      <c r="RUH1"/>
      <c r="RUI1"/>
      <c r="RUJ1"/>
      <c r="RUK1"/>
      <c r="RUL1"/>
      <c r="RUM1"/>
      <c r="RUN1"/>
      <c r="RUO1"/>
      <c r="RUP1"/>
      <c r="RUQ1"/>
      <c r="RUR1"/>
      <c r="RUS1"/>
      <c r="RUT1"/>
      <c r="RUU1"/>
      <c r="RUV1"/>
      <c r="RUW1"/>
      <c r="RUX1"/>
      <c r="RUY1"/>
      <c r="RUZ1"/>
      <c r="RVA1"/>
      <c r="RVB1"/>
      <c r="RVC1"/>
      <c r="RVD1"/>
      <c r="RVE1"/>
      <c r="RVF1"/>
      <c r="RVG1"/>
      <c r="RVH1"/>
      <c r="RVI1"/>
      <c r="RVJ1"/>
      <c r="RVK1"/>
      <c r="RVL1"/>
      <c r="RVM1"/>
      <c r="RVN1"/>
      <c r="RVO1"/>
      <c r="RVP1"/>
      <c r="RVQ1"/>
      <c r="RVR1"/>
      <c r="RVS1"/>
      <c r="RVT1"/>
      <c r="RVU1"/>
      <c r="RVV1"/>
      <c r="RVW1"/>
      <c r="RVX1"/>
      <c r="RVY1"/>
      <c r="RVZ1"/>
      <c r="RWA1"/>
      <c r="RWB1"/>
      <c r="RWC1"/>
      <c r="RWD1"/>
      <c r="RWE1"/>
      <c r="RWF1"/>
      <c r="RWG1"/>
      <c r="RWH1"/>
      <c r="RWI1"/>
      <c r="RWJ1"/>
      <c r="RWK1"/>
      <c r="RWL1"/>
      <c r="RWM1"/>
      <c r="RWN1"/>
      <c r="RWO1"/>
      <c r="RWP1"/>
      <c r="RWQ1"/>
      <c r="RWR1"/>
      <c r="RWS1"/>
      <c r="RWT1"/>
      <c r="RWU1"/>
      <c r="RWV1"/>
      <c r="RWW1"/>
      <c r="RWX1"/>
      <c r="RWY1"/>
      <c r="RWZ1"/>
      <c r="RXA1"/>
      <c r="RXB1"/>
      <c r="RXC1"/>
      <c r="RXD1"/>
      <c r="RXE1"/>
      <c r="RXF1"/>
      <c r="RXG1"/>
      <c r="RXH1"/>
      <c r="RXI1"/>
      <c r="RXJ1"/>
      <c r="RXK1"/>
      <c r="RXL1"/>
      <c r="RXM1"/>
      <c r="RXN1"/>
      <c r="RXO1"/>
      <c r="RXP1"/>
      <c r="RXQ1"/>
      <c r="RXR1"/>
      <c r="RXS1"/>
      <c r="RXT1"/>
      <c r="RXU1"/>
      <c r="RXV1"/>
      <c r="RXW1"/>
      <c r="RXX1"/>
      <c r="RXY1"/>
      <c r="RXZ1"/>
      <c r="RYA1"/>
      <c r="RYB1"/>
      <c r="RYC1"/>
      <c r="RYD1"/>
      <c r="RYE1"/>
      <c r="RYF1"/>
      <c r="RYG1"/>
      <c r="RYH1"/>
      <c r="RYI1"/>
      <c r="RYJ1"/>
      <c r="RYK1"/>
      <c r="RYL1"/>
      <c r="RYM1"/>
      <c r="RYN1"/>
      <c r="RYO1"/>
      <c r="RYP1"/>
      <c r="RYQ1"/>
      <c r="RYR1"/>
      <c r="RYS1"/>
      <c r="RYT1"/>
      <c r="RYU1"/>
      <c r="RYV1"/>
      <c r="RYW1"/>
      <c r="RYX1"/>
      <c r="RYY1"/>
      <c r="RYZ1"/>
      <c r="RZA1"/>
      <c r="RZB1"/>
      <c r="RZC1"/>
      <c r="RZD1"/>
      <c r="RZE1"/>
      <c r="RZF1"/>
      <c r="RZG1"/>
      <c r="RZH1"/>
      <c r="RZI1"/>
      <c r="RZJ1"/>
      <c r="RZK1"/>
      <c r="RZL1"/>
      <c r="RZM1"/>
      <c r="RZN1"/>
      <c r="RZO1"/>
      <c r="RZP1"/>
      <c r="RZQ1"/>
      <c r="RZR1"/>
      <c r="RZS1"/>
      <c r="RZT1"/>
      <c r="RZU1"/>
      <c r="RZV1"/>
      <c r="RZW1"/>
      <c r="RZX1"/>
      <c r="RZY1"/>
      <c r="RZZ1"/>
      <c r="SAA1"/>
      <c r="SAB1"/>
      <c r="SAC1"/>
      <c r="SAD1"/>
      <c r="SAE1"/>
      <c r="SAF1"/>
      <c r="SAG1"/>
      <c r="SAH1"/>
      <c r="SAI1"/>
      <c r="SAJ1"/>
      <c r="SAK1"/>
      <c r="SAL1"/>
      <c r="SAM1"/>
      <c r="SAN1"/>
      <c r="SAO1"/>
      <c r="SAP1"/>
      <c r="SAQ1"/>
      <c r="SAR1"/>
      <c r="SAS1"/>
      <c r="SAT1"/>
      <c r="SAU1"/>
      <c r="SAV1"/>
      <c r="SAW1"/>
      <c r="SAX1"/>
      <c r="SAY1"/>
      <c r="SAZ1"/>
      <c r="SBA1"/>
      <c r="SBB1"/>
      <c r="SBC1"/>
      <c r="SBD1"/>
      <c r="SBE1"/>
      <c r="SBF1"/>
      <c r="SBG1"/>
      <c r="SBH1"/>
      <c r="SBI1"/>
      <c r="SBJ1"/>
      <c r="SBK1"/>
      <c r="SBL1"/>
      <c r="SBM1"/>
      <c r="SBN1"/>
      <c r="SBO1"/>
      <c r="SBP1"/>
      <c r="SBQ1"/>
      <c r="SBR1"/>
      <c r="SBS1"/>
      <c r="SBT1"/>
      <c r="SBU1"/>
      <c r="SBV1"/>
      <c r="SBW1"/>
      <c r="SBX1"/>
      <c r="SBY1"/>
      <c r="SBZ1"/>
      <c r="SCA1"/>
      <c r="SCB1"/>
      <c r="SCC1"/>
      <c r="SCD1"/>
      <c r="SCE1"/>
      <c r="SCF1"/>
      <c r="SCG1"/>
      <c r="SCH1"/>
      <c r="SCI1"/>
      <c r="SCJ1"/>
      <c r="SCK1"/>
      <c r="SCL1"/>
      <c r="SCM1"/>
      <c r="SCN1"/>
      <c r="SCO1"/>
      <c r="SCP1"/>
      <c r="SCQ1"/>
      <c r="SCR1"/>
      <c r="SCS1"/>
      <c r="SCT1"/>
      <c r="SCU1"/>
      <c r="SCV1"/>
      <c r="SCW1"/>
      <c r="SCX1"/>
      <c r="SCY1"/>
      <c r="SCZ1"/>
      <c r="SDA1"/>
      <c r="SDB1"/>
      <c r="SDC1"/>
      <c r="SDD1"/>
      <c r="SDE1"/>
      <c r="SDF1"/>
      <c r="SDG1"/>
      <c r="SDH1"/>
      <c r="SDI1"/>
      <c r="SDJ1"/>
      <c r="SDK1"/>
      <c r="SDL1"/>
      <c r="SDM1"/>
      <c r="SDN1"/>
      <c r="SDO1"/>
      <c r="SDP1"/>
      <c r="SDQ1"/>
      <c r="SDR1"/>
      <c r="SDS1"/>
      <c r="SDT1"/>
      <c r="SDU1"/>
      <c r="SDV1"/>
      <c r="SDW1"/>
      <c r="SDX1"/>
      <c r="SDY1"/>
      <c r="SDZ1"/>
      <c r="SEA1"/>
      <c r="SEB1"/>
      <c r="SEC1"/>
      <c r="SED1"/>
      <c r="SEE1"/>
      <c r="SEF1"/>
      <c r="SEG1"/>
      <c r="SEH1"/>
      <c r="SEI1"/>
      <c r="SEJ1"/>
      <c r="SEK1"/>
      <c r="SEL1"/>
      <c r="SEM1"/>
      <c r="SEN1"/>
      <c r="SEO1"/>
      <c r="SEP1"/>
      <c r="SEQ1"/>
      <c r="SER1"/>
      <c r="SES1"/>
      <c r="SET1"/>
      <c r="SEU1"/>
      <c r="SEV1"/>
      <c r="SEW1"/>
      <c r="SEX1"/>
      <c r="SEY1"/>
      <c r="SEZ1"/>
      <c r="SFA1"/>
      <c r="SFB1"/>
      <c r="SFC1"/>
      <c r="SFD1"/>
      <c r="SFE1"/>
      <c r="SFF1"/>
      <c r="SFG1"/>
      <c r="SFH1"/>
      <c r="SFI1"/>
      <c r="SFJ1"/>
      <c r="SFK1"/>
      <c r="SFL1"/>
      <c r="SFM1"/>
      <c r="SFN1"/>
      <c r="SFO1"/>
      <c r="SFP1"/>
      <c r="SFQ1"/>
      <c r="SFR1"/>
      <c r="SFS1"/>
      <c r="SFT1"/>
      <c r="SFU1"/>
      <c r="SFV1"/>
      <c r="SFW1"/>
      <c r="SFX1"/>
      <c r="SFY1"/>
      <c r="SFZ1"/>
      <c r="SGA1"/>
      <c r="SGB1"/>
      <c r="SGC1"/>
      <c r="SGD1"/>
      <c r="SGE1"/>
      <c r="SGF1"/>
      <c r="SGG1"/>
      <c r="SGH1"/>
      <c r="SGI1"/>
      <c r="SGJ1"/>
      <c r="SGK1"/>
      <c r="SGL1"/>
      <c r="SGM1"/>
      <c r="SGN1"/>
      <c r="SGO1"/>
      <c r="SGP1"/>
      <c r="SGQ1"/>
      <c r="SGR1"/>
      <c r="SGS1"/>
      <c r="SGT1"/>
      <c r="SGU1"/>
      <c r="SGV1"/>
      <c r="SGW1"/>
      <c r="SGX1"/>
      <c r="SGY1"/>
      <c r="SGZ1"/>
      <c r="SHA1"/>
      <c r="SHB1"/>
      <c r="SHC1"/>
      <c r="SHD1"/>
      <c r="SHE1"/>
      <c r="SHF1"/>
      <c r="SHG1"/>
      <c r="SHH1"/>
      <c r="SHI1"/>
      <c r="SHJ1"/>
      <c r="SHK1"/>
      <c r="SHL1"/>
      <c r="SHM1"/>
      <c r="SHN1"/>
      <c r="SHO1"/>
      <c r="SHP1"/>
      <c r="SHQ1"/>
      <c r="SHR1"/>
      <c r="SHS1"/>
      <c r="SHT1"/>
      <c r="SHU1"/>
      <c r="SHV1"/>
      <c r="SHW1"/>
      <c r="SHX1"/>
      <c r="SHY1"/>
      <c r="SHZ1"/>
      <c r="SIA1"/>
      <c r="SIB1"/>
      <c r="SIC1"/>
      <c r="SID1"/>
      <c r="SIE1"/>
      <c r="SIF1"/>
      <c r="SIG1"/>
      <c r="SIH1"/>
      <c r="SII1"/>
      <c r="SIJ1"/>
      <c r="SIK1"/>
      <c r="SIL1"/>
      <c r="SIM1"/>
      <c r="SIN1"/>
      <c r="SIO1"/>
      <c r="SIP1"/>
      <c r="SIQ1"/>
      <c r="SIR1"/>
      <c r="SIS1"/>
      <c r="SIT1"/>
      <c r="SIU1"/>
      <c r="SIV1"/>
      <c r="SIW1"/>
      <c r="SIX1"/>
      <c r="SIY1"/>
      <c r="SIZ1"/>
      <c r="SJA1"/>
      <c r="SJB1"/>
      <c r="SJC1"/>
      <c r="SJD1"/>
      <c r="SJE1"/>
      <c r="SJF1"/>
      <c r="SJG1"/>
      <c r="SJH1"/>
      <c r="SJI1"/>
      <c r="SJJ1"/>
      <c r="SJK1"/>
      <c r="SJL1"/>
      <c r="SJM1"/>
      <c r="SJN1"/>
      <c r="SJO1"/>
      <c r="SJP1"/>
      <c r="SJQ1"/>
      <c r="SJR1"/>
      <c r="SJS1"/>
      <c r="SJT1"/>
      <c r="SJU1"/>
      <c r="SJV1"/>
      <c r="SJW1"/>
      <c r="SJX1"/>
      <c r="SJY1"/>
      <c r="SJZ1"/>
      <c r="SKA1"/>
      <c r="SKB1"/>
      <c r="SKC1"/>
      <c r="SKD1"/>
      <c r="SKE1"/>
      <c r="SKF1"/>
      <c r="SKG1"/>
      <c r="SKH1"/>
      <c r="SKI1"/>
      <c r="SKJ1"/>
      <c r="SKK1"/>
      <c r="SKL1"/>
      <c r="SKM1"/>
      <c r="SKN1"/>
      <c r="SKO1"/>
      <c r="SKP1"/>
      <c r="SKQ1"/>
      <c r="SKR1"/>
      <c r="SKS1"/>
      <c r="SKT1"/>
      <c r="SKU1"/>
      <c r="SKV1"/>
      <c r="SKW1"/>
      <c r="SKX1"/>
      <c r="SKY1"/>
      <c r="SKZ1"/>
      <c r="SLA1"/>
      <c r="SLB1"/>
      <c r="SLC1"/>
      <c r="SLD1"/>
      <c r="SLE1"/>
      <c r="SLF1"/>
      <c r="SLG1"/>
      <c r="SLH1"/>
      <c r="SLI1"/>
      <c r="SLJ1"/>
      <c r="SLK1"/>
      <c r="SLL1"/>
      <c r="SLM1"/>
      <c r="SLN1"/>
      <c r="SLO1"/>
      <c r="SLP1"/>
      <c r="SLQ1"/>
      <c r="SLR1"/>
      <c r="SLS1"/>
      <c r="SLT1"/>
      <c r="SLU1"/>
      <c r="SLV1"/>
      <c r="SLW1"/>
      <c r="SLX1"/>
      <c r="SLY1"/>
      <c r="SLZ1"/>
      <c r="SMA1"/>
      <c r="SMB1"/>
      <c r="SMC1"/>
      <c r="SMD1"/>
      <c r="SME1"/>
      <c r="SMF1"/>
      <c r="SMG1"/>
      <c r="SMH1"/>
      <c r="SMI1"/>
      <c r="SMJ1"/>
      <c r="SMK1"/>
      <c r="SML1"/>
      <c r="SMM1"/>
      <c r="SMN1"/>
      <c r="SMO1"/>
      <c r="SMP1"/>
      <c r="SMQ1"/>
      <c r="SMR1"/>
      <c r="SMS1"/>
      <c r="SMT1"/>
      <c r="SMU1"/>
      <c r="SMV1"/>
      <c r="SMW1"/>
      <c r="SMX1"/>
      <c r="SMY1"/>
      <c r="SMZ1"/>
      <c r="SNA1"/>
      <c r="SNB1"/>
      <c r="SNC1"/>
      <c r="SND1"/>
      <c r="SNE1"/>
      <c r="SNF1"/>
      <c r="SNG1"/>
      <c r="SNH1"/>
      <c r="SNI1"/>
      <c r="SNJ1"/>
      <c r="SNK1"/>
      <c r="SNL1"/>
      <c r="SNM1"/>
      <c r="SNN1"/>
      <c r="SNO1"/>
      <c r="SNP1"/>
      <c r="SNQ1"/>
      <c r="SNR1"/>
      <c r="SNS1"/>
      <c r="SNT1"/>
      <c r="SNU1"/>
      <c r="SNV1"/>
      <c r="SNW1"/>
      <c r="SNX1"/>
      <c r="SNY1"/>
      <c r="SNZ1"/>
      <c r="SOA1"/>
      <c r="SOB1"/>
      <c r="SOC1"/>
      <c r="SOD1"/>
      <c r="SOE1"/>
      <c r="SOF1"/>
      <c r="SOG1"/>
      <c r="SOH1"/>
      <c r="SOI1"/>
      <c r="SOJ1"/>
      <c r="SOK1"/>
      <c r="SOL1"/>
      <c r="SOM1"/>
      <c r="SON1"/>
      <c r="SOO1"/>
      <c r="SOP1"/>
      <c r="SOQ1"/>
      <c r="SOR1"/>
      <c r="SOS1"/>
      <c r="SOT1"/>
      <c r="SOU1"/>
      <c r="SOV1"/>
      <c r="SOW1"/>
      <c r="SOX1"/>
      <c r="SOY1"/>
      <c r="SOZ1"/>
      <c r="SPA1"/>
      <c r="SPB1"/>
      <c r="SPC1"/>
      <c r="SPD1"/>
      <c r="SPE1"/>
      <c r="SPF1"/>
      <c r="SPG1"/>
      <c r="SPH1"/>
      <c r="SPI1"/>
      <c r="SPJ1"/>
      <c r="SPK1"/>
      <c r="SPL1"/>
      <c r="SPM1"/>
      <c r="SPN1"/>
      <c r="SPO1"/>
      <c r="SPP1"/>
      <c r="SPQ1"/>
      <c r="SPR1"/>
      <c r="SPS1"/>
      <c r="SPT1"/>
      <c r="SPU1"/>
      <c r="SPV1"/>
      <c r="SPW1"/>
      <c r="SPX1"/>
      <c r="SPY1"/>
      <c r="SPZ1"/>
      <c r="SQA1"/>
      <c r="SQB1"/>
      <c r="SQC1"/>
      <c r="SQD1"/>
      <c r="SQE1"/>
      <c r="SQF1"/>
      <c r="SQG1"/>
      <c r="SQH1"/>
      <c r="SQI1"/>
      <c r="SQJ1"/>
      <c r="SQK1"/>
      <c r="SQL1"/>
      <c r="SQM1"/>
      <c r="SQN1"/>
      <c r="SQO1"/>
      <c r="SQP1"/>
      <c r="SQQ1"/>
      <c r="SQR1"/>
      <c r="SQS1"/>
      <c r="SQT1"/>
      <c r="SQU1"/>
      <c r="SQV1"/>
      <c r="SQW1"/>
      <c r="SQX1"/>
      <c r="SQY1"/>
      <c r="SQZ1"/>
      <c r="SRA1"/>
      <c r="SRB1"/>
      <c r="SRC1"/>
      <c r="SRD1"/>
      <c r="SRE1"/>
      <c r="SRF1"/>
      <c r="SRG1"/>
      <c r="SRH1"/>
      <c r="SRI1"/>
      <c r="SRJ1"/>
      <c r="SRK1"/>
      <c r="SRL1"/>
      <c r="SRM1"/>
      <c r="SRN1"/>
      <c r="SRO1"/>
      <c r="SRP1"/>
      <c r="SRQ1"/>
      <c r="SRR1"/>
      <c r="SRS1"/>
      <c r="SRT1"/>
      <c r="SRU1"/>
      <c r="SRV1"/>
      <c r="SRW1"/>
      <c r="SRX1"/>
      <c r="SRY1"/>
      <c r="SRZ1"/>
      <c r="SSA1"/>
      <c r="SSB1"/>
      <c r="SSC1"/>
      <c r="SSD1"/>
      <c r="SSE1"/>
      <c r="SSF1"/>
      <c r="SSG1"/>
      <c r="SSH1"/>
      <c r="SSI1"/>
      <c r="SSJ1"/>
      <c r="SSK1"/>
      <c r="SSL1"/>
      <c r="SSM1"/>
      <c r="SSN1"/>
      <c r="SSO1"/>
      <c r="SSP1"/>
      <c r="SSQ1"/>
      <c r="SSR1"/>
      <c r="SSS1"/>
      <c r="SST1"/>
      <c r="SSU1"/>
      <c r="SSV1"/>
      <c r="SSW1"/>
      <c r="SSX1"/>
      <c r="SSY1"/>
      <c r="SSZ1"/>
      <c r="STA1"/>
      <c r="STB1"/>
      <c r="STC1"/>
      <c r="STD1"/>
      <c r="STE1"/>
      <c r="STF1"/>
      <c r="STG1"/>
      <c r="STH1"/>
      <c r="STI1"/>
      <c r="STJ1"/>
      <c r="STK1"/>
      <c r="STL1"/>
      <c r="STM1"/>
      <c r="STN1"/>
      <c r="STO1"/>
      <c r="STP1"/>
      <c r="STQ1"/>
      <c r="STR1"/>
      <c r="STS1"/>
      <c r="STT1"/>
      <c r="STU1"/>
      <c r="STV1"/>
      <c r="STW1"/>
      <c r="STX1"/>
      <c r="STY1"/>
      <c r="STZ1"/>
      <c r="SUA1"/>
      <c r="SUB1"/>
      <c r="SUC1"/>
      <c r="SUD1"/>
      <c r="SUE1"/>
      <c r="SUF1"/>
      <c r="SUG1"/>
      <c r="SUH1"/>
      <c r="SUI1"/>
      <c r="SUJ1"/>
      <c r="SUK1"/>
      <c r="SUL1"/>
      <c r="SUM1"/>
      <c r="SUN1"/>
      <c r="SUO1"/>
      <c r="SUP1"/>
      <c r="SUQ1"/>
      <c r="SUR1"/>
      <c r="SUS1"/>
      <c r="SUT1"/>
      <c r="SUU1"/>
      <c r="SUV1"/>
      <c r="SUW1"/>
      <c r="SUX1"/>
      <c r="SUY1"/>
      <c r="SUZ1"/>
      <c r="SVA1"/>
      <c r="SVB1"/>
      <c r="SVC1"/>
      <c r="SVD1"/>
      <c r="SVE1"/>
      <c r="SVF1"/>
      <c r="SVG1"/>
      <c r="SVH1"/>
      <c r="SVI1"/>
      <c r="SVJ1"/>
      <c r="SVK1"/>
      <c r="SVL1"/>
      <c r="SVM1"/>
      <c r="SVN1"/>
      <c r="SVO1"/>
      <c r="SVP1"/>
      <c r="SVQ1"/>
      <c r="SVR1"/>
      <c r="SVS1"/>
      <c r="SVT1"/>
      <c r="SVU1"/>
      <c r="SVV1"/>
      <c r="SVW1"/>
      <c r="SVX1"/>
      <c r="SVY1"/>
      <c r="SVZ1"/>
      <c r="SWA1"/>
      <c r="SWB1"/>
      <c r="SWC1"/>
      <c r="SWD1"/>
      <c r="SWE1"/>
      <c r="SWF1"/>
      <c r="SWG1"/>
      <c r="SWH1"/>
      <c r="SWI1"/>
      <c r="SWJ1"/>
      <c r="SWK1"/>
      <c r="SWL1"/>
      <c r="SWM1"/>
      <c r="SWN1"/>
      <c r="SWO1"/>
      <c r="SWP1"/>
      <c r="SWQ1"/>
      <c r="SWR1"/>
      <c r="SWS1"/>
      <c r="SWT1"/>
      <c r="SWU1"/>
      <c r="SWV1"/>
      <c r="SWW1"/>
      <c r="SWX1"/>
      <c r="SWY1"/>
      <c r="SWZ1"/>
      <c r="SXA1"/>
      <c r="SXB1"/>
      <c r="SXC1"/>
      <c r="SXD1"/>
      <c r="SXE1"/>
      <c r="SXF1"/>
      <c r="SXG1"/>
      <c r="SXH1"/>
      <c r="SXI1"/>
      <c r="SXJ1"/>
      <c r="SXK1"/>
      <c r="SXL1"/>
      <c r="SXM1"/>
      <c r="SXN1"/>
      <c r="SXO1"/>
      <c r="SXP1"/>
      <c r="SXQ1"/>
      <c r="SXR1"/>
      <c r="SXS1"/>
      <c r="SXT1"/>
      <c r="SXU1"/>
      <c r="SXV1"/>
      <c r="SXW1"/>
      <c r="SXX1"/>
      <c r="SXY1"/>
      <c r="SXZ1"/>
      <c r="SYA1"/>
      <c r="SYB1"/>
      <c r="SYC1"/>
      <c r="SYD1"/>
      <c r="SYE1"/>
      <c r="SYF1"/>
      <c r="SYG1"/>
      <c r="SYH1"/>
      <c r="SYI1"/>
      <c r="SYJ1"/>
      <c r="SYK1"/>
      <c r="SYL1"/>
      <c r="SYM1"/>
      <c r="SYN1"/>
      <c r="SYO1"/>
      <c r="SYP1"/>
      <c r="SYQ1"/>
      <c r="SYR1"/>
      <c r="SYS1"/>
      <c r="SYT1"/>
      <c r="SYU1"/>
      <c r="SYV1"/>
      <c r="SYW1"/>
      <c r="SYX1"/>
      <c r="SYY1"/>
      <c r="SYZ1"/>
      <c r="SZA1"/>
      <c r="SZB1"/>
      <c r="SZC1"/>
      <c r="SZD1"/>
      <c r="SZE1"/>
      <c r="SZF1"/>
      <c r="SZG1"/>
      <c r="SZH1"/>
      <c r="SZI1"/>
      <c r="SZJ1"/>
      <c r="SZK1"/>
      <c r="SZL1"/>
      <c r="SZM1"/>
      <c r="SZN1"/>
      <c r="SZO1"/>
      <c r="SZP1"/>
      <c r="SZQ1"/>
      <c r="SZR1"/>
      <c r="SZS1"/>
      <c r="SZT1"/>
      <c r="SZU1"/>
      <c r="SZV1"/>
      <c r="SZW1"/>
      <c r="SZX1"/>
      <c r="SZY1"/>
      <c r="SZZ1"/>
      <c r="TAA1"/>
      <c r="TAB1"/>
      <c r="TAC1"/>
      <c r="TAD1"/>
      <c r="TAE1"/>
      <c r="TAF1"/>
      <c r="TAG1"/>
      <c r="TAH1"/>
      <c r="TAI1"/>
      <c r="TAJ1"/>
      <c r="TAK1"/>
      <c r="TAL1"/>
      <c r="TAM1"/>
      <c r="TAN1"/>
      <c r="TAO1"/>
      <c r="TAP1"/>
      <c r="TAQ1"/>
      <c r="TAR1"/>
      <c r="TAS1"/>
      <c r="TAT1"/>
      <c r="TAU1"/>
      <c r="TAV1"/>
      <c r="TAW1"/>
      <c r="TAX1"/>
      <c r="TAY1"/>
      <c r="TAZ1"/>
      <c r="TBA1"/>
      <c r="TBB1"/>
      <c r="TBC1"/>
      <c r="TBD1"/>
      <c r="TBE1"/>
      <c r="TBF1"/>
      <c r="TBG1"/>
      <c r="TBH1"/>
      <c r="TBI1"/>
      <c r="TBJ1"/>
      <c r="TBK1"/>
      <c r="TBL1"/>
      <c r="TBM1"/>
      <c r="TBN1"/>
      <c r="TBO1"/>
      <c r="TBP1"/>
      <c r="TBQ1"/>
      <c r="TBR1"/>
      <c r="TBS1"/>
      <c r="TBT1"/>
      <c r="TBU1"/>
      <c r="TBV1"/>
      <c r="TBW1"/>
      <c r="TBX1"/>
      <c r="TBY1"/>
      <c r="TBZ1"/>
      <c r="TCA1"/>
      <c r="TCB1"/>
      <c r="TCC1"/>
      <c r="TCD1"/>
      <c r="TCE1"/>
      <c r="TCF1"/>
      <c r="TCG1"/>
      <c r="TCH1"/>
      <c r="TCI1"/>
      <c r="TCJ1"/>
      <c r="TCK1"/>
      <c r="TCL1"/>
      <c r="TCM1"/>
      <c r="TCN1"/>
      <c r="TCO1"/>
      <c r="TCP1"/>
      <c r="TCQ1"/>
      <c r="TCR1"/>
      <c r="TCS1"/>
      <c r="TCT1"/>
      <c r="TCU1"/>
      <c r="TCV1"/>
      <c r="TCW1"/>
      <c r="TCX1"/>
      <c r="TCY1"/>
      <c r="TCZ1"/>
      <c r="TDA1"/>
      <c r="TDB1"/>
      <c r="TDC1"/>
      <c r="TDD1"/>
      <c r="TDE1"/>
      <c r="TDF1"/>
      <c r="TDG1"/>
      <c r="TDH1"/>
      <c r="TDI1"/>
      <c r="TDJ1"/>
      <c r="TDK1"/>
      <c r="TDL1"/>
      <c r="TDM1"/>
      <c r="TDN1"/>
      <c r="TDO1"/>
      <c r="TDP1"/>
      <c r="TDQ1"/>
      <c r="TDR1"/>
      <c r="TDS1"/>
      <c r="TDT1"/>
      <c r="TDU1"/>
      <c r="TDV1"/>
      <c r="TDW1"/>
      <c r="TDX1"/>
      <c r="TDY1"/>
      <c r="TDZ1"/>
      <c r="TEA1"/>
      <c r="TEB1"/>
      <c r="TEC1"/>
      <c r="TED1"/>
      <c r="TEE1"/>
      <c r="TEF1"/>
      <c r="TEG1"/>
      <c r="TEH1"/>
      <c r="TEI1"/>
      <c r="TEJ1"/>
      <c r="TEK1"/>
      <c r="TEL1"/>
      <c r="TEM1"/>
      <c r="TEN1"/>
      <c r="TEO1"/>
      <c r="TEP1"/>
      <c r="TEQ1"/>
      <c r="TER1"/>
      <c r="TES1"/>
      <c r="TET1"/>
      <c r="TEU1"/>
      <c r="TEV1"/>
      <c r="TEW1"/>
      <c r="TEX1"/>
      <c r="TEY1"/>
      <c r="TEZ1"/>
      <c r="TFA1"/>
      <c r="TFB1"/>
      <c r="TFC1"/>
      <c r="TFD1"/>
      <c r="TFE1"/>
      <c r="TFF1"/>
      <c r="TFG1"/>
      <c r="TFH1"/>
      <c r="TFI1"/>
      <c r="TFJ1"/>
      <c r="TFK1"/>
      <c r="TFL1"/>
      <c r="TFM1"/>
      <c r="TFN1"/>
      <c r="TFO1"/>
      <c r="TFP1"/>
      <c r="TFQ1"/>
      <c r="TFR1"/>
      <c r="TFS1"/>
      <c r="TFT1"/>
      <c r="TFU1"/>
      <c r="TFV1"/>
      <c r="TFW1"/>
      <c r="TFX1"/>
      <c r="TFY1"/>
      <c r="TFZ1"/>
      <c r="TGA1"/>
      <c r="TGB1"/>
      <c r="TGC1"/>
      <c r="TGD1"/>
      <c r="TGE1"/>
      <c r="TGF1"/>
      <c r="TGG1"/>
      <c r="TGH1"/>
      <c r="TGI1"/>
      <c r="TGJ1"/>
      <c r="TGK1"/>
      <c r="TGL1"/>
      <c r="TGM1"/>
      <c r="TGN1"/>
      <c r="TGO1"/>
      <c r="TGP1"/>
      <c r="TGQ1"/>
      <c r="TGR1"/>
      <c r="TGS1"/>
      <c r="TGT1"/>
      <c r="TGU1"/>
      <c r="TGV1"/>
      <c r="TGW1"/>
      <c r="TGX1"/>
      <c r="TGY1"/>
      <c r="TGZ1"/>
      <c r="THA1"/>
      <c r="THB1"/>
      <c r="THC1"/>
      <c r="THD1"/>
      <c r="THE1"/>
      <c r="THF1"/>
      <c r="THG1"/>
      <c r="THH1"/>
      <c r="THI1"/>
      <c r="THJ1"/>
      <c r="THK1"/>
      <c r="THL1"/>
      <c r="THM1"/>
      <c r="THN1"/>
      <c r="THO1"/>
      <c r="THP1"/>
      <c r="THQ1"/>
      <c r="THR1"/>
      <c r="THS1"/>
      <c r="THT1"/>
      <c r="THU1"/>
      <c r="THV1"/>
      <c r="THW1"/>
      <c r="THX1"/>
      <c r="THY1"/>
      <c r="THZ1"/>
      <c r="TIA1"/>
      <c r="TIB1"/>
      <c r="TIC1"/>
      <c r="TID1"/>
      <c r="TIE1"/>
      <c r="TIF1"/>
      <c r="TIG1"/>
      <c r="TIH1"/>
      <c r="TII1"/>
      <c r="TIJ1"/>
      <c r="TIK1"/>
      <c r="TIL1"/>
      <c r="TIM1"/>
      <c r="TIN1"/>
      <c r="TIO1"/>
      <c r="TIP1"/>
      <c r="TIQ1"/>
      <c r="TIR1"/>
      <c r="TIS1"/>
      <c r="TIT1"/>
      <c r="TIU1"/>
      <c r="TIV1"/>
      <c r="TIW1"/>
      <c r="TIX1"/>
      <c r="TIY1"/>
      <c r="TIZ1"/>
      <c r="TJA1"/>
      <c r="TJB1"/>
      <c r="TJC1"/>
      <c r="TJD1"/>
      <c r="TJE1"/>
      <c r="TJF1"/>
      <c r="TJG1"/>
      <c r="TJH1"/>
      <c r="TJI1"/>
      <c r="TJJ1"/>
      <c r="TJK1"/>
      <c r="TJL1"/>
      <c r="TJM1"/>
      <c r="TJN1"/>
      <c r="TJO1"/>
      <c r="TJP1"/>
      <c r="TJQ1"/>
      <c r="TJR1"/>
      <c r="TJS1"/>
      <c r="TJT1"/>
      <c r="TJU1"/>
      <c r="TJV1"/>
      <c r="TJW1"/>
      <c r="TJX1"/>
      <c r="TJY1"/>
      <c r="TJZ1"/>
      <c r="TKA1"/>
      <c r="TKB1"/>
      <c r="TKC1"/>
      <c r="TKD1"/>
      <c r="TKE1"/>
      <c r="TKF1"/>
      <c r="TKG1"/>
      <c r="TKH1"/>
      <c r="TKI1"/>
      <c r="TKJ1"/>
      <c r="TKK1"/>
      <c r="TKL1"/>
      <c r="TKM1"/>
      <c r="TKN1"/>
      <c r="TKO1"/>
      <c r="TKP1"/>
      <c r="TKQ1"/>
      <c r="TKR1"/>
      <c r="TKS1"/>
      <c r="TKT1"/>
      <c r="TKU1"/>
      <c r="TKV1"/>
      <c r="TKW1"/>
      <c r="TKX1"/>
      <c r="TKY1"/>
      <c r="TKZ1"/>
      <c r="TLA1"/>
      <c r="TLB1"/>
      <c r="TLC1"/>
      <c r="TLD1"/>
      <c r="TLE1"/>
      <c r="TLF1"/>
      <c r="TLG1"/>
      <c r="TLH1"/>
      <c r="TLI1"/>
      <c r="TLJ1"/>
      <c r="TLK1"/>
      <c r="TLL1"/>
      <c r="TLM1"/>
      <c r="TLN1"/>
      <c r="TLO1"/>
      <c r="TLP1"/>
      <c r="TLQ1"/>
      <c r="TLR1"/>
      <c r="TLS1"/>
      <c r="TLT1"/>
      <c r="TLU1"/>
      <c r="TLV1"/>
      <c r="TLW1"/>
      <c r="TLX1"/>
      <c r="TLY1"/>
      <c r="TLZ1"/>
      <c r="TMA1"/>
      <c r="TMB1"/>
      <c r="TMC1"/>
      <c r="TMD1"/>
      <c r="TME1"/>
      <c r="TMF1"/>
      <c r="TMG1"/>
      <c r="TMH1"/>
      <c r="TMI1"/>
      <c r="TMJ1"/>
      <c r="TMK1"/>
      <c r="TML1"/>
      <c r="TMM1"/>
      <c r="TMN1"/>
      <c r="TMO1"/>
      <c r="TMP1"/>
      <c r="TMQ1"/>
      <c r="TMR1"/>
      <c r="TMS1"/>
      <c r="TMT1"/>
      <c r="TMU1"/>
      <c r="TMV1"/>
      <c r="TMW1"/>
      <c r="TMX1"/>
      <c r="TMY1"/>
      <c r="TMZ1"/>
      <c r="TNA1"/>
      <c r="TNB1"/>
      <c r="TNC1"/>
      <c r="TND1"/>
      <c r="TNE1"/>
      <c r="TNF1"/>
      <c r="TNG1"/>
      <c r="TNH1"/>
      <c r="TNI1"/>
      <c r="TNJ1"/>
      <c r="TNK1"/>
      <c r="TNL1"/>
      <c r="TNM1"/>
      <c r="TNN1"/>
      <c r="TNO1"/>
      <c r="TNP1"/>
      <c r="TNQ1"/>
      <c r="TNR1"/>
      <c r="TNS1"/>
      <c r="TNT1"/>
      <c r="TNU1"/>
      <c r="TNV1"/>
      <c r="TNW1"/>
      <c r="TNX1"/>
      <c r="TNY1"/>
      <c r="TNZ1"/>
      <c r="TOA1"/>
      <c r="TOB1"/>
      <c r="TOC1"/>
      <c r="TOD1"/>
      <c r="TOE1"/>
      <c r="TOF1"/>
      <c r="TOG1"/>
      <c r="TOH1"/>
      <c r="TOI1"/>
      <c r="TOJ1"/>
      <c r="TOK1"/>
      <c r="TOL1"/>
      <c r="TOM1"/>
      <c r="TON1"/>
      <c r="TOO1"/>
      <c r="TOP1"/>
      <c r="TOQ1"/>
      <c r="TOR1"/>
      <c r="TOS1"/>
      <c r="TOT1"/>
      <c r="TOU1"/>
      <c r="TOV1"/>
      <c r="TOW1"/>
      <c r="TOX1"/>
      <c r="TOY1"/>
      <c r="TOZ1"/>
      <c r="TPA1"/>
      <c r="TPB1"/>
      <c r="TPC1"/>
      <c r="TPD1"/>
      <c r="TPE1"/>
      <c r="TPF1"/>
      <c r="TPG1"/>
      <c r="TPH1"/>
      <c r="TPI1"/>
      <c r="TPJ1"/>
      <c r="TPK1"/>
      <c r="TPL1"/>
      <c r="TPM1"/>
      <c r="TPN1"/>
      <c r="TPO1"/>
      <c r="TPP1"/>
      <c r="TPQ1"/>
      <c r="TPR1"/>
      <c r="TPS1"/>
      <c r="TPT1"/>
      <c r="TPU1"/>
      <c r="TPV1"/>
      <c r="TPW1"/>
      <c r="TPX1"/>
      <c r="TPY1"/>
      <c r="TPZ1"/>
      <c r="TQA1"/>
      <c r="TQB1"/>
      <c r="TQC1"/>
      <c r="TQD1"/>
      <c r="TQE1"/>
      <c r="TQF1"/>
      <c r="TQG1"/>
      <c r="TQH1"/>
      <c r="TQI1"/>
      <c r="TQJ1"/>
      <c r="TQK1"/>
      <c r="TQL1"/>
      <c r="TQM1"/>
      <c r="TQN1"/>
      <c r="TQO1"/>
      <c r="TQP1"/>
      <c r="TQQ1"/>
      <c r="TQR1"/>
      <c r="TQS1"/>
      <c r="TQT1"/>
      <c r="TQU1"/>
      <c r="TQV1"/>
      <c r="TQW1"/>
      <c r="TQX1"/>
      <c r="TQY1"/>
      <c r="TQZ1"/>
      <c r="TRA1"/>
      <c r="TRB1"/>
      <c r="TRC1"/>
      <c r="TRD1"/>
      <c r="TRE1"/>
      <c r="TRF1"/>
      <c r="TRG1"/>
      <c r="TRH1"/>
      <c r="TRI1"/>
      <c r="TRJ1"/>
      <c r="TRK1"/>
      <c r="TRL1"/>
      <c r="TRM1"/>
      <c r="TRN1"/>
      <c r="TRO1"/>
      <c r="TRP1"/>
      <c r="TRQ1"/>
      <c r="TRR1"/>
      <c r="TRS1"/>
      <c r="TRT1"/>
      <c r="TRU1"/>
      <c r="TRV1"/>
      <c r="TRW1"/>
      <c r="TRX1"/>
      <c r="TRY1"/>
      <c r="TRZ1"/>
      <c r="TSA1"/>
      <c r="TSB1"/>
      <c r="TSC1"/>
      <c r="TSD1"/>
      <c r="TSE1"/>
      <c r="TSF1"/>
      <c r="TSG1"/>
      <c r="TSH1"/>
      <c r="TSI1"/>
      <c r="TSJ1"/>
      <c r="TSK1"/>
      <c r="TSL1"/>
      <c r="TSM1"/>
      <c r="TSN1"/>
      <c r="TSO1"/>
      <c r="TSP1"/>
      <c r="TSQ1"/>
      <c r="TSR1"/>
      <c r="TSS1"/>
      <c r="TST1"/>
      <c r="TSU1"/>
      <c r="TSV1"/>
      <c r="TSW1"/>
      <c r="TSX1"/>
      <c r="TSY1"/>
      <c r="TSZ1"/>
      <c r="TTA1"/>
      <c r="TTB1"/>
      <c r="TTC1"/>
      <c r="TTD1"/>
      <c r="TTE1"/>
      <c r="TTF1"/>
      <c r="TTG1"/>
      <c r="TTH1"/>
      <c r="TTI1"/>
      <c r="TTJ1"/>
      <c r="TTK1"/>
      <c r="TTL1"/>
      <c r="TTM1"/>
      <c r="TTN1"/>
      <c r="TTO1"/>
      <c r="TTP1"/>
      <c r="TTQ1"/>
      <c r="TTR1"/>
      <c r="TTS1"/>
      <c r="TTT1"/>
      <c r="TTU1"/>
      <c r="TTV1"/>
      <c r="TTW1"/>
      <c r="TTX1"/>
      <c r="TTY1"/>
      <c r="TTZ1"/>
      <c r="TUA1"/>
      <c r="TUB1"/>
      <c r="TUC1"/>
      <c r="TUD1"/>
      <c r="TUE1"/>
      <c r="TUF1"/>
      <c r="TUG1"/>
      <c r="TUH1"/>
      <c r="TUI1"/>
      <c r="TUJ1"/>
      <c r="TUK1"/>
      <c r="TUL1"/>
      <c r="TUM1"/>
      <c r="TUN1"/>
      <c r="TUO1"/>
      <c r="TUP1"/>
      <c r="TUQ1"/>
      <c r="TUR1"/>
      <c r="TUS1"/>
      <c r="TUT1"/>
      <c r="TUU1"/>
      <c r="TUV1"/>
      <c r="TUW1"/>
      <c r="TUX1"/>
      <c r="TUY1"/>
      <c r="TUZ1"/>
      <c r="TVA1"/>
      <c r="TVB1"/>
      <c r="TVC1"/>
      <c r="TVD1"/>
      <c r="TVE1"/>
      <c r="TVF1"/>
      <c r="TVG1"/>
      <c r="TVH1"/>
      <c r="TVI1"/>
      <c r="TVJ1"/>
      <c r="TVK1"/>
      <c r="TVL1"/>
      <c r="TVM1"/>
      <c r="TVN1"/>
      <c r="TVO1"/>
      <c r="TVP1"/>
      <c r="TVQ1"/>
      <c r="TVR1"/>
      <c r="TVS1"/>
      <c r="TVT1"/>
      <c r="TVU1"/>
      <c r="TVV1"/>
      <c r="TVW1"/>
      <c r="TVX1"/>
      <c r="TVY1"/>
      <c r="TVZ1"/>
      <c r="TWA1"/>
      <c r="TWB1"/>
      <c r="TWC1"/>
      <c r="TWD1"/>
      <c r="TWE1"/>
      <c r="TWF1"/>
      <c r="TWG1"/>
      <c r="TWH1"/>
      <c r="TWI1"/>
      <c r="TWJ1"/>
      <c r="TWK1"/>
      <c r="TWL1"/>
      <c r="TWM1"/>
      <c r="TWN1"/>
      <c r="TWO1"/>
      <c r="TWP1"/>
      <c r="TWQ1"/>
      <c r="TWR1"/>
      <c r="TWS1"/>
      <c r="TWT1"/>
      <c r="TWU1"/>
      <c r="TWV1"/>
      <c r="TWW1"/>
      <c r="TWX1"/>
      <c r="TWY1"/>
      <c r="TWZ1"/>
      <c r="TXA1"/>
      <c r="TXB1"/>
      <c r="TXC1"/>
      <c r="TXD1"/>
      <c r="TXE1"/>
      <c r="TXF1"/>
      <c r="TXG1"/>
      <c r="TXH1"/>
      <c r="TXI1"/>
      <c r="TXJ1"/>
      <c r="TXK1"/>
      <c r="TXL1"/>
      <c r="TXM1"/>
      <c r="TXN1"/>
      <c r="TXO1"/>
      <c r="TXP1"/>
      <c r="TXQ1"/>
      <c r="TXR1"/>
      <c r="TXS1"/>
      <c r="TXT1"/>
      <c r="TXU1"/>
      <c r="TXV1"/>
      <c r="TXW1"/>
      <c r="TXX1"/>
      <c r="TXY1"/>
      <c r="TXZ1"/>
      <c r="TYA1"/>
      <c r="TYB1"/>
      <c r="TYC1"/>
      <c r="TYD1"/>
      <c r="TYE1"/>
      <c r="TYF1"/>
      <c r="TYG1"/>
      <c r="TYH1"/>
      <c r="TYI1"/>
      <c r="TYJ1"/>
      <c r="TYK1"/>
      <c r="TYL1"/>
      <c r="TYM1"/>
      <c r="TYN1"/>
      <c r="TYO1"/>
      <c r="TYP1"/>
      <c r="TYQ1"/>
      <c r="TYR1"/>
      <c r="TYS1"/>
      <c r="TYT1"/>
      <c r="TYU1"/>
      <c r="TYV1"/>
      <c r="TYW1"/>
      <c r="TYX1"/>
      <c r="TYY1"/>
      <c r="TYZ1"/>
      <c r="TZA1"/>
      <c r="TZB1"/>
      <c r="TZC1"/>
      <c r="TZD1"/>
      <c r="TZE1"/>
      <c r="TZF1"/>
      <c r="TZG1"/>
      <c r="TZH1"/>
      <c r="TZI1"/>
      <c r="TZJ1"/>
      <c r="TZK1"/>
      <c r="TZL1"/>
      <c r="TZM1"/>
      <c r="TZN1"/>
      <c r="TZO1"/>
      <c r="TZP1"/>
      <c r="TZQ1"/>
      <c r="TZR1"/>
      <c r="TZS1"/>
      <c r="TZT1"/>
      <c r="TZU1"/>
      <c r="TZV1"/>
      <c r="TZW1"/>
      <c r="TZX1"/>
      <c r="TZY1"/>
      <c r="TZZ1"/>
      <c r="UAA1"/>
      <c r="UAB1"/>
      <c r="UAC1"/>
      <c r="UAD1"/>
      <c r="UAE1"/>
      <c r="UAF1"/>
      <c r="UAG1"/>
      <c r="UAH1"/>
      <c r="UAI1"/>
      <c r="UAJ1"/>
      <c r="UAK1"/>
      <c r="UAL1"/>
      <c r="UAM1"/>
      <c r="UAN1"/>
      <c r="UAO1"/>
      <c r="UAP1"/>
      <c r="UAQ1"/>
      <c r="UAR1"/>
      <c r="UAS1"/>
      <c r="UAT1"/>
      <c r="UAU1"/>
      <c r="UAV1"/>
      <c r="UAW1"/>
      <c r="UAX1"/>
      <c r="UAY1"/>
      <c r="UAZ1"/>
      <c r="UBA1"/>
      <c r="UBB1"/>
      <c r="UBC1"/>
      <c r="UBD1"/>
      <c r="UBE1"/>
      <c r="UBF1"/>
      <c r="UBG1"/>
      <c r="UBH1"/>
      <c r="UBI1"/>
      <c r="UBJ1"/>
      <c r="UBK1"/>
      <c r="UBL1"/>
      <c r="UBM1"/>
      <c r="UBN1"/>
      <c r="UBO1"/>
      <c r="UBP1"/>
      <c r="UBQ1"/>
      <c r="UBR1"/>
      <c r="UBS1"/>
      <c r="UBT1"/>
      <c r="UBU1"/>
      <c r="UBV1"/>
      <c r="UBW1"/>
      <c r="UBX1"/>
      <c r="UBY1"/>
      <c r="UBZ1"/>
      <c r="UCA1"/>
      <c r="UCB1"/>
      <c r="UCC1"/>
      <c r="UCD1"/>
      <c r="UCE1"/>
      <c r="UCF1"/>
      <c r="UCG1"/>
      <c r="UCH1"/>
      <c r="UCI1"/>
      <c r="UCJ1"/>
      <c r="UCK1"/>
      <c r="UCL1"/>
      <c r="UCM1"/>
      <c r="UCN1"/>
      <c r="UCO1"/>
      <c r="UCP1"/>
      <c r="UCQ1"/>
      <c r="UCR1"/>
      <c r="UCS1"/>
      <c r="UCT1"/>
      <c r="UCU1"/>
      <c r="UCV1"/>
      <c r="UCW1"/>
      <c r="UCX1"/>
      <c r="UCY1"/>
      <c r="UCZ1"/>
      <c r="UDA1"/>
      <c r="UDB1"/>
      <c r="UDC1"/>
      <c r="UDD1"/>
      <c r="UDE1"/>
      <c r="UDF1"/>
      <c r="UDG1"/>
      <c r="UDH1"/>
      <c r="UDI1"/>
      <c r="UDJ1"/>
      <c r="UDK1"/>
      <c r="UDL1"/>
      <c r="UDM1"/>
      <c r="UDN1"/>
      <c r="UDO1"/>
      <c r="UDP1"/>
      <c r="UDQ1"/>
      <c r="UDR1"/>
      <c r="UDS1"/>
      <c r="UDT1"/>
      <c r="UDU1"/>
      <c r="UDV1"/>
      <c r="UDW1"/>
      <c r="UDX1"/>
      <c r="UDY1"/>
      <c r="UDZ1"/>
      <c r="UEA1"/>
      <c r="UEB1"/>
      <c r="UEC1"/>
      <c r="UED1"/>
      <c r="UEE1"/>
      <c r="UEF1"/>
      <c r="UEG1"/>
      <c r="UEH1"/>
      <c r="UEI1"/>
      <c r="UEJ1"/>
      <c r="UEK1"/>
      <c r="UEL1"/>
      <c r="UEM1"/>
      <c r="UEN1"/>
      <c r="UEO1"/>
      <c r="UEP1"/>
      <c r="UEQ1"/>
      <c r="UER1"/>
      <c r="UES1"/>
      <c r="UET1"/>
      <c r="UEU1"/>
      <c r="UEV1"/>
      <c r="UEW1"/>
      <c r="UEX1"/>
      <c r="UEY1"/>
      <c r="UEZ1"/>
      <c r="UFA1"/>
      <c r="UFB1"/>
      <c r="UFC1"/>
      <c r="UFD1"/>
      <c r="UFE1"/>
      <c r="UFF1"/>
      <c r="UFG1"/>
      <c r="UFH1"/>
      <c r="UFI1"/>
      <c r="UFJ1"/>
      <c r="UFK1"/>
      <c r="UFL1"/>
      <c r="UFM1"/>
      <c r="UFN1"/>
      <c r="UFO1"/>
      <c r="UFP1"/>
      <c r="UFQ1"/>
      <c r="UFR1"/>
      <c r="UFS1"/>
      <c r="UFT1"/>
      <c r="UFU1"/>
      <c r="UFV1"/>
      <c r="UFW1"/>
      <c r="UFX1"/>
      <c r="UFY1"/>
      <c r="UFZ1"/>
      <c r="UGA1"/>
      <c r="UGB1"/>
      <c r="UGC1"/>
      <c r="UGD1"/>
      <c r="UGE1"/>
      <c r="UGF1"/>
      <c r="UGG1"/>
      <c r="UGH1"/>
      <c r="UGI1"/>
      <c r="UGJ1"/>
      <c r="UGK1"/>
      <c r="UGL1"/>
      <c r="UGM1"/>
      <c r="UGN1"/>
      <c r="UGO1"/>
      <c r="UGP1"/>
      <c r="UGQ1"/>
      <c r="UGR1"/>
      <c r="UGS1"/>
      <c r="UGT1"/>
      <c r="UGU1"/>
      <c r="UGV1"/>
      <c r="UGW1"/>
      <c r="UGX1"/>
      <c r="UGY1"/>
      <c r="UGZ1"/>
      <c r="UHA1"/>
      <c r="UHB1"/>
      <c r="UHC1"/>
      <c r="UHD1"/>
      <c r="UHE1"/>
      <c r="UHF1"/>
      <c r="UHG1"/>
      <c r="UHH1"/>
      <c r="UHI1"/>
      <c r="UHJ1"/>
      <c r="UHK1"/>
      <c r="UHL1"/>
      <c r="UHM1"/>
      <c r="UHN1"/>
      <c r="UHO1"/>
      <c r="UHP1"/>
      <c r="UHQ1"/>
      <c r="UHR1"/>
      <c r="UHS1"/>
      <c r="UHT1"/>
      <c r="UHU1"/>
      <c r="UHV1"/>
      <c r="UHW1"/>
      <c r="UHX1"/>
      <c r="UHY1"/>
      <c r="UHZ1"/>
      <c r="UIA1"/>
      <c r="UIB1"/>
      <c r="UIC1"/>
      <c r="UID1"/>
      <c r="UIE1"/>
      <c r="UIF1"/>
      <c r="UIG1"/>
      <c r="UIH1"/>
      <c r="UII1"/>
      <c r="UIJ1"/>
      <c r="UIK1"/>
      <c r="UIL1"/>
      <c r="UIM1"/>
      <c r="UIN1"/>
      <c r="UIO1"/>
      <c r="UIP1"/>
      <c r="UIQ1"/>
      <c r="UIR1"/>
      <c r="UIS1"/>
      <c r="UIT1"/>
      <c r="UIU1"/>
      <c r="UIV1"/>
      <c r="UIW1"/>
      <c r="UIX1"/>
      <c r="UIY1"/>
      <c r="UIZ1"/>
      <c r="UJA1"/>
      <c r="UJB1"/>
      <c r="UJC1"/>
      <c r="UJD1"/>
      <c r="UJE1"/>
      <c r="UJF1"/>
      <c r="UJG1"/>
      <c r="UJH1"/>
      <c r="UJI1"/>
      <c r="UJJ1"/>
      <c r="UJK1"/>
      <c r="UJL1"/>
      <c r="UJM1"/>
      <c r="UJN1"/>
      <c r="UJO1"/>
      <c r="UJP1"/>
      <c r="UJQ1"/>
      <c r="UJR1"/>
      <c r="UJS1"/>
      <c r="UJT1"/>
      <c r="UJU1"/>
      <c r="UJV1"/>
      <c r="UJW1"/>
      <c r="UJX1"/>
      <c r="UJY1"/>
      <c r="UJZ1"/>
      <c r="UKA1"/>
      <c r="UKB1"/>
      <c r="UKC1"/>
      <c r="UKD1"/>
      <c r="UKE1"/>
      <c r="UKF1"/>
      <c r="UKG1"/>
      <c r="UKH1"/>
      <c r="UKI1"/>
      <c r="UKJ1"/>
      <c r="UKK1"/>
      <c r="UKL1"/>
      <c r="UKM1"/>
      <c r="UKN1"/>
      <c r="UKO1"/>
      <c r="UKP1"/>
      <c r="UKQ1"/>
      <c r="UKR1"/>
      <c r="UKS1"/>
      <c r="UKT1"/>
      <c r="UKU1"/>
      <c r="UKV1"/>
      <c r="UKW1"/>
      <c r="UKX1"/>
      <c r="UKY1"/>
      <c r="UKZ1"/>
      <c r="ULA1"/>
      <c r="ULB1"/>
      <c r="ULC1"/>
      <c r="ULD1"/>
      <c r="ULE1"/>
      <c r="ULF1"/>
      <c r="ULG1"/>
      <c r="ULH1"/>
      <c r="ULI1"/>
      <c r="ULJ1"/>
      <c r="ULK1"/>
      <c r="ULL1"/>
      <c r="ULM1"/>
      <c r="ULN1"/>
      <c r="ULO1"/>
      <c r="ULP1"/>
      <c r="ULQ1"/>
      <c r="ULR1"/>
      <c r="ULS1"/>
      <c r="ULT1"/>
      <c r="ULU1"/>
      <c r="ULV1"/>
      <c r="ULW1"/>
      <c r="ULX1"/>
      <c r="ULY1"/>
      <c r="ULZ1"/>
      <c r="UMA1"/>
      <c r="UMB1"/>
      <c r="UMC1"/>
      <c r="UMD1"/>
      <c r="UME1"/>
      <c r="UMF1"/>
      <c r="UMG1"/>
      <c r="UMH1"/>
      <c r="UMI1"/>
      <c r="UMJ1"/>
      <c r="UMK1"/>
      <c r="UML1"/>
      <c r="UMM1"/>
      <c r="UMN1"/>
      <c r="UMO1"/>
      <c r="UMP1"/>
      <c r="UMQ1"/>
      <c r="UMR1"/>
      <c r="UMS1"/>
      <c r="UMT1"/>
      <c r="UMU1"/>
      <c r="UMV1"/>
      <c r="UMW1"/>
      <c r="UMX1"/>
      <c r="UMY1"/>
      <c r="UMZ1"/>
      <c r="UNA1"/>
      <c r="UNB1"/>
      <c r="UNC1"/>
      <c r="UND1"/>
      <c r="UNE1"/>
      <c r="UNF1"/>
      <c r="UNG1"/>
      <c r="UNH1"/>
      <c r="UNI1"/>
      <c r="UNJ1"/>
      <c r="UNK1"/>
      <c r="UNL1"/>
      <c r="UNM1"/>
      <c r="UNN1"/>
      <c r="UNO1"/>
      <c r="UNP1"/>
      <c r="UNQ1"/>
      <c r="UNR1"/>
      <c r="UNS1"/>
      <c r="UNT1"/>
      <c r="UNU1"/>
      <c r="UNV1"/>
      <c r="UNW1"/>
      <c r="UNX1"/>
      <c r="UNY1"/>
      <c r="UNZ1"/>
      <c r="UOA1"/>
      <c r="UOB1"/>
      <c r="UOC1"/>
      <c r="UOD1"/>
      <c r="UOE1"/>
      <c r="UOF1"/>
      <c r="UOG1"/>
      <c r="UOH1"/>
      <c r="UOI1"/>
      <c r="UOJ1"/>
      <c r="UOK1"/>
      <c r="UOL1"/>
      <c r="UOM1"/>
      <c r="UON1"/>
      <c r="UOO1"/>
      <c r="UOP1"/>
      <c r="UOQ1"/>
      <c r="UOR1"/>
      <c r="UOS1"/>
      <c r="UOT1"/>
      <c r="UOU1"/>
      <c r="UOV1"/>
      <c r="UOW1"/>
      <c r="UOX1"/>
      <c r="UOY1"/>
      <c r="UOZ1"/>
      <c r="UPA1"/>
      <c r="UPB1"/>
      <c r="UPC1"/>
      <c r="UPD1"/>
      <c r="UPE1"/>
      <c r="UPF1"/>
      <c r="UPG1"/>
      <c r="UPH1"/>
      <c r="UPI1"/>
      <c r="UPJ1"/>
      <c r="UPK1"/>
      <c r="UPL1"/>
      <c r="UPM1"/>
      <c r="UPN1"/>
      <c r="UPO1"/>
      <c r="UPP1"/>
      <c r="UPQ1"/>
      <c r="UPR1"/>
      <c r="UPS1"/>
      <c r="UPT1"/>
      <c r="UPU1"/>
      <c r="UPV1"/>
      <c r="UPW1"/>
      <c r="UPX1"/>
      <c r="UPY1"/>
      <c r="UPZ1"/>
      <c r="UQA1"/>
      <c r="UQB1"/>
      <c r="UQC1"/>
      <c r="UQD1"/>
      <c r="UQE1"/>
      <c r="UQF1"/>
      <c r="UQG1"/>
      <c r="UQH1"/>
      <c r="UQI1"/>
      <c r="UQJ1"/>
      <c r="UQK1"/>
      <c r="UQL1"/>
      <c r="UQM1"/>
      <c r="UQN1"/>
      <c r="UQO1"/>
      <c r="UQP1"/>
      <c r="UQQ1"/>
      <c r="UQR1"/>
      <c r="UQS1"/>
      <c r="UQT1"/>
      <c r="UQU1"/>
      <c r="UQV1"/>
      <c r="UQW1"/>
      <c r="UQX1"/>
      <c r="UQY1"/>
      <c r="UQZ1"/>
      <c r="URA1"/>
      <c r="URB1"/>
      <c r="URC1"/>
      <c r="URD1"/>
      <c r="URE1"/>
      <c r="URF1"/>
      <c r="URG1"/>
      <c r="URH1"/>
      <c r="URI1"/>
      <c r="URJ1"/>
      <c r="URK1"/>
      <c r="URL1"/>
      <c r="URM1"/>
      <c r="URN1"/>
      <c r="URO1"/>
      <c r="URP1"/>
      <c r="URQ1"/>
      <c r="URR1"/>
      <c r="URS1"/>
      <c r="URT1"/>
      <c r="URU1"/>
      <c r="URV1"/>
      <c r="URW1"/>
      <c r="URX1"/>
      <c r="URY1"/>
      <c r="URZ1"/>
      <c r="USA1"/>
      <c r="USB1"/>
      <c r="USC1"/>
      <c r="USD1"/>
      <c r="USE1"/>
      <c r="USF1"/>
      <c r="USG1"/>
      <c r="USH1"/>
      <c r="USI1"/>
      <c r="USJ1"/>
      <c r="USK1"/>
      <c r="USL1"/>
      <c r="USM1"/>
      <c r="USN1"/>
      <c r="USO1"/>
      <c r="USP1"/>
      <c r="USQ1"/>
      <c r="USR1"/>
      <c r="USS1"/>
      <c r="UST1"/>
      <c r="USU1"/>
      <c r="USV1"/>
      <c r="USW1"/>
      <c r="USX1"/>
      <c r="USY1"/>
      <c r="USZ1"/>
      <c r="UTA1"/>
      <c r="UTB1"/>
      <c r="UTC1"/>
      <c r="UTD1"/>
      <c r="UTE1"/>
      <c r="UTF1"/>
      <c r="UTG1"/>
      <c r="UTH1"/>
      <c r="UTI1"/>
      <c r="UTJ1"/>
      <c r="UTK1"/>
      <c r="UTL1"/>
      <c r="UTM1"/>
      <c r="UTN1"/>
      <c r="UTO1"/>
      <c r="UTP1"/>
      <c r="UTQ1"/>
      <c r="UTR1"/>
      <c r="UTS1"/>
      <c r="UTT1"/>
      <c r="UTU1"/>
      <c r="UTV1"/>
      <c r="UTW1"/>
      <c r="UTX1"/>
      <c r="UTY1"/>
      <c r="UTZ1"/>
      <c r="UUA1"/>
      <c r="UUB1"/>
      <c r="UUC1"/>
      <c r="UUD1"/>
      <c r="UUE1"/>
      <c r="UUF1"/>
      <c r="UUG1"/>
      <c r="UUH1"/>
      <c r="UUI1"/>
      <c r="UUJ1"/>
      <c r="UUK1"/>
      <c r="UUL1"/>
      <c r="UUM1"/>
      <c r="UUN1"/>
      <c r="UUO1"/>
      <c r="UUP1"/>
      <c r="UUQ1"/>
      <c r="UUR1"/>
      <c r="UUS1"/>
      <c r="UUT1"/>
      <c r="UUU1"/>
      <c r="UUV1"/>
      <c r="UUW1"/>
      <c r="UUX1"/>
      <c r="UUY1"/>
      <c r="UUZ1"/>
      <c r="UVA1"/>
      <c r="UVB1"/>
      <c r="UVC1"/>
      <c r="UVD1"/>
      <c r="UVE1"/>
      <c r="UVF1"/>
      <c r="UVG1"/>
      <c r="UVH1"/>
      <c r="UVI1"/>
      <c r="UVJ1"/>
      <c r="UVK1"/>
      <c r="UVL1"/>
      <c r="UVM1"/>
      <c r="UVN1"/>
      <c r="UVO1"/>
      <c r="UVP1"/>
      <c r="UVQ1"/>
      <c r="UVR1"/>
      <c r="UVS1"/>
      <c r="UVT1"/>
      <c r="UVU1"/>
      <c r="UVV1"/>
      <c r="UVW1"/>
      <c r="UVX1"/>
      <c r="UVY1"/>
      <c r="UVZ1"/>
      <c r="UWA1"/>
      <c r="UWB1"/>
      <c r="UWC1"/>
      <c r="UWD1"/>
      <c r="UWE1"/>
      <c r="UWF1"/>
      <c r="UWG1"/>
      <c r="UWH1"/>
      <c r="UWI1"/>
      <c r="UWJ1"/>
      <c r="UWK1"/>
      <c r="UWL1"/>
      <c r="UWM1"/>
      <c r="UWN1"/>
      <c r="UWO1"/>
      <c r="UWP1"/>
      <c r="UWQ1"/>
      <c r="UWR1"/>
      <c r="UWS1"/>
      <c r="UWT1"/>
      <c r="UWU1"/>
      <c r="UWV1"/>
      <c r="UWW1"/>
      <c r="UWX1"/>
      <c r="UWY1"/>
      <c r="UWZ1"/>
      <c r="UXA1"/>
      <c r="UXB1"/>
      <c r="UXC1"/>
      <c r="UXD1"/>
      <c r="UXE1"/>
      <c r="UXF1"/>
      <c r="UXG1"/>
      <c r="UXH1"/>
      <c r="UXI1"/>
      <c r="UXJ1"/>
      <c r="UXK1"/>
      <c r="UXL1"/>
      <c r="UXM1"/>
      <c r="UXN1"/>
      <c r="UXO1"/>
      <c r="UXP1"/>
      <c r="UXQ1"/>
      <c r="UXR1"/>
      <c r="UXS1"/>
      <c r="UXT1"/>
      <c r="UXU1"/>
      <c r="UXV1"/>
      <c r="UXW1"/>
      <c r="UXX1"/>
      <c r="UXY1"/>
      <c r="UXZ1"/>
      <c r="UYA1"/>
      <c r="UYB1"/>
      <c r="UYC1"/>
      <c r="UYD1"/>
      <c r="UYE1"/>
      <c r="UYF1"/>
      <c r="UYG1"/>
      <c r="UYH1"/>
      <c r="UYI1"/>
      <c r="UYJ1"/>
      <c r="UYK1"/>
      <c r="UYL1"/>
      <c r="UYM1"/>
      <c r="UYN1"/>
      <c r="UYO1"/>
      <c r="UYP1"/>
      <c r="UYQ1"/>
      <c r="UYR1"/>
      <c r="UYS1"/>
      <c r="UYT1"/>
      <c r="UYU1"/>
      <c r="UYV1"/>
      <c r="UYW1"/>
      <c r="UYX1"/>
      <c r="UYY1"/>
      <c r="UYZ1"/>
      <c r="UZA1"/>
      <c r="UZB1"/>
      <c r="UZC1"/>
      <c r="UZD1"/>
      <c r="UZE1"/>
      <c r="UZF1"/>
      <c r="UZG1"/>
      <c r="UZH1"/>
      <c r="UZI1"/>
      <c r="UZJ1"/>
      <c r="UZK1"/>
      <c r="UZL1"/>
      <c r="UZM1"/>
      <c r="UZN1"/>
      <c r="UZO1"/>
      <c r="UZP1"/>
      <c r="UZQ1"/>
      <c r="UZR1"/>
      <c r="UZS1"/>
      <c r="UZT1"/>
      <c r="UZU1"/>
      <c r="UZV1"/>
      <c r="UZW1"/>
      <c r="UZX1"/>
      <c r="UZY1"/>
      <c r="UZZ1"/>
      <c r="VAA1"/>
      <c r="VAB1"/>
      <c r="VAC1"/>
      <c r="VAD1"/>
      <c r="VAE1"/>
      <c r="VAF1"/>
      <c r="VAG1"/>
      <c r="VAH1"/>
      <c r="VAI1"/>
      <c r="VAJ1"/>
      <c r="VAK1"/>
      <c r="VAL1"/>
      <c r="VAM1"/>
      <c r="VAN1"/>
      <c r="VAO1"/>
      <c r="VAP1"/>
      <c r="VAQ1"/>
      <c r="VAR1"/>
      <c r="VAS1"/>
      <c r="VAT1"/>
      <c r="VAU1"/>
      <c r="VAV1"/>
      <c r="VAW1"/>
      <c r="VAX1"/>
      <c r="VAY1"/>
      <c r="VAZ1"/>
      <c r="VBA1"/>
      <c r="VBB1"/>
      <c r="VBC1"/>
      <c r="VBD1"/>
      <c r="VBE1"/>
      <c r="VBF1"/>
      <c r="VBG1"/>
      <c r="VBH1"/>
      <c r="VBI1"/>
      <c r="VBJ1"/>
      <c r="VBK1"/>
      <c r="VBL1"/>
      <c r="VBM1"/>
      <c r="VBN1"/>
      <c r="VBO1"/>
      <c r="VBP1"/>
      <c r="VBQ1"/>
      <c r="VBR1"/>
      <c r="VBS1"/>
      <c r="VBT1"/>
      <c r="VBU1"/>
      <c r="VBV1"/>
      <c r="VBW1"/>
      <c r="VBX1"/>
      <c r="VBY1"/>
      <c r="VBZ1"/>
      <c r="VCA1"/>
      <c r="VCB1"/>
      <c r="VCC1"/>
      <c r="VCD1"/>
      <c r="VCE1"/>
      <c r="VCF1"/>
      <c r="VCG1"/>
      <c r="VCH1"/>
      <c r="VCI1"/>
      <c r="VCJ1"/>
      <c r="VCK1"/>
      <c r="VCL1"/>
      <c r="VCM1"/>
      <c r="VCN1"/>
      <c r="VCO1"/>
      <c r="VCP1"/>
      <c r="VCQ1"/>
      <c r="VCR1"/>
      <c r="VCS1"/>
      <c r="VCT1"/>
      <c r="VCU1"/>
      <c r="VCV1"/>
      <c r="VCW1"/>
      <c r="VCX1"/>
      <c r="VCY1"/>
      <c r="VCZ1"/>
      <c r="VDA1"/>
      <c r="VDB1"/>
      <c r="VDC1"/>
      <c r="VDD1"/>
      <c r="VDE1"/>
      <c r="VDF1"/>
      <c r="VDG1"/>
      <c r="VDH1"/>
      <c r="VDI1"/>
      <c r="VDJ1"/>
      <c r="VDK1"/>
      <c r="VDL1"/>
      <c r="VDM1"/>
      <c r="VDN1"/>
      <c r="VDO1"/>
      <c r="VDP1"/>
      <c r="VDQ1"/>
      <c r="VDR1"/>
      <c r="VDS1"/>
      <c r="VDT1"/>
      <c r="VDU1"/>
      <c r="VDV1"/>
      <c r="VDW1"/>
      <c r="VDX1"/>
      <c r="VDY1"/>
      <c r="VDZ1"/>
      <c r="VEA1"/>
      <c r="VEB1"/>
      <c r="VEC1"/>
      <c r="VED1"/>
      <c r="VEE1"/>
      <c r="VEF1"/>
      <c r="VEG1"/>
      <c r="VEH1"/>
      <c r="VEI1"/>
      <c r="VEJ1"/>
      <c r="VEK1"/>
      <c r="VEL1"/>
      <c r="VEM1"/>
      <c r="VEN1"/>
      <c r="VEO1"/>
      <c r="VEP1"/>
      <c r="VEQ1"/>
      <c r="VER1"/>
      <c r="VES1"/>
      <c r="VET1"/>
      <c r="VEU1"/>
      <c r="VEV1"/>
      <c r="VEW1"/>
      <c r="VEX1"/>
      <c r="VEY1"/>
      <c r="VEZ1"/>
      <c r="VFA1"/>
      <c r="VFB1"/>
      <c r="VFC1"/>
      <c r="VFD1"/>
      <c r="VFE1"/>
      <c r="VFF1"/>
      <c r="VFG1"/>
      <c r="VFH1"/>
      <c r="VFI1"/>
      <c r="VFJ1"/>
      <c r="VFK1"/>
      <c r="VFL1"/>
      <c r="VFM1"/>
      <c r="VFN1"/>
      <c r="VFO1"/>
      <c r="VFP1"/>
      <c r="VFQ1"/>
      <c r="VFR1"/>
      <c r="VFS1"/>
      <c r="VFT1"/>
      <c r="VFU1"/>
      <c r="VFV1"/>
      <c r="VFW1"/>
      <c r="VFX1"/>
      <c r="VFY1"/>
      <c r="VFZ1"/>
      <c r="VGA1"/>
      <c r="VGB1"/>
      <c r="VGC1"/>
      <c r="VGD1"/>
      <c r="VGE1"/>
      <c r="VGF1"/>
      <c r="VGG1"/>
      <c r="VGH1"/>
      <c r="VGI1"/>
      <c r="VGJ1"/>
      <c r="VGK1"/>
      <c r="VGL1"/>
      <c r="VGM1"/>
      <c r="VGN1"/>
      <c r="VGO1"/>
      <c r="VGP1"/>
      <c r="VGQ1"/>
      <c r="VGR1"/>
      <c r="VGS1"/>
      <c r="VGT1"/>
      <c r="VGU1"/>
      <c r="VGV1"/>
      <c r="VGW1"/>
      <c r="VGX1"/>
      <c r="VGY1"/>
      <c r="VGZ1"/>
      <c r="VHA1"/>
      <c r="VHB1"/>
      <c r="VHC1"/>
      <c r="VHD1"/>
      <c r="VHE1"/>
      <c r="VHF1"/>
      <c r="VHG1"/>
      <c r="VHH1"/>
      <c r="VHI1"/>
      <c r="VHJ1"/>
      <c r="VHK1"/>
      <c r="VHL1"/>
      <c r="VHM1"/>
      <c r="VHN1"/>
      <c r="VHO1"/>
      <c r="VHP1"/>
      <c r="VHQ1"/>
      <c r="VHR1"/>
      <c r="VHS1"/>
      <c r="VHT1"/>
      <c r="VHU1"/>
      <c r="VHV1"/>
      <c r="VHW1"/>
      <c r="VHX1"/>
      <c r="VHY1"/>
      <c r="VHZ1"/>
      <c r="VIA1"/>
      <c r="VIB1"/>
      <c r="VIC1"/>
      <c r="VID1"/>
      <c r="VIE1"/>
      <c r="VIF1"/>
      <c r="VIG1"/>
      <c r="VIH1"/>
      <c r="VII1"/>
      <c r="VIJ1"/>
      <c r="VIK1"/>
      <c r="VIL1"/>
      <c r="VIM1"/>
      <c r="VIN1"/>
      <c r="VIO1"/>
      <c r="VIP1"/>
      <c r="VIQ1"/>
      <c r="VIR1"/>
      <c r="VIS1"/>
      <c r="VIT1"/>
      <c r="VIU1"/>
      <c r="VIV1"/>
      <c r="VIW1"/>
      <c r="VIX1"/>
      <c r="VIY1"/>
      <c r="VIZ1"/>
      <c r="VJA1"/>
      <c r="VJB1"/>
      <c r="VJC1"/>
      <c r="VJD1"/>
      <c r="VJE1"/>
      <c r="VJF1"/>
      <c r="VJG1"/>
      <c r="VJH1"/>
      <c r="VJI1"/>
      <c r="VJJ1"/>
      <c r="VJK1"/>
      <c r="VJL1"/>
      <c r="VJM1"/>
      <c r="VJN1"/>
      <c r="VJO1"/>
      <c r="VJP1"/>
      <c r="VJQ1"/>
      <c r="VJR1"/>
      <c r="VJS1"/>
      <c r="VJT1"/>
      <c r="VJU1"/>
      <c r="VJV1"/>
      <c r="VJW1"/>
      <c r="VJX1"/>
      <c r="VJY1"/>
      <c r="VJZ1"/>
      <c r="VKA1"/>
      <c r="VKB1"/>
      <c r="VKC1"/>
      <c r="VKD1"/>
      <c r="VKE1"/>
      <c r="VKF1"/>
      <c r="VKG1"/>
      <c r="VKH1"/>
      <c r="VKI1"/>
      <c r="VKJ1"/>
      <c r="VKK1"/>
      <c r="VKL1"/>
      <c r="VKM1"/>
      <c r="VKN1"/>
      <c r="VKO1"/>
      <c r="VKP1"/>
      <c r="VKQ1"/>
      <c r="VKR1"/>
      <c r="VKS1"/>
      <c r="VKT1"/>
      <c r="VKU1"/>
      <c r="VKV1"/>
      <c r="VKW1"/>
      <c r="VKX1"/>
      <c r="VKY1"/>
      <c r="VKZ1"/>
      <c r="VLA1"/>
      <c r="VLB1"/>
      <c r="VLC1"/>
      <c r="VLD1"/>
      <c r="VLE1"/>
      <c r="VLF1"/>
      <c r="VLG1"/>
      <c r="VLH1"/>
      <c r="VLI1"/>
      <c r="VLJ1"/>
      <c r="VLK1"/>
      <c r="VLL1"/>
      <c r="VLM1"/>
      <c r="VLN1"/>
      <c r="VLO1"/>
      <c r="VLP1"/>
      <c r="VLQ1"/>
      <c r="VLR1"/>
      <c r="VLS1"/>
      <c r="VLT1"/>
      <c r="VLU1"/>
      <c r="VLV1"/>
      <c r="VLW1"/>
      <c r="VLX1"/>
      <c r="VLY1"/>
      <c r="VLZ1"/>
      <c r="VMA1"/>
      <c r="VMB1"/>
      <c r="VMC1"/>
      <c r="VMD1"/>
      <c r="VME1"/>
      <c r="VMF1"/>
      <c r="VMG1"/>
      <c r="VMH1"/>
      <c r="VMI1"/>
      <c r="VMJ1"/>
      <c r="VMK1"/>
      <c r="VML1"/>
      <c r="VMM1"/>
      <c r="VMN1"/>
      <c r="VMO1"/>
      <c r="VMP1"/>
      <c r="VMQ1"/>
      <c r="VMR1"/>
      <c r="VMS1"/>
      <c r="VMT1"/>
      <c r="VMU1"/>
      <c r="VMV1"/>
      <c r="VMW1"/>
      <c r="VMX1"/>
      <c r="VMY1"/>
      <c r="VMZ1"/>
      <c r="VNA1"/>
      <c r="VNB1"/>
      <c r="VNC1"/>
      <c r="VND1"/>
      <c r="VNE1"/>
      <c r="VNF1"/>
      <c r="VNG1"/>
      <c r="VNH1"/>
      <c r="VNI1"/>
      <c r="VNJ1"/>
      <c r="VNK1"/>
      <c r="VNL1"/>
      <c r="VNM1"/>
      <c r="VNN1"/>
      <c r="VNO1"/>
      <c r="VNP1"/>
      <c r="VNQ1"/>
      <c r="VNR1"/>
      <c r="VNS1"/>
      <c r="VNT1"/>
      <c r="VNU1"/>
      <c r="VNV1"/>
      <c r="VNW1"/>
      <c r="VNX1"/>
      <c r="VNY1"/>
      <c r="VNZ1"/>
      <c r="VOA1"/>
      <c r="VOB1"/>
      <c r="VOC1"/>
      <c r="VOD1"/>
      <c r="VOE1"/>
      <c r="VOF1"/>
      <c r="VOG1"/>
      <c r="VOH1"/>
      <c r="VOI1"/>
      <c r="VOJ1"/>
      <c r="VOK1"/>
      <c r="VOL1"/>
      <c r="VOM1"/>
      <c r="VON1"/>
      <c r="VOO1"/>
      <c r="VOP1"/>
      <c r="VOQ1"/>
      <c r="VOR1"/>
      <c r="VOS1"/>
      <c r="VOT1"/>
      <c r="VOU1"/>
      <c r="VOV1"/>
      <c r="VOW1"/>
      <c r="VOX1"/>
      <c r="VOY1"/>
      <c r="VOZ1"/>
      <c r="VPA1"/>
      <c r="VPB1"/>
      <c r="VPC1"/>
      <c r="VPD1"/>
      <c r="VPE1"/>
      <c r="VPF1"/>
      <c r="VPG1"/>
      <c r="VPH1"/>
      <c r="VPI1"/>
      <c r="VPJ1"/>
      <c r="VPK1"/>
      <c r="VPL1"/>
      <c r="VPM1"/>
      <c r="VPN1"/>
      <c r="VPO1"/>
      <c r="VPP1"/>
      <c r="VPQ1"/>
      <c r="VPR1"/>
      <c r="VPS1"/>
      <c r="VPT1"/>
      <c r="VPU1"/>
      <c r="VPV1"/>
      <c r="VPW1"/>
      <c r="VPX1"/>
      <c r="VPY1"/>
      <c r="VPZ1"/>
      <c r="VQA1"/>
      <c r="VQB1"/>
      <c r="VQC1"/>
      <c r="VQD1"/>
      <c r="VQE1"/>
      <c r="VQF1"/>
      <c r="VQG1"/>
      <c r="VQH1"/>
      <c r="VQI1"/>
      <c r="VQJ1"/>
      <c r="VQK1"/>
      <c r="VQL1"/>
      <c r="VQM1"/>
      <c r="VQN1"/>
      <c r="VQO1"/>
      <c r="VQP1"/>
      <c r="VQQ1"/>
      <c r="VQR1"/>
      <c r="VQS1"/>
      <c r="VQT1"/>
      <c r="VQU1"/>
      <c r="VQV1"/>
      <c r="VQW1"/>
      <c r="VQX1"/>
      <c r="VQY1"/>
      <c r="VQZ1"/>
      <c r="VRA1"/>
      <c r="VRB1"/>
      <c r="VRC1"/>
      <c r="VRD1"/>
      <c r="VRE1"/>
      <c r="VRF1"/>
      <c r="VRG1"/>
      <c r="VRH1"/>
      <c r="VRI1"/>
      <c r="VRJ1"/>
      <c r="VRK1"/>
      <c r="VRL1"/>
      <c r="VRM1"/>
      <c r="VRN1"/>
      <c r="VRO1"/>
      <c r="VRP1"/>
      <c r="VRQ1"/>
      <c r="VRR1"/>
      <c r="VRS1"/>
      <c r="VRT1"/>
      <c r="VRU1"/>
      <c r="VRV1"/>
      <c r="VRW1"/>
      <c r="VRX1"/>
      <c r="VRY1"/>
      <c r="VRZ1"/>
      <c r="VSA1"/>
      <c r="VSB1"/>
      <c r="VSC1"/>
      <c r="VSD1"/>
      <c r="VSE1"/>
      <c r="VSF1"/>
      <c r="VSG1"/>
      <c r="VSH1"/>
      <c r="VSI1"/>
      <c r="VSJ1"/>
      <c r="VSK1"/>
      <c r="VSL1"/>
      <c r="VSM1"/>
      <c r="VSN1"/>
      <c r="VSO1"/>
      <c r="VSP1"/>
      <c r="VSQ1"/>
      <c r="VSR1"/>
      <c r="VSS1"/>
      <c r="VST1"/>
      <c r="VSU1"/>
      <c r="VSV1"/>
      <c r="VSW1"/>
      <c r="VSX1"/>
      <c r="VSY1"/>
      <c r="VSZ1"/>
      <c r="VTA1"/>
      <c r="VTB1"/>
      <c r="VTC1"/>
      <c r="VTD1"/>
      <c r="VTE1"/>
      <c r="VTF1"/>
      <c r="VTG1"/>
      <c r="VTH1"/>
      <c r="VTI1"/>
      <c r="VTJ1"/>
      <c r="VTK1"/>
      <c r="VTL1"/>
      <c r="VTM1"/>
      <c r="VTN1"/>
      <c r="VTO1"/>
      <c r="VTP1"/>
      <c r="VTQ1"/>
      <c r="VTR1"/>
      <c r="VTS1"/>
      <c r="VTT1"/>
      <c r="VTU1"/>
      <c r="VTV1"/>
      <c r="VTW1"/>
      <c r="VTX1"/>
      <c r="VTY1"/>
      <c r="VTZ1"/>
      <c r="VUA1"/>
      <c r="VUB1"/>
      <c r="VUC1"/>
      <c r="VUD1"/>
      <c r="VUE1"/>
      <c r="VUF1"/>
      <c r="VUG1"/>
      <c r="VUH1"/>
      <c r="VUI1"/>
      <c r="VUJ1"/>
      <c r="VUK1"/>
      <c r="VUL1"/>
      <c r="VUM1"/>
      <c r="VUN1"/>
      <c r="VUO1"/>
      <c r="VUP1"/>
      <c r="VUQ1"/>
      <c r="VUR1"/>
      <c r="VUS1"/>
      <c r="VUT1"/>
      <c r="VUU1"/>
      <c r="VUV1"/>
      <c r="VUW1"/>
      <c r="VUX1"/>
      <c r="VUY1"/>
      <c r="VUZ1"/>
      <c r="VVA1"/>
      <c r="VVB1"/>
      <c r="VVC1"/>
      <c r="VVD1"/>
      <c r="VVE1"/>
      <c r="VVF1"/>
      <c r="VVG1"/>
      <c r="VVH1"/>
      <c r="VVI1"/>
      <c r="VVJ1"/>
      <c r="VVK1"/>
      <c r="VVL1"/>
      <c r="VVM1"/>
      <c r="VVN1"/>
      <c r="VVO1"/>
      <c r="VVP1"/>
      <c r="VVQ1"/>
      <c r="VVR1"/>
      <c r="VVS1"/>
      <c r="VVT1"/>
      <c r="VVU1"/>
      <c r="VVV1"/>
      <c r="VVW1"/>
      <c r="VVX1"/>
      <c r="VVY1"/>
      <c r="VVZ1"/>
      <c r="VWA1"/>
      <c r="VWB1"/>
      <c r="VWC1"/>
      <c r="VWD1"/>
      <c r="VWE1"/>
      <c r="VWF1"/>
      <c r="VWG1"/>
      <c r="VWH1"/>
      <c r="VWI1"/>
      <c r="VWJ1"/>
      <c r="VWK1"/>
      <c r="VWL1"/>
      <c r="VWM1"/>
      <c r="VWN1"/>
      <c r="VWO1"/>
      <c r="VWP1"/>
      <c r="VWQ1"/>
      <c r="VWR1"/>
      <c r="VWS1"/>
      <c r="VWT1"/>
      <c r="VWU1"/>
      <c r="VWV1"/>
      <c r="VWW1"/>
      <c r="VWX1"/>
      <c r="VWY1"/>
      <c r="VWZ1"/>
      <c r="VXA1"/>
      <c r="VXB1"/>
      <c r="VXC1"/>
      <c r="VXD1"/>
      <c r="VXE1"/>
      <c r="VXF1"/>
      <c r="VXG1"/>
      <c r="VXH1"/>
      <c r="VXI1"/>
      <c r="VXJ1"/>
      <c r="VXK1"/>
      <c r="VXL1"/>
      <c r="VXM1"/>
      <c r="VXN1"/>
      <c r="VXO1"/>
      <c r="VXP1"/>
      <c r="VXQ1"/>
      <c r="VXR1"/>
      <c r="VXS1"/>
      <c r="VXT1"/>
      <c r="VXU1"/>
      <c r="VXV1"/>
      <c r="VXW1"/>
      <c r="VXX1"/>
      <c r="VXY1"/>
      <c r="VXZ1"/>
      <c r="VYA1"/>
      <c r="VYB1"/>
      <c r="VYC1"/>
      <c r="VYD1"/>
      <c r="VYE1"/>
      <c r="VYF1"/>
      <c r="VYG1"/>
      <c r="VYH1"/>
      <c r="VYI1"/>
      <c r="VYJ1"/>
      <c r="VYK1"/>
      <c r="VYL1"/>
      <c r="VYM1"/>
      <c r="VYN1"/>
      <c r="VYO1"/>
      <c r="VYP1"/>
      <c r="VYQ1"/>
      <c r="VYR1"/>
      <c r="VYS1"/>
      <c r="VYT1"/>
      <c r="VYU1"/>
      <c r="VYV1"/>
      <c r="VYW1"/>
      <c r="VYX1"/>
      <c r="VYY1"/>
      <c r="VYZ1"/>
      <c r="VZA1"/>
      <c r="VZB1"/>
      <c r="VZC1"/>
      <c r="VZD1"/>
      <c r="VZE1"/>
      <c r="VZF1"/>
      <c r="VZG1"/>
      <c r="VZH1"/>
      <c r="VZI1"/>
      <c r="VZJ1"/>
      <c r="VZK1"/>
      <c r="VZL1"/>
      <c r="VZM1"/>
      <c r="VZN1"/>
      <c r="VZO1"/>
      <c r="VZP1"/>
      <c r="VZQ1"/>
      <c r="VZR1"/>
      <c r="VZS1"/>
      <c r="VZT1"/>
      <c r="VZU1"/>
      <c r="VZV1"/>
      <c r="VZW1"/>
      <c r="VZX1"/>
      <c r="VZY1"/>
      <c r="VZZ1"/>
      <c r="WAA1"/>
      <c r="WAB1"/>
      <c r="WAC1"/>
      <c r="WAD1"/>
      <c r="WAE1"/>
      <c r="WAF1"/>
      <c r="WAG1"/>
      <c r="WAH1"/>
      <c r="WAI1"/>
      <c r="WAJ1"/>
      <c r="WAK1"/>
      <c r="WAL1"/>
      <c r="WAM1"/>
      <c r="WAN1"/>
      <c r="WAO1"/>
      <c r="WAP1"/>
      <c r="WAQ1"/>
      <c r="WAR1"/>
      <c r="WAS1"/>
      <c r="WAT1"/>
      <c r="WAU1"/>
      <c r="WAV1"/>
      <c r="WAW1"/>
      <c r="WAX1"/>
      <c r="WAY1"/>
      <c r="WAZ1"/>
      <c r="WBA1"/>
      <c r="WBB1"/>
      <c r="WBC1"/>
      <c r="WBD1"/>
      <c r="WBE1"/>
      <c r="WBF1"/>
      <c r="WBG1"/>
      <c r="WBH1"/>
      <c r="WBI1"/>
      <c r="WBJ1"/>
      <c r="WBK1"/>
      <c r="WBL1"/>
      <c r="WBM1"/>
      <c r="WBN1"/>
      <c r="WBO1"/>
      <c r="WBP1"/>
      <c r="WBQ1"/>
      <c r="WBR1"/>
      <c r="WBS1"/>
      <c r="WBT1"/>
      <c r="WBU1"/>
      <c r="WBV1"/>
      <c r="WBW1"/>
      <c r="WBX1"/>
      <c r="WBY1"/>
      <c r="WBZ1"/>
      <c r="WCA1"/>
      <c r="WCB1"/>
      <c r="WCC1"/>
      <c r="WCD1"/>
      <c r="WCE1"/>
      <c r="WCF1"/>
      <c r="WCG1"/>
      <c r="WCH1"/>
      <c r="WCI1"/>
      <c r="WCJ1"/>
      <c r="WCK1"/>
      <c r="WCL1"/>
      <c r="WCM1"/>
      <c r="WCN1"/>
      <c r="WCO1"/>
      <c r="WCP1"/>
      <c r="WCQ1"/>
      <c r="WCR1"/>
      <c r="WCS1"/>
      <c r="WCT1"/>
      <c r="WCU1"/>
      <c r="WCV1"/>
      <c r="WCW1"/>
      <c r="WCX1"/>
      <c r="WCY1"/>
      <c r="WCZ1"/>
      <c r="WDA1"/>
      <c r="WDB1"/>
      <c r="WDC1"/>
      <c r="WDD1"/>
      <c r="WDE1"/>
      <c r="WDF1"/>
      <c r="WDG1"/>
      <c r="WDH1"/>
      <c r="WDI1"/>
      <c r="WDJ1"/>
      <c r="WDK1"/>
      <c r="WDL1"/>
      <c r="WDM1"/>
      <c r="WDN1"/>
      <c r="WDO1"/>
      <c r="WDP1"/>
      <c r="WDQ1"/>
      <c r="WDR1"/>
      <c r="WDS1"/>
      <c r="WDT1"/>
      <c r="WDU1"/>
      <c r="WDV1"/>
      <c r="WDW1"/>
      <c r="WDX1"/>
      <c r="WDY1"/>
      <c r="WDZ1"/>
      <c r="WEA1"/>
      <c r="WEB1"/>
      <c r="WEC1"/>
      <c r="WED1"/>
      <c r="WEE1"/>
      <c r="WEF1"/>
      <c r="WEG1"/>
      <c r="WEH1"/>
      <c r="WEI1"/>
      <c r="WEJ1"/>
      <c r="WEK1"/>
      <c r="WEL1"/>
      <c r="WEM1"/>
      <c r="WEN1"/>
      <c r="WEO1"/>
      <c r="WEP1"/>
      <c r="WEQ1"/>
      <c r="WER1"/>
      <c r="WES1"/>
      <c r="WET1"/>
      <c r="WEU1"/>
      <c r="WEV1"/>
      <c r="WEW1"/>
      <c r="WEX1"/>
      <c r="WEY1"/>
      <c r="WEZ1"/>
      <c r="WFA1"/>
      <c r="WFB1"/>
      <c r="WFC1"/>
      <c r="WFD1"/>
      <c r="WFE1"/>
      <c r="WFF1"/>
      <c r="WFG1"/>
      <c r="WFH1"/>
      <c r="WFI1"/>
      <c r="WFJ1"/>
      <c r="WFK1"/>
      <c r="WFL1"/>
      <c r="WFM1"/>
      <c r="WFN1"/>
      <c r="WFO1"/>
      <c r="WFP1"/>
      <c r="WFQ1"/>
      <c r="WFR1"/>
      <c r="WFS1"/>
      <c r="WFT1"/>
      <c r="WFU1"/>
      <c r="WFV1"/>
      <c r="WFW1"/>
      <c r="WFX1"/>
      <c r="WFY1"/>
      <c r="WFZ1"/>
      <c r="WGA1"/>
      <c r="WGB1"/>
      <c r="WGC1"/>
      <c r="WGD1"/>
      <c r="WGE1"/>
      <c r="WGF1"/>
      <c r="WGG1"/>
      <c r="WGH1"/>
      <c r="WGI1"/>
      <c r="WGJ1"/>
      <c r="WGK1"/>
      <c r="WGL1"/>
      <c r="WGM1"/>
      <c r="WGN1"/>
      <c r="WGO1"/>
      <c r="WGP1"/>
      <c r="WGQ1"/>
      <c r="WGR1"/>
      <c r="WGS1"/>
      <c r="WGT1"/>
      <c r="WGU1"/>
      <c r="WGV1"/>
      <c r="WGW1"/>
      <c r="WGX1"/>
      <c r="WGY1"/>
      <c r="WGZ1"/>
      <c r="WHA1"/>
      <c r="WHB1"/>
      <c r="WHC1"/>
      <c r="WHD1"/>
      <c r="WHE1"/>
      <c r="WHF1"/>
      <c r="WHG1"/>
      <c r="WHH1"/>
      <c r="WHI1"/>
      <c r="WHJ1"/>
      <c r="WHK1"/>
      <c r="WHL1"/>
      <c r="WHM1"/>
      <c r="WHN1"/>
      <c r="WHO1"/>
      <c r="WHP1"/>
      <c r="WHQ1"/>
      <c r="WHR1"/>
      <c r="WHS1"/>
      <c r="WHT1"/>
      <c r="WHU1"/>
      <c r="WHV1"/>
      <c r="WHW1"/>
      <c r="WHX1"/>
      <c r="WHY1"/>
      <c r="WHZ1"/>
      <c r="WIA1"/>
      <c r="WIB1"/>
      <c r="WIC1"/>
      <c r="WID1"/>
      <c r="WIE1"/>
      <c r="WIF1"/>
      <c r="WIG1"/>
      <c r="WIH1"/>
      <c r="WII1"/>
      <c r="WIJ1"/>
      <c r="WIK1"/>
      <c r="WIL1"/>
      <c r="WIM1"/>
      <c r="WIN1"/>
      <c r="WIO1"/>
      <c r="WIP1"/>
      <c r="WIQ1"/>
      <c r="WIR1"/>
      <c r="WIS1"/>
      <c r="WIT1"/>
      <c r="WIU1"/>
      <c r="WIV1"/>
      <c r="WIW1"/>
      <c r="WIX1"/>
      <c r="WIY1"/>
      <c r="WIZ1"/>
      <c r="WJA1"/>
      <c r="WJB1"/>
      <c r="WJC1"/>
      <c r="WJD1"/>
      <c r="WJE1"/>
      <c r="WJF1"/>
      <c r="WJG1"/>
      <c r="WJH1"/>
      <c r="WJI1"/>
      <c r="WJJ1"/>
      <c r="WJK1"/>
      <c r="WJL1"/>
      <c r="WJM1"/>
      <c r="WJN1"/>
      <c r="WJO1"/>
      <c r="WJP1"/>
      <c r="WJQ1"/>
      <c r="WJR1"/>
      <c r="WJS1"/>
      <c r="WJT1"/>
      <c r="WJU1"/>
      <c r="WJV1"/>
      <c r="WJW1"/>
      <c r="WJX1"/>
      <c r="WJY1"/>
      <c r="WJZ1"/>
      <c r="WKA1"/>
      <c r="WKB1"/>
      <c r="WKC1"/>
      <c r="WKD1"/>
      <c r="WKE1"/>
      <c r="WKF1"/>
      <c r="WKG1"/>
      <c r="WKH1"/>
      <c r="WKI1"/>
      <c r="WKJ1"/>
      <c r="WKK1"/>
      <c r="WKL1"/>
      <c r="WKM1"/>
      <c r="WKN1"/>
      <c r="WKO1"/>
      <c r="WKP1"/>
      <c r="WKQ1"/>
      <c r="WKR1"/>
      <c r="WKS1"/>
      <c r="WKT1"/>
      <c r="WKU1"/>
      <c r="WKV1"/>
      <c r="WKW1"/>
      <c r="WKX1"/>
      <c r="WKY1"/>
      <c r="WKZ1"/>
      <c r="WLA1"/>
      <c r="WLB1"/>
      <c r="WLC1"/>
      <c r="WLD1"/>
      <c r="WLE1"/>
      <c r="WLF1"/>
      <c r="WLG1"/>
      <c r="WLH1"/>
      <c r="WLI1"/>
      <c r="WLJ1"/>
      <c r="WLK1"/>
      <c r="WLL1"/>
      <c r="WLM1"/>
      <c r="WLN1"/>
      <c r="WLO1"/>
      <c r="WLP1"/>
      <c r="WLQ1"/>
      <c r="WLR1"/>
      <c r="WLS1"/>
      <c r="WLT1"/>
      <c r="WLU1"/>
      <c r="WLV1"/>
      <c r="WLW1"/>
      <c r="WLX1"/>
      <c r="WLY1"/>
      <c r="WLZ1"/>
      <c r="WMA1"/>
      <c r="WMB1"/>
      <c r="WMC1"/>
      <c r="WMD1"/>
      <c r="WME1"/>
      <c r="WMF1"/>
      <c r="WMG1"/>
      <c r="WMH1"/>
      <c r="WMI1"/>
      <c r="WMJ1"/>
      <c r="WMK1"/>
      <c r="WML1"/>
      <c r="WMM1"/>
      <c r="WMN1"/>
      <c r="WMO1"/>
      <c r="WMP1"/>
      <c r="WMQ1"/>
      <c r="WMR1"/>
      <c r="WMS1"/>
      <c r="WMT1"/>
      <c r="WMU1"/>
      <c r="WMV1"/>
      <c r="WMW1"/>
      <c r="WMX1"/>
      <c r="WMY1"/>
      <c r="WMZ1"/>
      <c r="WNA1"/>
      <c r="WNB1"/>
      <c r="WNC1"/>
      <c r="WND1"/>
      <c r="WNE1"/>
      <c r="WNF1"/>
      <c r="WNG1"/>
      <c r="WNH1"/>
      <c r="WNI1"/>
      <c r="WNJ1"/>
      <c r="WNK1"/>
      <c r="WNL1"/>
      <c r="WNM1"/>
      <c r="WNN1"/>
      <c r="WNO1"/>
      <c r="WNP1"/>
      <c r="WNQ1"/>
      <c r="WNR1"/>
      <c r="WNS1"/>
      <c r="WNT1"/>
      <c r="WNU1"/>
      <c r="WNV1"/>
      <c r="WNW1"/>
      <c r="WNX1"/>
      <c r="WNY1"/>
      <c r="WNZ1"/>
      <c r="WOA1"/>
      <c r="WOB1"/>
      <c r="WOC1"/>
      <c r="WOD1"/>
      <c r="WOE1"/>
      <c r="WOF1"/>
      <c r="WOG1"/>
      <c r="WOH1"/>
      <c r="WOI1"/>
      <c r="WOJ1"/>
      <c r="WOK1"/>
      <c r="WOL1"/>
      <c r="WOM1"/>
      <c r="WON1"/>
      <c r="WOO1"/>
      <c r="WOP1"/>
      <c r="WOQ1"/>
      <c r="WOR1"/>
      <c r="WOS1"/>
      <c r="WOT1"/>
      <c r="WOU1"/>
      <c r="WOV1"/>
      <c r="WOW1"/>
      <c r="WOX1"/>
      <c r="WOY1"/>
      <c r="WOZ1"/>
      <c r="WPA1"/>
      <c r="WPB1"/>
      <c r="WPC1"/>
      <c r="WPD1"/>
      <c r="WPE1"/>
      <c r="WPF1"/>
      <c r="WPG1"/>
      <c r="WPH1"/>
      <c r="WPI1"/>
      <c r="WPJ1"/>
      <c r="WPK1"/>
      <c r="WPL1"/>
      <c r="WPM1"/>
      <c r="WPN1"/>
      <c r="WPO1"/>
      <c r="WPP1"/>
      <c r="WPQ1"/>
      <c r="WPR1"/>
      <c r="WPS1"/>
      <c r="WPT1"/>
      <c r="WPU1"/>
      <c r="WPV1"/>
      <c r="WPW1"/>
      <c r="WPX1"/>
      <c r="WPY1"/>
      <c r="WPZ1"/>
      <c r="WQA1"/>
      <c r="WQB1"/>
      <c r="WQC1"/>
      <c r="WQD1"/>
      <c r="WQE1"/>
      <c r="WQF1"/>
      <c r="WQG1"/>
      <c r="WQH1"/>
      <c r="WQI1"/>
      <c r="WQJ1"/>
      <c r="WQK1"/>
      <c r="WQL1"/>
      <c r="WQM1"/>
      <c r="WQN1"/>
      <c r="WQO1"/>
      <c r="WQP1"/>
      <c r="WQQ1"/>
      <c r="WQR1"/>
      <c r="WQS1"/>
      <c r="WQT1"/>
      <c r="WQU1"/>
      <c r="WQV1"/>
      <c r="WQW1"/>
      <c r="WQX1"/>
      <c r="WQY1"/>
      <c r="WQZ1"/>
      <c r="WRA1"/>
      <c r="WRB1"/>
      <c r="WRC1"/>
      <c r="WRD1"/>
      <c r="WRE1"/>
      <c r="WRF1"/>
      <c r="WRG1"/>
      <c r="WRH1"/>
      <c r="WRI1"/>
      <c r="WRJ1"/>
      <c r="WRK1"/>
      <c r="WRL1"/>
      <c r="WRM1"/>
      <c r="WRN1"/>
      <c r="WRO1"/>
      <c r="WRP1"/>
      <c r="WRQ1"/>
      <c r="WRR1"/>
      <c r="WRS1"/>
      <c r="WRT1"/>
      <c r="WRU1"/>
      <c r="WRV1"/>
      <c r="WRW1"/>
      <c r="WRX1"/>
      <c r="WRY1"/>
      <c r="WRZ1"/>
      <c r="WSA1"/>
      <c r="WSB1"/>
      <c r="WSC1"/>
      <c r="WSD1"/>
      <c r="WSE1"/>
      <c r="WSF1"/>
      <c r="WSG1"/>
      <c r="WSH1"/>
      <c r="WSI1"/>
      <c r="WSJ1"/>
      <c r="WSK1"/>
      <c r="WSL1"/>
      <c r="WSM1"/>
      <c r="WSN1"/>
      <c r="WSO1"/>
      <c r="WSP1"/>
      <c r="WSQ1"/>
      <c r="WSR1"/>
      <c r="WSS1"/>
      <c r="WST1"/>
      <c r="WSU1"/>
      <c r="WSV1"/>
      <c r="WSW1"/>
      <c r="WSX1"/>
      <c r="WSY1"/>
      <c r="WSZ1"/>
      <c r="WTA1"/>
      <c r="WTB1"/>
      <c r="WTC1"/>
      <c r="WTD1"/>
      <c r="WTE1"/>
      <c r="WTF1"/>
      <c r="WTG1"/>
      <c r="WTH1"/>
      <c r="WTI1"/>
      <c r="WTJ1"/>
      <c r="WTK1"/>
      <c r="WTL1"/>
      <c r="WTM1"/>
      <c r="WTN1"/>
      <c r="WTO1"/>
      <c r="WTP1"/>
      <c r="WTQ1"/>
      <c r="WTR1"/>
      <c r="WTS1"/>
      <c r="WTT1"/>
      <c r="WTU1"/>
      <c r="WTV1"/>
      <c r="WTW1"/>
      <c r="WTX1"/>
      <c r="WTY1"/>
      <c r="WTZ1"/>
      <c r="WUA1"/>
      <c r="WUB1"/>
      <c r="WUC1"/>
      <c r="WUD1"/>
      <c r="WUE1"/>
      <c r="WUF1"/>
      <c r="WUG1"/>
      <c r="WUH1"/>
      <c r="WUI1"/>
      <c r="WUJ1"/>
      <c r="WUK1"/>
      <c r="WUL1"/>
      <c r="WUM1"/>
      <c r="WUN1"/>
      <c r="WUO1"/>
      <c r="WUP1"/>
      <c r="WUQ1"/>
      <c r="WUR1"/>
      <c r="WUS1"/>
      <c r="WUT1"/>
      <c r="WUU1"/>
      <c r="WUV1"/>
      <c r="WUW1"/>
      <c r="WUX1"/>
      <c r="WUY1"/>
      <c r="WUZ1"/>
      <c r="WVA1"/>
      <c r="WVB1"/>
      <c r="WVC1"/>
      <c r="WVD1"/>
      <c r="WVE1"/>
      <c r="WVF1"/>
      <c r="WVG1"/>
      <c r="WVH1"/>
      <c r="WVI1"/>
      <c r="WVJ1"/>
      <c r="WVK1"/>
      <c r="WVL1"/>
      <c r="WVM1"/>
      <c r="WVN1"/>
      <c r="WVO1"/>
      <c r="WVP1"/>
      <c r="WVQ1"/>
      <c r="WVR1"/>
      <c r="WVS1"/>
      <c r="WVT1"/>
      <c r="WVU1"/>
      <c r="WVV1"/>
      <c r="WVW1"/>
      <c r="WVX1"/>
      <c r="WVY1"/>
      <c r="WVZ1"/>
      <c r="WWA1"/>
      <c r="WWB1"/>
      <c r="WWC1"/>
      <c r="WWD1"/>
      <c r="WWE1"/>
      <c r="WWF1"/>
      <c r="WWG1"/>
      <c r="WWH1"/>
      <c r="WWI1"/>
      <c r="WWJ1"/>
      <c r="WWK1"/>
      <c r="WWL1"/>
      <c r="WWM1"/>
      <c r="WWN1"/>
      <c r="WWO1"/>
      <c r="WWP1"/>
      <c r="WWQ1"/>
      <c r="WWR1"/>
      <c r="WWS1"/>
      <c r="WWT1"/>
      <c r="WWU1"/>
      <c r="WWV1"/>
      <c r="WWW1"/>
      <c r="WWX1"/>
      <c r="WWY1"/>
      <c r="WWZ1"/>
      <c r="WXA1"/>
      <c r="WXB1"/>
      <c r="WXC1"/>
      <c r="WXD1"/>
      <c r="WXE1"/>
      <c r="WXF1"/>
      <c r="WXG1"/>
      <c r="WXH1"/>
      <c r="WXI1"/>
      <c r="WXJ1"/>
      <c r="WXK1"/>
      <c r="WXL1"/>
      <c r="WXM1"/>
      <c r="WXN1"/>
      <c r="WXO1"/>
      <c r="WXP1"/>
      <c r="WXQ1"/>
      <c r="WXR1"/>
      <c r="WXS1"/>
      <c r="WXT1"/>
      <c r="WXU1"/>
      <c r="WXV1"/>
      <c r="WXW1"/>
      <c r="WXX1"/>
      <c r="WXY1"/>
      <c r="WXZ1"/>
      <c r="WYA1"/>
      <c r="WYB1"/>
      <c r="WYC1"/>
      <c r="WYD1"/>
      <c r="WYE1"/>
      <c r="WYF1"/>
      <c r="WYG1"/>
      <c r="WYH1"/>
      <c r="WYI1"/>
      <c r="WYJ1"/>
      <c r="WYK1"/>
      <c r="WYL1"/>
      <c r="WYM1"/>
      <c r="WYN1"/>
      <c r="WYO1"/>
      <c r="WYP1"/>
      <c r="WYQ1"/>
      <c r="WYR1"/>
      <c r="WYS1"/>
      <c r="WYT1"/>
      <c r="WYU1"/>
      <c r="WYV1"/>
      <c r="WYW1"/>
      <c r="WYX1"/>
      <c r="WYY1"/>
      <c r="WYZ1"/>
      <c r="WZA1"/>
      <c r="WZB1"/>
      <c r="WZC1"/>
      <c r="WZD1"/>
      <c r="WZE1"/>
      <c r="WZF1"/>
      <c r="WZG1"/>
      <c r="WZH1"/>
      <c r="WZI1"/>
      <c r="WZJ1"/>
      <c r="WZK1"/>
      <c r="WZL1"/>
      <c r="WZM1"/>
      <c r="WZN1"/>
      <c r="WZO1"/>
      <c r="WZP1"/>
      <c r="WZQ1"/>
      <c r="WZR1"/>
      <c r="WZS1"/>
      <c r="WZT1"/>
      <c r="WZU1"/>
      <c r="WZV1"/>
      <c r="WZW1"/>
      <c r="WZX1"/>
      <c r="WZY1"/>
      <c r="WZZ1"/>
      <c r="XAA1"/>
      <c r="XAB1"/>
      <c r="XAC1"/>
      <c r="XAD1"/>
      <c r="XAE1"/>
      <c r="XAF1"/>
      <c r="XAG1"/>
      <c r="XAH1"/>
      <c r="XAI1"/>
      <c r="XAJ1"/>
      <c r="XAK1"/>
      <c r="XAL1"/>
      <c r="XAM1"/>
      <c r="XAN1"/>
      <c r="XAO1"/>
      <c r="XAP1"/>
      <c r="XAQ1"/>
      <c r="XAR1"/>
      <c r="XAS1"/>
      <c r="XAT1"/>
      <c r="XAU1"/>
      <c r="XAV1"/>
      <c r="XAW1"/>
      <c r="XAX1"/>
      <c r="XAY1"/>
      <c r="XAZ1"/>
      <c r="XBA1"/>
      <c r="XBB1"/>
      <c r="XBC1"/>
      <c r="XBD1"/>
      <c r="XBE1"/>
      <c r="XBF1"/>
      <c r="XBG1"/>
      <c r="XBH1"/>
      <c r="XBI1"/>
      <c r="XBJ1"/>
      <c r="XBK1"/>
      <c r="XBL1"/>
      <c r="XBM1"/>
      <c r="XBN1"/>
      <c r="XBO1"/>
      <c r="XBP1"/>
      <c r="XBQ1"/>
      <c r="XBR1"/>
      <c r="XBS1"/>
      <c r="XBT1"/>
      <c r="XBU1"/>
      <c r="XBV1"/>
      <c r="XBW1"/>
      <c r="XBX1"/>
      <c r="XBY1"/>
      <c r="XBZ1"/>
      <c r="XCA1"/>
      <c r="XCB1"/>
      <c r="XCC1"/>
      <c r="XCD1"/>
      <c r="XCE1"/>
      <c r="XCF1"/>
      <c r="XCG1"/>
      <c r="XCH1"/>
      <c r="XCI1"/>
      <c r="XCJ1"/>
      <c r="XCK1"/>
      <c r="XCL1"/>
      <c r="XCM1"/>
      <c r="XCN1"/>
      <c r="XCO1"/>
      <c r="XCP1"/>
      <c r="XCQ1"/>
      <c r="XCR1"/>
      <c r="XCS1"/>
      <c r="XCT1"/>
      <c r="XCU1"/>
      <c r="XCV1"/>
      <c r="XCW1"/>
      <c r="XCX1"/>
      <c r="XCY1"/>
      <c r="XCZ1"/>
      <c r="XDA1"/>
      <c r="XDB1"/>
      <c r="XDC1"/>
      <c r="XDD1"/>
      <c r="XDE1"/>
      <c r="XDF1"/>
      <c r="XDG1"/>
      <c r="XDH1"/>
      <c r="XDI1"/>
      <c r="XDJ1"/>
      <c r="XDK1"/>
      <c r="XDL1"/>
      <c r="XDM1"/>
      <c r="XDN1"/>
      <c r="XDO1"/>
      <c r="XDP1"/>
      <c r="XDQ1"/>
      <c r="XDR1"/>
      <c r="XDS1"/>
      <c r="XDT1"/>
      <c r="XDU1"/>
      <c r="XDV1"/>
      <c r="XDW1"/>
      <c r="XDX1"/>
      <c r="XDY1"/>
      <c r="XDZ1"/>
      <c r="XEA1"/>
      <c r="XEB1"/>
      <c r="XEC1"/>
      <c r="XED1"/>
      <c r="XEE1"/>
      <c r="XEF1"/>
      <c r="XEG1"/>
      <c r="XEH1"/>
      <c r="XEI1"/>
      <c r="XEJ1"/>
      <c r="XEK1"/>
      <c r="XEL1"/>
      <c r="XEM1"/>
      <c r="XEN1"/>
      <c r="XEO1"/>
      <c r="XEP1"/>
      <c r="XEQ1"/>
      <c r="XER1"/>
      <c r="XES1"/>
      <c r="XET1"/>
      <c r="XEU1"/>
      <c r="XEV1"/>
      <c r="XEW1"/>
      <c r="XEX1"/>
      <c r="XEY1"/>
      <c r="XEZ1"/>
      <c r="XFA1"/>
      <c r="XFB1"/>
    </row>
    <row r="2" spans="1:31 11519:16382" s="52" customFormat="1" ht="16.5">
      <c r="A2" s="113" t="s">
        <v>19</v>
      </c>
      <c r="B2" s="113"/>
      <c r="C2" s="53"/>
      <c r="L2" s="113"/>
      <c r="M2" s="113"/>
      <c r="N2" s="113"/>
      <c r="O2" s="114" t="s">
        <v>20</v>
      </c>
      <c r="P2" s="113"/>
      <c r="S2" s="54"/>
      <c r="T2" s="54"/>
      <c r="V2" s="55"/>
      <c r="X2" s="50"/>
      <c r="Y2" s="51"/>
      <c r="QAA2"/>
      <c r="QAB2"/>
      <c r="QAC2"/>
      <c r="QAD2"/>
      <c r="QAE2"/>
      <c r="QAF2"/>
      <c r="QAG2"/>
      <c r="QAH2"/>
      <c r="QAI2"/>
      <c r="QAJ2"/>
      <c r="QAK2"/>
      <c r="QAL2"/>
      <c r="QAM2"/>
      <c r="QAN2"/>
      <c r="QAO2"/>
      <c r="QAP2"/>
      <c r="QAQ2"/>
      <c r="QAR2"/>
      <c r="QAS2"/>
      <c r="QAT2"/>
      <c r="QAU2"/>
      <c r="QAV2"/>
      <c r="QAW2"/>
      <c r="QAX2"/>
      <c r="QAY2"/>
      <c r="QAZ2"/>
      <c r="QBA2"/>
      <c r="QBB2"/>
      <c r="QBC2"/>
      <c r="QBD2"/>
      <c r="QBE2"/>
      <c r="QBF2"/>
      <c r="QBG2"/>
      <c r="QBH2"/>
      <c r="QBI2"/>
      <c r="QBJ2"/>
      <c r="QBK2"/>
      <c r="QBL2"/>
      <c r="QBM2"/>
      <c r="QBN2"/>
      <c r="QBO2"/>
      <c r="QBP2"/>
      <c r="QBQ2"/>
      <c r="QBR2"/>
      <c r="QBS2"/>
      <c r="QBT2"/>
      <c r="QBU2"/>
      <c r="QBV2"/>
      <c r="QBW2"/>
      <c r="QBX2"/>
      <c r="QBY2"/>
      <c r="QBZ2"/>
      <c r="QCA2"/>
      <c r="QCB2"/>
      <c r="QCC2"/>
      <c r="QCD2"/>
      <c r="QCE2"/>
      <c r="QCF2"/>
      <c r="QCG2"/>
      <c r="QCH2"/>
      <c r="QCI2"/>
      <c r="QCJ2"/>
      <c r="QCK2"/>
      <c r="QCL2"/>
      <c r="QCM2"/>
      <c r="QCN2"/>
      <c r="QCO2"/>
      <c r="QCP2"/>
      <c r="QCQ2"/>
      <c r="QCR2"/>
      <c r="QCS2"/>
      <c r="QCT2"/>
      <c r="QCU2"/>
      <c r="QCV2"/>
      <c r="QCW2"/>
      <c r="QCX2"/>
      <c r="QCY2"/>
      <c r="QCZ2"/>
      <c r="QDA2"/>
      <c r="QDB2"/>
      <c r="QDC2"/>
      <c r="QDD2"/>
      <c r="QDE2"/>
      <c r="QDF2"/>
      <c r="QDG2"/>
      <c r="QDH2"/>
      <c r="QDI2"/>
      <c r="QDJ2"/>
      <c r="QDK2"/>
      <c r="QDL2"/>
      <c r="QDM2"/>
      <c r="QDN2"/>
      <c r="QDO2"/>
      <c r="QDP2"/>
      <c r="QDQ2"/>
      <c r="QDR2"/>
      <c r="QDS2"/>
      <c r="QDT2"/>
      <c r="QDU2"/>
      <c r="QDV2"/>
      <c r="QDW2"/>
      <c r="QDX2"/>
      <c r="QDY2"/>
      <c r="QDZ2"/>
      <c r="QEA2"/>
      <c r="QEB2"/>
      <c r="QEC2"/>
      <c r="QED2"/>
      <c r="QEE2"/>
      <c r="QEF2"/>
      <c r="QEG2"/>
      <c r="QEH2"/>
      <c r="QEI2"/>
      <c r="QEJ2"/>
      <c r="QEK2"/>
      <c r="QEL2"/>
      <c r="QEM2"/>
      <c r="QEN2"/>
      <c r="QEO2"/>
      <c r="QEP2"/>
      <c r="QEQ2"/>
      <c r="QER2"/>
      <c r="QES2"/>
      <c r="QET2"/>
      <c r="QEU2"/>
      <c r="QEV2"/>
      <c r="QEW2"/>
      <c r="QEX2"/>
      <c r="QEY2"/>
      <c r="QEZ2"/>
      <c r="QFA2"/>
      <c r="QFB2"/>
      <c r="QFC2"/>
      <c r="QFD2"/>
      <c r="QFE2"/>
      <c r="QFF2"/>
      <c r="QFG2"/>
      <c r="QFH2"/>
      <c r="QFI2"/>
      <c r="QFJ2"/>
      <c r="QFK2"/>
      <c r="QFL2"/>
      <c r="QFM2"/>
      <c r="QFN2"/>
      <c r="QFO2"/>
      <c r="QFP2"/>
      <c r="QFQ2"/>
      <c r="QFR2"/>
      <c r="QFS2"/>
      <c r="QFT2"/>
      <c r="QFU2"/>
      <c r="QFV2"/>
      <c r="QFW2"/>
      <c r="QFX2"/>
      <c r="QFY2"/>
      <c r="QFZ2"/>
      <c r="QGA2"/>
      <c r="QGB2"/>
      <c r="QGC2"/>
      <c r="QGD2"/>
      <c r="QGE2"/>
      <c r="QGF2"/>
      <c r="QGG2"/>
      <c r="QGH2"/>
      <c r="QGI2"/>
      <c r="QGJ2"/>
      <c r="QGK2"/>
      <c r="QGL2"/>
      <c r="QGM2"/>
      <c r="QGN2"/>
      <c r="QGO2"/>
      <c r="QGP2"/>
      <c r="QGQ2"/>
      <c r="QGR2"/>
      <c r="QGS2"/>
      <c r="QGT2"/>
      <c r="QGU2"/>
      <c r="QGV2"/>
      <c r="QGW2"/>
      <c r="QGX2"/>
      <c r="QGY2"/>
      <c r="QGZ2"/>
      <c r="QHA2"/>
      <c r="QHB2"/>
      <c r="QHC2"/>
      <c r="QHD2"/>
      <c r="QHE2"/>
      <c r="QHF2"/>
      <c r="QHG2"/>
      <c r="QHH2"/>
      <c r="QHI2"/>
      <c r="QHJ2"/>
      <c r="QHK2"/>
      <c r="QHL2"/>
      <c r="QHM2"/>
      <c r="QHN2"/>
      <c r="QHO2"/>
      <c r="QHP2"/>
      <c r="QHQ2"/>
      <c r="QHR2"/>
      <c r="QHS2"/>
      <c r="QHT2"/>
      <c r="QHU2"/>
      <c r="QHV2"/>
      <c r="QHW2"/>
      <c r="QHX2"/>
      <c r="QHY2"/>
      <c r="QHZ2"/>
      <c r="QIA2"/>
      <c r="QIB2"/>
      <c r="QIC2"/>
      <c r="QID2"/>
      <c r="QIE2"/>
      <c r="QIF2"/>
      <c r="QIG2"/>
      <c r="QIH2"/>
      <c r="QII2"/>
      <c r="QIJ2"/>
      <c r="QIK2"/>
      <c r="QIL2"/>
      <c r="QIM2"/>
      <c r="QIN2"/>
      <c r="QIO2"/>
      <c r="QIP2"/>
      <c r="QIQ2"/>
      <c r="QIR2"/>
      <c r="QIS2"/>
      <c r="QIT2"/>
      <c r="QIU2"/>
      <c r="QIV2"/>
      <c r="QIW2"/>
      <c r="QIX2"/>
      <c r="QIY2"/>
      <c r="QIZ2"/>
      <c r="QJA2"/>
      <c r="QJB2"/>
      <c r="QJC2"/>
      <c r="QJD2"/>
      <c r="QJE2"/>
      <c r="QJF2"/>
      <c r="QJG2"/>
      <c r="QJH2"/>
      <c r="QJI2"/>
      <c r="QJJ2"/>
      <c r="QJK2"/>
      <c r="QJL2"/>
      <c r="QJM2"/>
      <c r="QJN2"/>
      <c r="QJO2"/>
      <c r="QJP2"/>
      <c r="QJQ2"/>
      <c r="QJR2"/>
      <c r="QJS2"/>
      <c r="QJT2"/>
      <c r="QJU2"/>
      <c r="QJV2"/>
      <c r="QJW2"/>
      <c r="QJX2"/>
      <c r="QJY2"/>
      <c r="QJZ2"/>
      <c r="QKA2"/>
      <c r="QKB2"/>
      <c r="QKC2"/>
      <c r="QKD2"/>
      <c r="QKE2"/>
      <c r="QKF2"/>
      <c r="QKG2"/>
      <c r="QKH2"/>
      <c r="QKI2"/>
      <c r="QKJ2"/>
      <c r="QKK2"/>
      <c r="QKL2"/>
      <c r="QKM2"/>
      <c r="QKN2"/>
      <c r="QKO2"/>
      <c r="QKP2"/>
      <c r="QKQ2"/>
      <c r="QKR2"/>
      <c r="QKS2"/>
      <c r="QKT2"/>
      <c r="QKU2"/>
      <c r="QKV2"/>
      <c r="QKW2"/>
      <c r="QKX2"/>
      <c r="QKY2"/>
      <c r="QKZ2"/>
      <c r="QLA2"/>
      <c r="QLB2"/>
      <c r="QLC2"/>
      <c r="QLD2"/>
      <c r="QLE2"/>
      <c r="QLF2"/>
      <c r="QLG2"/>
      <c r="QLH2"/>
      <c r="QLI2"/>
      <c r="QLJ2"/>
      <c r="QLK2"/>
      <c r="QLL2"/>
      <c r="QLM2"/>
      <c r="QLN2"/>
      <c r="QLO2"/>
      <c r="QLP2"/>
      <c r="QLQ2"/>
      <c r="QLR2"/>
      <c r="QLS2"/>
      <c r="QLT2"/>
      <c r="QLU2"/>
      <c r="QLV2"/>
      <c r="QLW2"/>
      <c r="QLX2"/>
      <c r="QLY2"/>
      <c r="QLZ2"/>
      <c r="QMA2"/>
      <c r="QMB2"/>
      <c r="QMC2"/>
      <c r="QMD2"/>
      <c r="QME2"/>
      <c r="QMF2"/>
      <c r="QMG2"/>
      <c r="QMH2"/>
      <c r="QMI2"/>
      <c r="QMJ2"/>
      <c r="QMK2"/>
      <c r="QML2"/>
      <c r="QMM2"/>
      <c r="QMN2"/>
      <c r="QMO2"/>
      <c r="QMP2"/>
      <c r="QMQ2"/>
      <c r="QMR2"/>
      <c r="QMS2"/>
      <c r="QMT2"/>
      <c r="QMU2"/>
      <c r="QMV2"/>
      <c r="QMW2"/>
      <c r="QMX2"/>
      <c r="QMY2"/>
      <c r="QMZ2"/>
      <c r="QNA2"/>
      <c r="QNB2"/>
      <c r="QNC2"/>
      <c r="QND2"/>
      <c r="QNE2"/>
      <c r="QNF2"/>
      <c r="QNG2"/>
      <c r="QNH2"/>
      <c r="QNI2"/>
      <c r="QNJ2"/>
      <c r="QNK2"/>
      <c r="QNL2"/>
      <c r="QNM2"/>
      <c r="QNN2"/>
      <c r="QNO2"/>
      <c r="QNP2"/>
      <c r="QNQ2"/>
      <c r="QNR2"/>
      <c r="QNS2"/>
      <c r="QNT2"/>
      <c r="QNU2"/>
      <c r="QNV2"/>
      <c r="QNW2"/>
      <c r="QNX2"/>
      <c r="QNY2"/>
      <c r="QNZ2"/>
      <c r="QOA2"/>
      <c r="QOB2"/>
      <c r="QOC2"/>
      <c r="QOD2"/>
      <c r="QOE2"/>
      <c r="QOF2"/>
      <c r="QOG2"/>
      <c r="QOH2"/>
      <c r="QOI2"/>
      <c r="QOJ2"/>
      <c r="QOK2"/>
      <c r="QOL2"/>
      <c r="QOM2"/>
      <c r="QON2"/>
      <c r="QOO2"/>
      <c r="QOP2"/>
      <c r="QOQ2"/>
      <c r="QOR2"/>
      <c r="QOS2"/>
      <c r="QOT2"/>
      <c r="QOU2"/>
      <c r="QOV2"/>
      <c r="QOW2"/>
      <c r="QOX2"/>
      <c r="QOY2"/>
      <c r="QOZ2"/>
      <c r="QPA2"/>
      <c r="QPB2"/>
      <c r="QPC2"/>
      <c r="QPD2"/>
      <c r="QPE2"/>
      <c r="QPF2"/>
      <c r="QPG2"/>
      <c r="QPH2"/>
      <c r="QPI2"/>
      <c r="QPJ2"/>
      <c r="QPK2"/>
      <c r="QPL2"/>
      <c r="QPM2"/>
      <c r="QPN2"/>
      <c r="QPO2"/>
      <c r="QPP2"/>
      <c r="QPQ2"/>
      <c r="QPR2"/>
      <c r="QPS2"/>
      <c r="QPT2"/>
      <c r="QPU2"/>
      <c r="QPV2"/>
      <c r="QPW2"/>
      <c r="QPX2"/>
      <c r="QPY2"/>
      <c r="QPZ2"/>
      <c r="QQA2"/>
      <c r="QQB2"/>
      <c r="QQC2"/>
      <c r="QQD2"/>
      <c r="QQE2"/>
      <c r="QQF2"/>
      <c r="QQG2"/>
      <c r="QQH2"/>
      <c r="QQI2"/>
      <c r="QQJ2"/>
      <c r="QQK2"/>
      <c r="QQL2"/>
      <c r="QQM2"/>
      <c r="QQN2"/>
      <c r="QQO2"/>
      <c r="QQP2"/>
      <c r="QQQ2"/>
      <c r="QQR2"/>
      <c r="QQS2"/>
      <c r="QQT2"/>
      <c r="QQU2"/>
      <c r="QQV2"/>
      <c r="QQW2"/>
      <c r="QQX2"/>
      <c r="QQY2"/>
      <c r="QQZ2"/>
      <c r="QRA2"/>
      <c r="QRB2"/>
      <c r="QRC2"/>
      <c r="QRD2"/>
      <c r="QRE2"/>
      <c r="QRF2"/>
      <c r="QRG2"/>
      <c r="QRH2"/>
      <c r="QRI2"/>
      <c r="QRJ2"/>
      <c r="QRK2"/>
      <c r="QRL2"/>
      <c r="QRM2"/>
      <c r="QRN2"/>
      <c r="QRO2"/>
      <c r="QRP2"/>
      <c r="QRQ2"/>
      <c r="QRR2"/>
      <c r="QRS2"/>
      <c r="QRT2"/>
      <c r="QRU2"/>
      <c r="QRV2"/>
      <c r="QRW2"/>
      <c r="QRX2"/>
      <c r="QRY2"/>
      <c r="QRZ2"/>
      <c r="QSA2"/>
      <c r="QSB2"/>
      <c r="QSC2"/>
      <c r="QSD2"/>
      <c r="QSE2"/>
      <c r="QSF2"/>
      <c r="QSG2"/>
      <c r="QSH2"/>
      <c r="QSI2"/>
      <c r="QSJ2"/>
      <c r="QSK2"/>
      <c r="QSL2"/>
      <c r="QSM2"/>
      <c r="QSN2"/>
      <c r="QSO2"/>
      <c r="QSP2"/>
      <c r="QSQ2"/>
      <c r="QSR2"/>
      <c r="QSS2"/>
      <c r="QST2"/>
      <c r="QSU2"/>
      <c r="QSV2"/>
      <c r="QSW2"/>
      <c r="QSX2"/>
      <c r="QSY2"/>
      <c r="QSZ2"/>
      <c r="QTA2"/>
      <c r="QTB2"/>
      <c r="QTC2"/>
      <c r="QTD2"/>
      <c r="QTE2"/>
      <c r="QTF2"/>
      <c r="QTG2"/>
      <c r="QTH2"/>
      <c r="QTI2"/>
      <c r="QTJ2"/>
      <c r="QTK2"/>
      <c r="QTL2"/>
      <c r="QTM2"/>
      <c r="QTN2"/>
      <c r="QTO2"/>
      <c r="QTP2"/>
      <c r="QTQ2"/>
      <c r="QTR2"/>
      <c r="QTS2"/>
      <c r="QTT2"/>
      <c r="QTU2"/>
      <c r="QTV2"/>
      <c r="QTW2"/>
      <c r="QTX2"/>
      <c r="QTY2"/>
      <c r="QTZ2"/>
      <c r="QUA2"/>
      <c r="QUB2"/>
      <c r="QUC2"/>
      <c r="QUD2"/>
      <c r="QUE2"/>
      <c r="QUF2"/>
      <c r="QUG2"/>
      <c r="QUH2"/>
      <c r="QUI2"/>
      <c r="QUJ2"/>
      <c r="QUK2"/>
      <c r="QUL2"/>
      <c r="QUM2"/>
      <c r="QUN2"/>
      <c r="QUO2"/>
      <c r="QUP2"/>
      <c r="QUQ2"/>
      <c r="QUR2"/>
      <c r="QUS2"/>
      <c r="QUT2"/>
      <c r="QUU2"/>
      <c r="QUV2"/>
      <c r="QUW2"/>
      <c r="QUX2"/>
      <c r="QUY2"/>
      <c r="QUZ2"/>
      <c r="QVA2"/>
      <c r="QVB2"/>
      <c r="QVC2"/>
      <c r="QVD2"/>
      <c r="QVE2"/>
      <c r="QVF2"/>
      <c r="QVG2"/>
      <c r="QVH2"/>
      <c r="QVI2"/>
      <c r="QVJ2"/>
      <c r="QVK2"/>
      <c r="QVL2"/>
      <c r="QVM2"/>
      <c r="QVN2"/>
      <c r="QVO2"/>
      <c r="QVP2"/>
      <c r="QVQ2"/>
      <c r="QVR2"/>
      <c r="QVS2"/>
      <c r="QVT2"/>
      <c r="QVU2"/>
      <c r="QVV2"/>
      <c r="QVW2"/>
      <c r="QVX2"/>
      <c r="QVY2"/>
      <c r="QVZ2"/>
      <c r="QWA2"/>
      <c r="QWB2"/>
      <c r="QWC2"/>
      <c r="QWD2"/>
      <c r="QWE2"/>
      <c r="QWF2"/>
      <c r="QWG2"/>
      <c r="QWH2"/>
      <c r="QWI2"/>
      <c r="QWJ2"/>
      <c r="QWK2"/>
      <c r="QWL2"/>
      <c r="QWM2"/>
      <c r="QWN2"/>
      <c r="QWO2"/>
      <c r="QWP2"/>
      <c r="QWQ2"/>
      <c r="QWR2"/>
      <c r="QWS2"/>
      <c r="QWT2"/>
      <c r="QWU2"/>
      <c r="QWV2"/>
      <c r="QWW2"/>
      <c r="QWX2"/>
      <c r="QWY2"/>
      <c r="QWZ2"/>
      <c r="QXA2"/>
      <c r="QXB2"/>
      <c r="QXC2"/>
      <c r="QXD2"/>
      <c r="QXE2"/>
      <c r="QXF2"/>
      <c r="QXG2"/>
      <c r="QXH2"/>
      <c r="QXI2"/>
      <c r="QXJ2"/>
      <c r="QXK2"/>
      <c r="QXL2"/>
      <c r="QXM2"/>
      <c r="QXN2"/>
      <c r="QXO2"/>
      <c r="QXP2"/>
      <c r="QXQ2"/>
      <c r="QXR2"/>
      <c r="QXS2"/>
      <c r="QXT2"/>
      <c r="QXU2"/>
      <c r="QXV2"/>
      <c r="QXW2"/>
      <c r="QXX2"/>
      <c r="QXY2"/>
      <c r="QXZ2"/>
      <c r="QYA2"/>
      <c r="QYB2"/>
      <c r="QYC2"/>
      <c r="QYD2"/>
      <c r="QYE2"/>
      <c r="QYF2"/>
      <c r="QYG2"/>
      <c r="QYH2"/>
      <c r="QYI2"/>
      <c r="QYJ2"/>
      <c r="QYK2"/>
      <c r="QYL2"/>
      <c r="QYM2"/>
      <c r="QYN2"/>
      <c r="QYO2"/>
      <c r="QYP2"/>
      <c r="QYQ2"/>
      <c r="QYR2"/>
      <c r="QYS2"/>
      <c r="QYT2"/>
      <c r="QYU2"/>
      <c r="QYV2"/>
      <c r="QYW2"/>
      <c r="QYX2"/>
      <c r="QYY2"/>
      <c r="QYZ2"/>
      <c r="QZA2"/>
      <c r="QZB2"/>
      <c r="QZC2"/>
      <c r="QZD2"/>
      <c r="QZE2"/>
      <c r="QZF2"/>
      <c r="QZG2"/>
      <c r="QZH2"/>
      <c r="QZI2"/>
      <c r="QZJ2"/>
      <c r="QZK2"/>
      <c r="QZL2"/>
      <c r="QZM2"/>
      <c r="QZN2"/>
      <c r="QZO2"/>
      <c r="QZP2"/>
      <c r="QZQ2"/>
      <c r="QZR2"/>
      <c r="QZS2"/>
      <c r="QZT2"/>
      <c r="QZU2"/>
      <c r="QZV2"/>
      <c r="QZW2"/>
      <c r="QZX2"/>
      <c r="QZY2"/>
      <c r="QZZ2"/>
      <c r="RAA2"/>
      <c r="RAB2"/>
      <c r="RAC2"/>
      <c r="RAD2"/>
      <c r="RAE2"/>
      <c r="RAF2"/>
      <c r="RAG2"/>
      <c r="RAH2"/>
      <c r="RAI2"/>
      <c r="RAJ2"/>
      <c r="RAK2"/>
      <c r="RAL2"/>
      <c r="RAM2"/>
      <c r="RAN2"/>
      <c r="RAO2"/>
      <c r="RAP2"/>
      <c r="RAQ2"/>
      <c r="RAR2"/>
      <c r="RAS2"/>
      <c r="RAT2"/>
      <c r="RAU2"/>
      <c r="RAV2"/>
      <c r="RAW2"/>
      <c r="RAX2"/>
      <c r="RAY2"/>
      <c r="RAZ2"/>
      <c r="RBA2"/>
      <c r="RBB2"/>
      <c r="RBC2"/>
      <c r="RBD2"/>
      <c r="RBE2"/>
      <c r="RBF2"/>
      <c r="RBG2"/>
      <c r="RBH2"/>
      <c r="RBI2"/>
      <c r="RBJ2"/>
      <c r="RBK2"/>
      <c r="RBL2"/>
      <c r="RBM2"/>
      <c r="RBN2"/>
      <c r="RBO2"/>
      <c r="RBP2"/>
      <c r="RBQ2"/>
      <c r="RBR2"/>
      <c r="RBS2"/>
      <c r="RBT2"/>
      <c r="RBU2"/>
      <c r="RBV2"/>
      <c r="RBW2"/>
      <c r="RBX2"/>
      <c r="RBY2"/>
      <c r="RBZ2"/>
      <c r="RCA2"/>
      <c r="RCB2"/>
      <c r="RCC2"/>
      <c r="RCD2"/>
      <c r="RCE2"/>
      <c r="RCF2"/>
      <c r="RCG2"/>
      <c r="RCH2"/>
      <c r="RCI2"/>
      <c r="RCJ2"/>
      <c r="RCK2"/>
      <c r="RCL2"/>
      <c r="RCM2"/>
      <c r="RCN2"/>
      <c r="RCO2"/>
      <c r="RCP2"/>
      <c r="RCQ2"/>
      <c r="RCR2"/>
      <c r="RCS2"/>
      <c r="RCT2"/>
      <c r="RCU2"/>
      <c r="RCV2"/>
      <c r="RCW2"/>
      <c r="RCX2"/>
      <c r="RCY2"/>
      <c r="RCZ2"/>
      <c r="RDA2"/>
      <c r="RDB2"/>
      <c r="RDC2"/>
      <c r="RDD2"/>
      <c r="RDE2"/>
      <c r="RDF2"/>
      <c r="RDG2"/>
      <c r="RDH2"/>
      <c r="RDI2"/>
      <c r="RDJ2"/>
      <c r="RDK2"/>
      <c r="RDL2"/>
      <c r="RDM2"/>
      <c r="RDN2"/>
      <c r="RDO2"/>
      <c r="RDP2"/>
      <c r="RDQ2"/>
      <c r="RDR2"/>
      <c r="RDS2"/>
      <c r="RDT2"/>
      <c r="RDU2"/>
      <c r="RDV2"/>
      <c r="RDW2"/>
      <c r="RDX2"/>
      <c r="RDY2"/>
      <c r="RDZ2"/>
      <c r="REA2"/>
      <c r="REB2"/>
      <c r="REC2"/>
      <c r="RED2"/>
      <c r="REE2"/>
      <c r="REF2"/>
      <c r="REG2"/>
      <c r="REH2"/>
      <c r="REI2"/>
      <c r="REJ2"/>
      <c r="REK2"/>
      <c r="REL2"/>
      <c r="REM2"/>
      <c r="REN2"/>
      <c r="REO2"/>
      <c r="REP2"/>
      <c r="REQ2"/>
      <c r="RER2"/>
      <c r="RES2"/>
      <c r="RET2"/>
      <c r="REU2"/>
      <c r="REV2"/>
      <c r="REW2"/>
      <c r="REX2"/>
      <c r="REY2"/>
      <c r="REZ2"/>
      <c r="RFA2"/>
      <c r="RFB2"/>
      <c r="RFC2"/>
      <c r="RFD2"/>
      <c r="RFE2"/>
      <c r="RFF2"/>
      <c r="RFG2"/>
      <c r="RFH2"/>
      <c r="RFI2"/>
      <c r="RFJ2"/>
      <c r="RFK2"/>
      <c r="RFL2"/>
      <c r="RFM2"/>
      <c r="RFN2"/>
      <c r="RFO2"/>
      <c r="RFP2"/>
      <c r="RFQ2"/>
      <c r="RFR2"/>
      <c r="RFS2"/>
      <c r="RFT2"/>
      <c r="RFU2"/>
      <c r="RFV2"/>
      <c r="RFW2"/>
      <c r="RFX2"/>
      <c r="RFY2"/>
      <c r="RFZ2"/>
      <c r="RGA2"/>
      <c r="RGB2"/>
      <c r="RGC2"/>
      <c r="RGD2"/>
      <c r="RGE2"/>
      <c r="RGF2"/>
      <c r="RGG2"/>
      <c r="RGH2"/>
      <c r="RGI2"/>
      <c r="RGJ2"/>
      <c r="RGK2"/>
      <c r="RGL2"/>
      <c r="RGM2"/>
      <c r="RGN2"/>
      <c r="RGO2"/>
      <c r="RGP2"/>
      <c r="RGQ2"/>
      <c r="RGR2"/>
      <c r="RGS2"/>
      <c r="RGT2"/>
      <c r="RGU2"/>
      <c r="RGV2"/>
      <c r="RGW2"/>
      <c r="RGX2"/>
      <c r="RGY2"/>
      <c r="RGZ2"/>
      <c r="RHA2"/>
      <c r="RHB2"/>
      <c r="RHC2"/>
      <c r="RHD2"/>
      <c r="RHE2"/>
      <c r="RHF2"/>
      <c r="RHG2"/>
      <c r="RHH2"/>
      <c r="RHI2"/>
      <c r="RHJ2"/>
      <c r="RHK2"/>
      <c r="RHL2"/>
      <c r="RHM2"/>
      <c r="RHN2"/>
      <c r="RHO2"/>
      <c r="RHP2"/>
      <c r="RHQ2"/>
      <c r="RHR2"/>
      <c r="RHS2"/>
      <c r="RHT2"/>
      <c r="RHU2"/>
      <c r="RHV2"/>
      <c r="RHW2"/>
      <c r="RHX2"/>
      <c r="RHY2"/>
      <c r="RHZ2"/>
      <c r="RIA2"/>
      <c r="RIB2"/>
      <c r="RIC2"/>
      <c r="RID2"/>
      <c r="RIE2"/>
      <c r="RIF2"/>
      <c r="RIG2"/>
      <c r="RIH2"/>
      <c r="RII2"/>
      <c r="RIJ2"/>
      <c r="RIK2"/>
      <c r="RIL2"/>
      <c r="RIM2"/>
      <c r="RIN2"/>
      <c r="RIO2"/>
      <c r="RIP2"/>
      <c r="RIQ2"/>
      <c r="RIR2"/>
      <c r="RIS2"/>
      <c r="RIT2"/>
      <c r="RIU2"/>
      <c r="RIV2"/>
      <c r="RIW2"/>
      <c r="RIX2"/>
      <c r="RIY2"/>
      <c r="RIZ2"/>
      <c r="RJA2"/>
      <c r="RJB2"/>
      <c r="RJC2"/>
      <c r="RJD2"/>
      <c r="RJE2"/>
      <c r="RJF2"/>
      <c r="RJG2"/>
      <c r="RJH2"/>
      <c r="RJI2"/>
      <c r="RJJ2"/>
      <c r="RJK2"/>
      <c r="RJL2"/>
      <c r="RJM2"/>
      <c r="RJN2"/>
      <c r="RJO2"/>
      <c r="RJP2"/>
      <c r="RJQ2"/>
      <c r="RJR2"/>
      <c r="RJS2"/>
      <c r="RJT2"/>
      <c r="RJU2"/>
      <c r="RJV2"/>
      <c r="RJW2"/>
      <c r="RJX2"/>
      <c r="RJY2"/>
      <c r="RJZ2"/>
      <c r="RKA2"/>
      <c r="RKB2"/>
      <c r="RKC2"/>
      <c r="RKD2"/>
      <c r="RKE2"/>
      <c r="RKF2"/>
      <c r="RKG2"/>
      <c r="RKH2"/>
      <c r="RKI2"/>
      <c r="RKJ2"/>
      <c r="RKK2"/>
      <c r="RKL2"/>
      <c r="RKM2"/>
      <c r="RKN2"/>
      <c r="RKO2"/>
      <c r="RKP2"/>
      <c r="RKQ2"/>
      <c r="RKR2"/>
      <c r="RKS2"/>
      <c r="RKT2"/>
      <c r="RKU2"/>
      <c r="RKV2"/>
      <c r="RKW2"/>
      <c r="RKX2"/>
      <c r="RKY2"/>
      <c r="RKZ2"/>
      <c r="RLA2"/>
      <c r="RLB2"/>
      <c r="RLC2"/>
      <c r="RLD2"/>
      <c r="RLE2"/>
      <c r="RLF2"/>
      <c r="RLG2"/>
      <c r="RLH2"/>
      <c r="RLI2"/>
      <c r="RLJ2"/>
      <c r="RLK2"/>
      <c r="RLL2"/>
      <c r="RLM2"/>
      <c r="RLN2"/>
      <c r="RLO2"/>
      <c r="RLP2"/>
      <c r="RLQ2"/>
      <c r="RLR2"/>
      <c r="RLS2"/>
      <c r="RLT2"/>
      <c r="RLU2"/>
      <c r="RLV2"/>
      <c r="RLW2"/>
      <c r="RLX2"/>
      <c r="RLY2"/>
      <c r="RLZ2"/>
      <c r="RMA2"/>
      <c r="RMB2"/>
      <c r="RMC2"/>
      <c r="RMD2"/>
      <c r="RME2"/>
      <c r="RMF2"/>
      <c r="RMG2"/>
      <c r="RMH2"/>
      <c r="RMI2"/>
      <c r="RMJ2"/>
      <c r="RMK2"/>
      <c r="RML2"/>
      <c r="RMM2"/>
      <c r="RMN2"/>
      <c r="RMO2"/>
      <c r="RMP2"/>
      <c r="RMQ2"/>
      <c r="RMR2"/>
      <c r="RMS2"/>
      <c r="RMT2"/>
      <c r="RMU2"/>
      <c r="RMV2"/>
      <c r="RMW2"/>
      <c r="RMX2"/>
      <c r="RMY2"/>
      <c r="RMZ2"/>
      <c r="RNA2"/>
      <c r="RNB2"/>
      <c r="RNC2"/>
      <c r="RND2"/>
      <c r="RNE2"/>
      <c r="RNF2"/>
      <c r="RNG2"/>
      <c r="RNH2"/>
      <c r="RNI2"/>
      <c r="RNJ2"/>
      <c r="RNK2"/>
      <c r="RNL2"/>
      <c r="RNM2"/>
      <c r="RNN2"/>
      <c r="RNO2"/>
      <c r="RNP2"/>
      <c r="RNQ2"/>
      <c r="RNR2"/>
      <c r="RNS2"/>
      <c r="RNT2"/>
      <c r="RNU2"/>
      <c r="RNV2"/>
      <c r="RNW2"/>
      <c r="RNX2"/>
      <c r="RNY2"/>
      <c r="RNZ2"/>
      <c r="ROA2"/>
      <c r="ROB2"/>
      <c r="ROC2"/>
      <c r="ROD2"/>
      <c r="ROE2"/>
      <c r="ROF2"/>
      <c r="ROG2"/>
      <c r="ROH2"/>
      <c r="ROI2"/>
      <c r="ROJ2"/>
      <c r="ROK2"/>
      <c r="ROL2"/>
      <c r="ROM2"/>
      <c r="RON2"/>
      <c r="ROO2"/>
      <c r="ROP2"/>
      <c r="ROQ2"/>
      <c r="ROR2"/>
      <c r="ROS2"/>
      <c r="ROT2"/>
      <c r="ROU2"/>
      <c r="ROV2"/>
      <c r="ROW2"/>
      <c r="ROX2"/>
      <c r="ROY2"/>
      <c r="ROZ2"/>
      <c r="RPA2"/>
      <c r="RPB2"/>
      <c r="RPC2"/>
      <c r="RPD2"/>
      <c r="RPE2"/>
      <c r="RPF2"/>
      <c r="RPG2"/>
      <c r="RPH2"/>
      <c r="RPI2"/>
      <c r="RPJ2"/>
      <c r="RPK2"/>
      <c r="RPL2"/>
      <c r="RPM2"/>
      <c r="RPN2"/>
      <c r="RPO2"/>
      <c r="RPP2"/>
      <c r="RPQ2"/>
      <c r="RPR2"/>
      <c r="RPS2"/>
      <c r="RPT2"/>
      <c r="RPU2"/>
      <c r="RPV2"/>
      <c r="RPW2"/>
      <c r="RPX2"/>
      <c r="RPY2"/>
      <c r="RPZ2"/>
      <c r="RQA2"/>
      <c r="RQB2"/>
      <c r="RQC2"/>
      <c r="RQD2"/>
      <c r="RQE2"/>
      <c r="RQF2"/>
      <c r="RQG2"/>
      <c r="RQH2"/>
      <c r="RQI2"/>
      <c r="RQJ2"/>
      <c r="RQK2"/>
      <c r="RQL2"/>
      <c r="RQM2"/>
      <c r="RQN2"/>
      <c r="RQO2"/>
      <c r="RQP2"/>
      <c r="RQQ2"/>
      <c r="RQR2"/>
      <c r="RQS2"/>
      <c r="RQT2"/>
      <c r="RQU2"/>
      <c r="RQV2"/>
      <c r="RQW2"/>
      <c r="RQX2"/>
      <c r="RQY2"/>
      <c r="RQZ2"/>
      <c r="RRA2"/>
      <c r="RRB2"/>
      <c r="RRC2"/>
      <c r="RRD2"/>
      <c r="RRE2"/>
      <c r="RRF2"/>
      <c r="RRG2"/>
      <c r="RRH2"/>
      <c r="RRI2"/>
      <c r="RRJ2"/>
      <c r="RRK2"/>
      <c r="RRL2"/>
      <c r="RRM2"/>
      <c r="RRN2"/>
      <c r="RRO2"/>
      <c r="RRP2"/>
      <c r="RRQ2"/>
      <c r="RRR2"/>
      <c r="RRS2"/>
      <c r="RRT2"/>
      <c r="RRU2"/>
      <c r="RRV2"/>
      <c r="RRW2"/>
      <c r="RRX2"/>
      <c r="RRY2"/>
      <c r="RRZ2"/>
      <c r="RSA2"/>
      <c r="RSB2"/>
      <c r="RSC2"/>
      <c r="RSD2"/>
      <c r="RSE2"/>
      <c r="RSF2"/>
      <c r="RSG2"/>
      <c r="RSH2"/>
      <c r="RSI2"/>
      <c r="RSJ2"/>
      <c r="RSK2"/>
      <c r="RSL2"/>
      <c r="RSM2"/>
      <c r="RSN2"/>
      <c r="RSO2"/>
      <c r="RSP2"/>
      <c r="RSQ2"/>
      <c r="RSR2"/>
      <c r="RSS2"/>
      <c r="RST2"/>
      <c r="RSU2"/>
      <c r="RSV2"/>
      <c r="RSW2"/>
      <c r="RSX2"/>
      <c r="RSY2"/>
      <c r="RSZ2"/>
      <c r="RTA2"/>
      <c r="RTB2"/>
      <c r="RTC2"/>
      <c r="RTD2"/>
      <c r="RTE2"/>
      <c r="RTF2"/>
      <c r="RTG2"/>
      <c r="RTH2"/>
      <c r="RTI2"/>
      <c r="RTJ2"/>
      <c r="RTK2"/>
      <c r="RTL2"/>
      <c r="RTM2"/>
      <c r="RTN2"/>
      <c r="RTO2"/>
      <c r="RTP2"/>
      <c r="RTQ2"/>
      <c r="RTR2"/>
      <c r="RTS2"/>
      <c r="RTT2"/>
      <c r="RTU2"/>
      <c r="RTV2"/>
      <c r="RTW2"/>
      <c r="RTX2"/>
      <c r="RTY2"/>
      <c r="RTZ2"/>
      <c r="RUA2"/>
      <c r="RUB2"/>
      <c r="RUC2"/>
      <c r="RUD2"/>
      <c r="RUE2"/>
      <c r="RUF2"/>
      <c r="RUG2"/>
      <c r="RUH2"/>
      <c r="RUI2"/>
      <c r="RUJ2"/>
      <c r="RUK2"/>
      <c r="RUL2"/>
      <c r="RUM2"/>
      <c r="RUN2"/>
      <c r="RUO2"/>
      <c r="RUP2"/>
      <c r="RUQ2"/>
      <c r="RUR2"/>
      <c r="RUS2"/>
      <c r="RUT2"/>
      <c r="RUU2"/>
      <c r="RUV2"/>
      <c r="RUW2"/>
      <c r="RUX2"/>
      <c r="RUY2"/>
      <c r="RUZ2"/>
      <c r="RVA2"/>
      <c r="RVB2"/>
      <c r="RVC2"/>
      <c r="RVD2"/>
      <c r="RVE2"/>
      <c r="RVF2"/>
      <c r="RVG2"/>
      <c r="RVH2"/>
      <c r="RVI2"/>
      <c r="RVJ2"/>
      <c r="RVK2"/>
      <c r="RVL2"/>
      <c r="RVM2"/>
      <c r="RVN2"/>
      <c r="RVO2"/>
      <c r="RVP2"/>
      <c r="RVQ2"/>
      <c r="RVR2"/>
      <c r="RVS2"/>
      <c r="RVT2"/>
      <c r="RVU2"/>
      <c r="RVV2"/>
      <c r="RVW2"/>
      <c r="RVX2"/>
      <c r="RVY2"/>
      <c r="RVZ2"/>
      <c r="RWA2"/>
      <c r="RWB2"/>
      <c r="RWC2"/>
      <c r="RWD2"/>
      <c r="RWE2"/>
      <c r="RWF2"/>
      <c r="RWG2"/>
      <c r="RWH2"/>
      <c r="RWI2"/>
      <c r="RWJ2"/>
      <c r="RWK2"/>
      <c r="RWL2"/>
      <c r="RWM2"/>
      <c r="RWN2"/>
      <c r="RWO2"/>
      <c r="RWP2"/>
      <c r="RWQ2"/>
      <c r="RWR2"/>
      <c r="RWS2"/>
      <c r="RWT2"/>
      <c r="RWU2"/>
      <c r="RWV2"/>
      <c r="RWW2"/>
      <c r="RWX2"/>
      <c r="RWY2"/>
      <c r="RWZ2"/>
      <c r="RXA2"/>
      <c r="RXB2"/>
      <c r="RXC2"/>
      <c r="RXD2"/>
      <c r="RXE2"/>
      <c r="RXF2"/>
      <c r="RXG2"/>
      <c r="RXH2"/>
      <c r="RXI2"/>
      <c r="RXJ2"/>
      <c r="RXK2"/>
      <c r="RXL2"/>
      <c r="RXM2"/>
      <c r="RXN2"/>
      <c r="RXO2"/>
      <c r="RXP2"/>
      <c r="RXQ2"/>
      <c r="RXR2"/>
      <c r="RXS2"/>
      <c r="RXT2"/>
      <c r="RXU2"/>
      <c r="RXV2"/>
      <c r="RXW2"/>
      <c r="RXX2"/>
      <c r="RXY2"/>
      <c r="RXZ2"/>
      <c r="RYA2"/>
      <c r="RYB2"/>
      <c r="RYC2"/>
      <c r="RYD2"/>
      <c r="RYE2"/>
      <c r="RYF2"/>
      <c r="RYG2"/>
      <c r="RYH2"/>
      <c r="RYI2"/>
      <c r="RYJ2"/>
      <c r="RYK2"/>
      <c r="RYL2"/>
      <c r="RYM2"/>
      <c r="RYN2"/>
      <c r="RYO2"/>
      <c r="RYP2"/>
      <c r="RYQ2"/>
      <c r="RYR2"/>
      <c r="RYS2"/>
      <c r="RYT2"/>
      <c r="RYU2"/>
      <c r="RYV2"/>
      <c r="RYW2"/>
      <c r="RYX2"/>
      <c r="RYY2"/>
      <c r="RYZ2"/>
      <c r="RZA2"/>
      <c r="RZB2"/>
      <c r="RZC2"/>
      <c r="RZD2"/>
      <c r="RZE2"/>
      <c r="RZF2"/>
      <c r="RZG2"/>
      <c r="RZH2"/>
      <c r="RZI2"/>
      <c r="RZJ2"/>
      <c r="RZK2"/>
      <c r="RZL2"/>
      <c r="RZM2"/>
      <c r="RZN2"/>
      <c r="RZO2"/>
      <c r="RZP2"/>
      <c r="RZQ2"/>
      <c r="RZR2"/>
      <c r="RZS2"/>
      <c r="RZT2"/>
      <c r="RZU2"/>
      <c r="RZV2"/>
      <c r="RZW2"/>
      <c r="RZX2"/>
      <c r="RZY2"/>
      <c r="RZZ2"/>
      <c r="SAA2"/>
      <c r="SAB2"/>
      <c r="SAC2"/>
      <c r="SAD2"/>
      <c r="SAE2"/>
      <c r="SAF2"/>
      <c r="SAG2"/>
      <c r="SAH2"/>
      <c r="SAI2"/>
      <c r="SAJ2"/>
      <c r="SAK2"/>
      <c r="SAL2"/>
      <c r="SAM2"/>
      <c r="SAN2"/>
      <c r="SAO2"/>
      <c r="SAP2"/>
      <c r="SAQ2"/>
      <c r="SAR2"/>
      <c r="SAS2"/>
      <c r="SAT2"/>
      <c r="SAU2"/>
      <c r="SAV2"/>
      <c r="SAW2"/>
      <c r="SAX2"/>
      <c r="SAY2"/>
      <c r="SAZ2"/>
      <c r="SBA2"/>
      <c r="SBB2"/>
      <c r="SBC2"/>
      <c r="SBD2"/>
      <c r="SBE2"/>
      <c r="SBF2"/>
      <c r="SBG2"/>
      <c r="SBH2"/>
      <c r="SBI2"/>
      <c r="SBJ2"/>
      <c r="SBK2"/>
      <c r="SBL2"/>
      <c r="SBM2"/>
      <c r="SBN2"/>
      <c r="SBO2"/>
      <c r="SBP2"/>
      <c r="SBQ2"/>
      <c r="SBR2"/>
      <c r="SBS2"/>
      <c r="SBT2"/>
      <c r="SBU2"/>
      <c r="SBV2"/>
      <c r="SBW2"/>
      <c r="SBX2"/>
      <c r="SBY2"/>
      <c r="SBZ2"/>
      <c r="SCA2"/>
      <c r="SCB2"/>
      <c r="SCC2"/>
      <c r="SCD2"/>
      <c r="SCE2"/>
      <c r="SCF2"/>
      <c r="SCG2"/>
      <c r="SCH2"/>
      <c r="SCI2"/>
      <c r="SCJ2"/>
      <c r="SCK2"/>
      <c r="SCL2"/>
      <c r="SCM2"/>
      <c r="SCN2"/>
      <c r="SCO2"/>
      <c r="SCP2"/>
      <c r="SCQ2"/>
      <c r="SCR2"/>
      <c r="SCS2"/>
      <c r="SCT2"/>
      <c r="SCU2"/>
      <c r="SCV2"/>
      <c r="SCW2"/>
      <c r="SCX2"/>
      <c r="SCY2"/>
      <c r="SCZ2"/>
      <c r="SDA2"/>
      <c r="SDB2"/>
      <c r="SDC2"/>
      <c r="SDD2"/>
      <c r="SDE2"/>
      <c r="SDF2"/>
      <c r="SDG2"/>
      <c r="SDH2"/>
      <c r="SDI2"/>
      <c r="SDJ2"/>
      <c r="SDK2"/>
      <c r="SDL2"/>
      <c r="SDM2"/>
      <c r="SDN2"/>
      <c r="SDO2"/>
      <c r="SDP2"/>
      <c r="SDQ2"/>
      <c r="SDR2"/>
      <c r="SDS2"/>
      <c r="SDT2"/>
      <c r="SDU2"/>
      <c r="SDV2"/>
      <c r="SDW2"/>
      <c r="SDX2"/>
      <c r="SDY2"/>
      <c r="SDZ2"/>
      <c r="SEA2"/>
      <c r="SEB2"/>
      <c r="SEC2"/>
      <c r="SED2"/>
      <c r="SEE2"/>
      <c r="SEF2"/>
      <c r="SEG2"/>
      <c r="SEH2"/>
      <c r="SEI2"/>
      <c r="SEJ2"/>
      <c r="SEK2"/>
      <c r="SEL2"/>
      <c r="SEM2"/>
      <c r="SEN2"/>
      <c r="SEO2"/>
      <c r="SEP2"/>
      <c r="SEQ2"/>
      <c r="SER2"/>
      <c r="SES2"/>
      <c r="SET2"/>
      <c r="SEU2"/>
      <c r="SEV2"/>
      <c r="SEW2"/>
      <c r="SEX2"/>
      <c r="SEY2"/>
      <c r="SEZ2"/>
      <c r="SFA2"/>
      <c r="SFB2"/>
      <c r="SFC2"/>
      <c r="SFD2"/>
      <c r="SFE2"/>
      <c r="SFF2"/>
      <c r="SFG2"/>
      <c r="SFH2"/>
      <c r="SFI2"/>
      <c r="SFJ2"/>
      <c r="SFK2"/>
      <c r="SFL2"/>
      <c r="SFM2"/>
      <c r="SFN2"/>
      <c r="SFO2"/>
      <c r="SFP2"/>
      <c r="SFQ2"/>
      <c r="SFR2"/>
      <c r="SFS2"/>
      <c r="SFT2"/>
      <c r="SFU2"/>
      <c r="SFV2"/>
      <c r="SFW2"/>
      <c r="SFX2"/>
      <c r="SFY2"/>
      <c r="SFZ2"/>
      <c r="SGA2"/>
      <c r="SGB2"/>
      <c r="SGC2"/>
      <c r="SGD2"/>
      <c r="SGE2"/>
      <c r="SGF2"/>
      <c r="SGG2"/>
      <c r="SGH2"/>
      <c r="SGI2"/>
      <c r="SGJ2"/>
      <c r="SGK2"/>
      <c r="SGL2"/>
      <c r="SGM2"/>
      <c r="SGN2"/>
      <c r="SGO2"/>
      <c r="SGP2"/>
      <c r="SGQ2"/>
      <c r="SGR2"/>
      <c r="SGS2"/>
      <c r="SGT2"/>
      <c r="SGU2"/>
      <c r="SGV2"/>
      <c r="SGW2"/>
      <c r="SGX2"/>
      <c r="SGY2"/>
      <c r="SGZ2"/>
      <c r="SHA2"/>
      <c r="SHB2"/>
      <c r="SHC2"/>
      <c r="SHD2"/>
      <c r="SHE2"/>
      <c r="SHF2"/>
      <c r="SHG2"/>
      <c r="SHH2"/>
      <c r="SHI2"/>
      <c r="SHJ2"/>
      <c r="SHK2"/>
      <c r="SHL2"/>
      <c r="SHM2"/>
      <c r="SHN2"/>
      <c r="SHO2"/>
      <c r="SHP2"/>
      <c r="SHQ2"/>
      <c r="SHR2"/>
      <c r="SHS2"/>
      <c r="SHT2"/>
      <c r="SHU2"/>
      <c r="SHV2"/>
      <c r="SHW2"/>
      <c r="SHX2"/>
      <c r="SHY2"/>
      <c r="SHZ2"/>
      <c r="SIA2"/>
      <c r="SIB2"/>
      <c r="SIC2"/>
      <c r="SID2"/>
      <c r="SIE2"/>
      <c r="SIF2"/>
      <c r="SIG2"/>
      <c r="SIH2"/>
      <c r="SII2"/>
      <c r="SIJ2"/>
      <c r="SIK2"/>
      <c r="SIL2"/>
      <c r="SIM2"/>
      <c r="SIN2"/>
      <c r="SIO2"/>
      <c r="SIP2"/>
      <c r="SIQ2"/>
      <c r="SIR2"/>
      <c r="SIS2"/>
      <c r="SIT2"/>
      <c r="SIU2"/>
      <c r="SIV2"/>
      <c r="SIW2"/>
      <c r="SIX2"/>
      <c r="SIY2"/>
      <c r="SIZ2"/>
      <c r="SJA2"/>
      <c r="SJB2"/>
      <c r="SJC2"/>
      <c r="SJD2"/>
      <c r="SJE2"/>
      <c r="SJF2"/>
      <c r="SJG2"/>
      <c r="SJH2"/>
      <c r="SJI2"/>
      <c r="SJJ2"/>
      <c r="SJK2"/>
      <c r="SJL2"/>
      <c r="SJM2"/>
      <c r="SJN2"/>
      <c r="SJO2"/>
      <c r="SJP2"/>
      <c r="SJQ2"/>
      <c r="SJR2"/>
      <c r="SJS2"/>
      <c r="SJT2"/>
      <c r="SJU2"/>
      <c r="SJV2"/>
      <c r="SJW2"/>
      <c r="SJX2"/>
      <c r="SJY2"/>
      <c r="SJZ2"/>
      <c r="SKA2"/>
      <c r="SKB2"/>
      <c r="SKC2"/>
      <c r="SKD2"/>
      <c r="SKE2"/>
      <c r="SKF2"/>
      <c r="SKG2"/>
      <c r="SKH2"/>
      <c r="SKI2"/>
      <c r="SKJ2"/>
      <c r="SKK2"/>
      <c r="SKL2"/>
      <c r="SKM2"/>
      <c r="SKN2"/>
      <c r="SKO2"/>
      <c r="SKP2"/>
      <c r="SKQ2"/>
      <c r="SKR2"/>
      <c r="SKS2"/>
      <c r="SKT2"/>
      <c r="SKU2"/>
      <c r="SKV2"/>
      <c r="SKW2"/>
      <c r="SKX2"/>
      <c r="SKY2"/>
      <c r="SKZ2"/>
      <c r="SLA2"/>
      <c r="SLB2"/>
      <c r="SLC2"/>
      <c r="SLD2"/>
      <c r="SLE2"/>
      <c r="SLF2"/>
      <c r="SLG2"/>
      <c r="SLH2"/>
      <c r="SLI2"/>
      <c r="SLJ2"/>
      <c r="SLK2"/>
      <c r="SLL2"/>
      <c r="SLM2"/>
      <c r="SLN2"/>
      <c r="SLO2"/>
      <c r="SLP2"/>
      <c r="SLQ2"/>
      <c r="SLR2"/>
      <c r="SLS2"/>
      <c r="SLT2"/>
      <c r="SLU2"/>
      <c r="SLV2"/>
      <c r="SLW2"/>
      <c r="SLX2"/>
      <c r="SLY2"/>
      <c r="SLZ2"/>
      <c r="SMA2"/>
      <c r="SMB2"/>
      <c r="SMC2"/>
      <c r="SMD2"/>
      <c r="SME2"/>
      <c r="SMF2"/>
      <c r="SMG2"/>
      <c r="SMH2"/>
      <c r="SMI2"/>
      <c r="SMJ2"/>
      <c r="SMK2"/>
      <c r="SML2"/>
      <c r="SMM2"/>
      <c r="SMN2"/>
      <c r="SMO2"/>
      <c r="SMP2"/>
      <c r="SMQ2"/>
      <c r="SMR2"/>
      <c r="SMS2"/>
      <c r="SMT2"/>
      <c r="SMU2"/>
      <c r="SMV2"/>
      <c r="SMW2"/>
      <c r="SMX2"/>
      <c r="SMY2"/>
      <c r="SMZ2"/>
      <c r="SNA2"/>
      <c r="SNB2"/>
      <c r="SNC2"/>
      <c r="SND2"/>
      <c r="SNE2"/>
      <c r="SNF2"/>
      <c r="SNG2"/>
      <c r="SNH2"/>
      <c r="SNI2"/>
      <c r="SNJ2"/>
      <c r="SNK2"/>
      <c r="SNL2"/>
      <c r="SNM2"/>
      <c r="SNN2"/>
      <c r="SNO2"/>
      <c r="SNP2"/>
      <c r="SNQ2"/>
      <c r="SNR2"/>
      <c r="SNS2"/>
      <c r="SNT2"/>
      <c r="SNU2"/>
      <c r="SNV2"/>
      <c r="SNW2"/>
      <c r="SNX2"/>
      <c r="SNY2"/>
      <c r="SNZ2"/>
      <c r="SOA2"/>
      <c r="SOB2"/>
      <c r="SOC2"/>
      <c r="SOD2"/>
      <c r="SOE2"/>
      <c r="SOF2"/>
      <c r="SOG2"/>
      <c r="SOH2"/>
      <c r="SOI2"/>
      <c r="SOJ2"/>
      <c r="SOK2"/>
      <c r="SOL2"/>
      <c r="SOM2"/>
      <c r="SON2"/>
      <c r="SOO2"/>
      <c r="SOP2"/>
      <c r="SOQ2"/>
      <c r="SOR2"/>
      <c r="SOS2"/>
      <c r="SOT2"/>
      <c r="SOU2"/>
      <c r="SOV2"/>
      <c r="SOW2"/>
      <c r="SOX2"/>
      <c r="SOY2"/>
      <c r="SOZ2"/>
      <c r="SPA2"/>
      <c r="SPB2"/>
      <c r="SPC2"/>
      <c r="SPD2"/>
      <c r="SPE2"/>
      <c r="SPF2"/>
      <c r="SPG2"/>
      <c r="SPH2"/>
      <c r="SPI2"/>
      <c r="SPJ2"/>
      <c r="SPK2"/>
      <c r="SPL2"/>
      <c r="SPM2"/>
      <c r="SPN2"/>
      <c r="SPO2"/>
      <c r="SPP2"/>
      <c r="SPQ2"/>
      <c r="SPR2"/>
      <c r="SPS2"/>
      <c r="SPT2"/>
      <c r="SPU2"/>
      <c r="SPV2"/>
      <c r="SPW2"/>
      <c r="SPX2"/>
      <c r="SPY2"/>
      <c r="SPZ2"/>
      <c r="SQA2"/>
      <c r="SQB2"/>
      <c r="SQC2"/>
      <c r="SQD2"/>
      <c r="SQE2"/>
      <c r="SQF2"/>
      <c r="SQG2"/>
      <c r="SQH2"/>
      <c r="SQI2"/>
      <c r="SQJ2"/>
      <c r="SQK2"/>
      <c r="SQL2"/>
      <c r="SQM2"/>
      <c r="SQN2"/>
      <c r="SQO2"/>
      <c r="SQP2"/>
      <c r="SQQ2"/>
      <c r="SQR2"/>
      <c r="SQS2"/>
      <c r="SQT2"/>
      <c r="SQU2"/>
      <c r="SQV2"/>
      <c r="SQW2"/>
      <c r="SQX2"/>
      <c r="SQY2"/>
      <c r="SQZ2"/>
      <c r="SRA2"/>
      <c r="SRB2"/>
      <c r="SRC2"/>
      <c r="SRD2"/>
      <c r="SRE2"/>
      <c r="SRF2"/>
      <c r="SRG2"/>
      <c r="SRH2"/>
      <c r="SRI2"/>
      <c r="SRJ2"/>
      <c r="SRK2"/>
      <c r="SRL2"/>
      <c r="SRM2"/>
      <c r="SRN2"/>
      <c r="SRO2"/>
      <c r="SRP2"/>
      <c r="SRQ2"/>
      <c r="SRR2"/>
      <c r="SRS2"/>
      <c r="SRT2"/>
      <c r="SRU2"/>
      <c r="SRV2"/>
      <c r="SRW2"/>
      <c r="SRX2"/>
      <c r="SRY2"/>
      <c r="SRZ2"/>
      <c r="SSA2"/>
      <c r="SSB2"/>
      <c r="SSC2"/>
      <c r="SSD2"/>
      <c r="SSE2"/>
      <c r="SSF2"/>
      <c r="SSG2"/>
      <c r="SSH2"/>
      <c r="SSI2"/>
      <c r="SSJ2"/>
      <c r="SSK2"/>
      <c r="SSL2"/>
      <c r="SSM2"/>
      <c r="SSN2"/>
      <c r="SSO2"/>
      <c r="SSP2"/>
      <c r="SSQ2"/>
      <c r="SSR2"/>
      <c r="SSS2"/>
      <c r="SST2"/>
      <c r="SSU2"/>
      <c r="SSV2"/>
      <c r="SSW2"/>
      <c r="SSX2"/>
      <c r="SSY2"/>
      <c r="SSZ2"/>
      <c r="STA2"/>
      <c r="STB2"/>
      <c r="STC2"/>
      <c r="STD2"/>
      <c r="STE2"/>
      <c r="STF2"/>
      <c r="STG2"/>
      <c r="STH2"/>
      <c r="STI2"/>
      <c r="STJ2"/>
      <c r="STK2"/>
      <c r="STL2"/>
      <c r="STM2"/>
      <c r="STN2"/>
      <c r="STO2"/>
      <c r="STP2"/>
      <c r="STQ2"/>
      <c r="STR2"/>
      <c r="STS2"/>
      <c r="STT2"/>
      <c r="STU2"/>
      <c r="STV2"/>
      <c r="STW2"/>
      <c r="STX2"/>
      <c r="STY2"/>
      <c r="STZ2"/>
      <c r="SUA2"/>
      <c r="SUB2"/>
      <c r="SUC2"/>
      <c r="SUD2"/>
      <c r="SUE2"/>
      <c r="SUF2"/>
      <c r="SUG2"/>
      <c r="SUH2"/>
      <c r="SUI2"/>
      <c r="SUJ2"/>
      <c r="SUK2"/>
      <c r="SUL2"/>
      <c r="SUM2"/>
      <c r="SUN2"/>
      <c r="SUO2"/>
      <c r="SUP2"/>
      <c r="SUQ2"/>
      <c r="SUR2"/>
      <c r="SUS2"/>
      <c r="SUT2"/>
      <c r="SUU2"/>
      <c r="SUV2"/>
      <c r="SUW2"/>
      <c r="SUX2"/>
      <c r="SUY2"/>
      <c r="SUZ2"/>
      <c r="SVA2"/>
      <c r="SVB2"/>
      <c r="SVC2"/>
      <c r="SVD2"/>
      <c r="SVE2"/>
      <c r="SVF2"/>
      <c r="SVG2"/>
      <c r="SVH2"/>
      <c r="SVI2"/>
      <c r="SVJ2"/>
      <c r="SVK2"/>
      <c r="SVL2"/>
      <c r="SVM2"/>
      <c r="SVN2"/>
      <c r="SVO2"/>
      <c r="SVP2"/>
      <c r="SVQ2"/>
      <c r="SVR2"/>
      <c r="SVS2"/>
      <c r="SVT2"/>
      <c r="SVU2"/>
      <c r="SVV2"/>
      <c r="SVW2"/>
      <c r="SVX2"/>
      <c r="SVY2"/>
      <c r="SVZ2"/>
      <c r="SWA2"/>
      <c r="SWB2"/>
      <c r="SWC2"/>
      <c r="SWD2"/>
      <c r="SWE2"/>
      <c r="SWF2"/>
      <c r="SWG2"/>
      <c r="SWH2"/>
      <c r="SWI2"/>
      <c r="SWJ2"/>
      <c r="SWK2"/>
      <c r="SWL2"/>
      <c r="SWM2"/>
      <c r="SWN2"/>
      <c r="SWO2"/>
      <c r="SWP2"/>
      <c r="SWQ2"/>
      <c r="SWR2"/>
      <c r="SWS2"/>
      <c r="SWT2"/>
      <c r="SWU2"/>
      <c r="SWV2"/>
      <c r="SWW2"/>
      <c r="SWX2"/>
      <c r="SWY2"/>
      <c r="SWZ2"/>
      <c r="SXA2"/>
      <c r="SXB2"/>
      <c r="SXC2"/>
      <c r="SXD2"/>
      <c r="SXE2"/>
      <c r="SXF2"/>
      <c r="SXG2"/>
      <c r="SXH2"/>
      <c r="SXI2"/>
      <c r="SXJ2"/>
      <c r="SXK2"/>
      <c r="SXL2"/>
      <c r="SXM2"/>
      <c r="SXN2"/>
      <c r="SXO2"/>
      <c r="SXP2"/>
      <c r="SXQ2"/>
      <c r="SXR2"/>
      <c r="SXS2"/>
      <c r="SXT2"/>
      <c r="SXU2"/>
      <c r="SXV2"/>
      <c r="SXW2"/>
      <c r="SXX2"/>
      <c r="SXY2"/>
      <c r="SXZ2"/>
      <c r="SYA2"/>
      <c r="SYB2"/>
      <c r="SYC2"/>
      <c r="SYD2"/>
      <c r="SYE2"/>
      <c r="SYF2"/>
      <c r="SYG2"/>
      <c r="SYH2"/>
      <c r="SYI2"/>
      <c r="SYJ2"/>
      <c r="SYK2"/>
      <c r="SYL2"/>
      <c r="SYM2"/>
      <c r="SYN2"/>
      <c r="SYO2"/>
      <c r="SYP2"/>
      <c r="SYQ2"/>
      <c r="SYR2"/>
      <c r="SYS2"/>
      <c r="SYT2"/>
      <c r="SYU2"/>
      <c r="SYV2"/>
      <c r="SYW2"/>
      <c r="SYX2"/>
      <c r="SYY2"/>
      <c r="SYZ2"/>
      <c r="SZA2"/>
      <c r="SZB2"/>
      <c r="SZC2"/>
      <c r="SZD2"/>
      <c r="SZE2"/>
      <c r="SZF2"/>
      <c r="SZG2"/>
      <c r="SZH2"/>
      <c r="SZI2"/>
      <c r="SZJ2"/>
      <c r="SZK2"/>
      <c r="SZL2"/>
      <c r="SZM2"/>
      <c r="SZN2"/>
      <c r="SZO2"/>
      <c r="SZP2"/>
      <c r="SZQ2"/>
      <c r="SZR2"/>
      <c r="SZS2"/>
      <c r="SZT2"/>
      <c r="SZU2"/>
      <c r="SZV2"/>
      <c r="SZW2"/>
      <c r="SZX2"/>
      <c r="SZY2"/>
      <c r="SZZ2"/>
      <c r="TAA2"/>
      <c r="TAB2"/>
      <c r="TAC2"/>
      <c r="TAD2"/>
      <c r="TAE2"/>
      <c r="TAF2"/>
      <c r="TAG2"/>
      <c r="TAH2"/>
      <c r="TAI2"/>
      <c r="TAJ2"/>
      <c r="TAK2"/>
      <c r="TAL2"/>
      <c r="TAM2"/>
      <c r="TAN2"/>
      <c r="TAO2"/>
      <c r="TAP2"/>
      <c r="TAQ2"/>
      <c r="TAR2"/>
      <c r="TAS2"/>
      <c r="TAT2"/>
      <c r="TAU2"/>
      <c r="TAV2"/>
      <c r="TAW2"/>
      <c r="TAX2"/>
      <c r="TAY2"/>
      <c r="TAZ2"/>
      <c r="TBA2"/>
      <c r="TBB2"/>
      <c r="TBC2"/>
      <c r="TBD2"/>
      <c r="TBE2"/>
      <c r="TBF2"/>
      <c r="TBG2"/>
      <c r="TBH2"/>
      <c r="TBI2"/>
      <c r="TBJ2"/>
      <c r="TBK2"/>
      <c r="TBL2"/>
      <c r="TBM2"/>
      <c r="TBN2"/>
      <c r="TBO2"/>
      <c r="TBP2"/>
      <c r="TBQ2"/>
      <c r="TBR2"/>
      <c r="TBS2"/>
      <c r="TBT2"/>
      <c r="TBU2"/>
      <c r="TBV2"/>
      <c r="TBW2"/>
      <c r="TBX2"/>
      <c r="TBY2"/>
      <c r="TBZ2"/>
      <c r="TCA2"/>
      <c r="TCB2"/>
      <c r="TCC2"/>
      <c r="TCD2"/>
      <c r="TCE2"/>
      <c r="TCF2"/>
      <c r="TCG2"/>
      <c r="TCH2"/>
      <c r="TCI2"/>
      <c r="TCJ2"/>
      <c r="TCK2"/>
      <c r="TCL2"/>
      <c r="TCM2"/>
      <c r="TCN2"/>
      <c r="TCO2"/>
      <c r="TCP2"/>
      <c r="TCQ2"/>
      <c r="TCR2"/>
      <c r="TCS2"/>
      <c r="TCT2"/>
      <c r="TCU2"/>
      <c r="TCV2"/>
      <c r="TCW2"/>
      <c r="TCX2"/>
      <c r="TCY2"/>
      <c r="TCZ2"/>
      <c r="TDA2"/>
      <c r="TDB2"/>
      <c r="TDC2"/>
      <c r="TDD2"/>
      <c r="TDE2"/>
      <c r="TDF2"/>
      <c r="TDG2"/>
      <c r="TDH2"/>
      <c r="TDI2"/>
      <c r="TDJ2"/>
      <c r="TDK2"/>
      <c r="TDL2"/>
      <c r="TDM2"/>
      <c r="TDN2"/>
      <c r="TDO2"/>
      <c r="TDP2"/>
      <c r="TDQ2"/>
      <c r="TDR2"/>
      <c r="TDS2"/>
      <c r="TDT2"/>
      <c r="TDU2"/>
      <c r="TDV2"/>
      <c r="TDW2"/>
      <c r="TDX2"/>
      <c r="TDY2"/>
      <c r="TDZ2"/>
      <c r="TEA2"/>
      <c r="TEB2"/>
      <c r="TEC2"/>
      <c r="TED2"/>
      <c r="TEE2"/>
      <c r="TEF2"/>
      <c r="TEG2"/>
      <c r="TEH2"/>
      <c r="TEI2"/>
      <c r="TEJ2"/>
      <c r="TEK2"/>
      <c r="TEL2"/>
      <c r="TEM2"/>
      <c r="TEN2"/>
      <c r="TEO2"/>
      <c r="TEP2"/>
      <c r="TEQ2"/>
      <c r="TER2"/>
      <c r="TES2"/>
      <c r="TET2"/>
      <c r="TEU2"/>
      <c r="TEV2"/>
      <c r="TEW2"/>
      <c r="TEX2"/>
      <c r="TEY2"/>
      <c r="TEZ2"/>
      <c r="TFA2"/>
      <c r="TFB2"/>
      <c r="TFC2"/>
      <c r="TFD2"/>
      <c r="TFE2"/>
      <c r="TFF2"/>
      <c r="TFG2"/>
      <c r="TFH2"/>
      <c r="TFI2"/>
      <c r="TFJ2"/>
      <c r="TFK2"/>
      <c r="TFL2"/>
      <c r="TFM2"/>
      <c r="TFN2"/>
      <c r="TFO2"/>
      <c r="TFP2"/>
      <c r="TFQ2"/>
      <c r="TFR2"/>
      <c r="TFS2"/>
      <c r="TFT2"/>
      <c r="TFU2"/>
      <c r="TFV2"/>
      <c r="TFW2"/>
      <c r="TFX2"/>
      <c r="TFY2"/>
      <c r="TFZ2"/>
      <c r="TGA2"/>
      <c r="TGB2"/>
      <c r="TGC2"/>
      <c r="TGD2"/>
      <c r="TGE2"/>
      <c r="TGF2"/>
      <c r="TGG2"/>
      <c r="TGH2"/>
      <c r="TGI2"/>
      <c r="TGJ2"/>
      <c r="TGK2"/>
      <c r="TGL2"/>
      <c r="TGM2"/>
      <c r="TGN2"/>
      <c r="TGO2"/>
      <c r="TGP2"/>
      <c r="TGQ2"/>
      <c r="TGR2"/>
      <c r="TGS2"/>
      <c r="TGT2"/>
      <c r="TGU2"/>
      <c r="TGV2"/>
      <c r="TGW2"/>
      <c r="TGX2"/>
      <c r="TGY2"/>
      <c r="TGZ2"/>
      <c r="THA2"/>
      <c r="THB2"/>
      <c r="THC2"/>
      <c r="THD2"/>
      <c r="THE2"/>
      <c r="THF2"/>
      <c r="THG2"/>
      <c r="THH2"/>
      <c r="THI2"/>
      <c r="THJ2"/>
      <c r="THK2"/>
      <c r="THL2"/>
      <c r="THM2"/>
      <c r="THN2"/>
      <c r="THO2"/>
      <c r="THP2"/>
      <c r="THQ2"/>
      <c r="THR2"/>
      <c r="THS2"/>
      <c r="THT2"/>
      <c r="THU2"/>
      <c r="THV2"/>
      <c r="THW2"/>
      <c r="THX2"/>
      <c r="THY2"/>
      <c r="THZ2"/>
      <c r="TIA2"/>
      <c r="TIB2"/>
      <c r="TIC2"/>
      <c r="TID2"/>
      <c r="TIE2"/>
      <c r="TIF2"/>
      <c r="TIG2"/>
      <c r="TIH2"/>
      <c r="TII2"/>
      <c r="TIJ2"/>
      <c r="TIK2"/>
      <c r="TIL2"/>
      <c r="TIM2"/>
      <c r="TIN2"/>
      <c r="TIO2"/>
      <c r="TIP2"/>
      <c r="TIQ2"/>
      <c r="TIR2"/>
      <c r="TIS2"/>
      <c r="TIT2"/>
      <c r="TIU2"/>
      <c r="TIV2"/>
      <c r="TIW2"/>
      <c r="TIX2"/>
      <c r="TIY2"/>
      <c r="TIZ2"/>
      <c r="TJA2"/>
      <c r="TJB2"/>
      <c r="TJC2"/>
      <c r="TJD2"/>
      <c r="TJE2"/>
      <c r="TJF2"/>
      <c r="TJG2"/>
      <c r="TJH2"/>
      <c r="TJI2"/>
      <c r="TJJ2"/>
      <c r="TJK2"/>
      <c r="TJL2"/>
      <c r="TJM2"/>
      <c r="TJN2"/>
      <c r="TJO2"/>
      <c r="TJP2"/>
      <c r="TJQ2"/>
      <c r="TJR2"/>
      <c r="TJS2"/>
      <c r="TJT2"/>
      <c r="TJU2"/>
      <c r="TJV2"/>
      <c r="TJW2"/>
      <c r="TJX2"/>
      <c r="TJY2"/>
      <c r="TJZ2"/>
      <c r="TKA2"/>
      <c r="TKB2"/>
      <c r="TKC2"/>
      <c r="TKD2"/>
      <c r="TKE2"/>
      <c r="TKF2"/>
      <c r="TKG2"/>
      <c r="TKH2"/>
      <c r="TKI2"/>
      <c r="TKJ2"/>
      <c r="TKK2"/>
      <c r="TKL2"/>
      <c r="TKM2"/>
      <c r="TKN2"/>
      <c r="TKO2"/>
      <c r="TKP2"/>
      <c r="TKQ2"/>
      <c r="TKR2"/>
      <c r="TKS2"/>
      <c r="TKT2"/>
      <c r="TKU2"/>
      <c r="TKV2"/>
      <c r="TKW2"/>
      <c r="TKX2"/>
      <c r="TKY2"/>
      <c r="TKZ2"/>
      <c r="TLA2"/>
      <c r="TLB2"/>
      <c r="TLC2"/>
      <c r="TLD2"/>
      <c r="TLE2"/>
      <c r="TLF2"/>
      <c r="TLG2"/>
      <c r="TLH2"/>
      <c r="TLI2"/>
      <c r="TLJ2"/>
      <c r="TLK2"/>
      <c r="TLL2"/>
      <c r="TLM2"/>
      <c r="TLN2"/>
      <c r="TLO2"/>
      <c r="TLP2"/>
      <c r="TLQ2"/>
      <c r="TLR2"/>
      <c r="TLS2"/>
      <c r="TLT2"/>
      <c r="TLU2"/>
      <c r="TLV2"/>
      <c r="TLW2"/>
      <c r="TLX2"/>
      <c r="TLY2"/>
      <c r="TLZ2"/>
      <c r="TMA2"/>
      <c r="TMB2"/>
      <c r="TMC2"/>
      <c r="TMD2"/>
      <c r="TME2"/>
      <c r="TMF2"/>
      <c r="TMG2"/>
      <c r="TMH2"/>
      <c r="TMI2"/>
      <c r="TMJ2"/>
      <c r="TMK2"/>
      <c r="TML2"/>
      <c r="TMM2"/>
      <c r="TMN2"/>
      <c r="TMO2"/>
      <c r="TMP2"/>
      <c r="TMQ2"/>
      <c r="TMR2"/>
      <c r="TMS2"/>
      <c r="TMT2"/>
      <c r="TMU2"/>
      <c r="TMV2"/>
      <c r="TMW2"/>
      <c r="TMX2"/>
      <c r="TMY2"/>
      <c r="TMZ2"/>
      <c r="TNA2"/>
      <c r="TNB2"/>
      <c r="TNC2"/>
      <c r="TND2"/>
      <c r="TNE2"/>
      <c r="TNF2"/>
      <c r="TNG2"/>
      <c r="TNH2"/>
      <c r="TNI2"/>
      <c r="TNJ2"/>
      <c r="TNK2"/>
      <c r="TNL2"/>
      <c r="TNM2"/>
      <c r="TNN2"/>
      <c r="TNO2"/>
      <c r="TNP2"/>
      <c r="TNQ2"/>
      <c r="TNR2"/>
      <c r="TNS2"/>
      <c r="TNT2"/>
      <c r="TNU2"/>
      <c r="TNV2"/>
      <c r="TNW2"/>
      <c r="TNX2"/>
      <c r="TNY2"/>
      <c r="TNZ2"/>
      <c r="TOA2"/>
      <c r="TOB2"/>
      <c r="TOC2"/>
      <c r="TOD2"/>
      <c r="TOE2"/>
      <c r="TOF2"/>
      <c r="TOG2"/>
      <c r="TOH2"/>
      <c r="TOI2"/>
      <c r="TOJ2"/>
      <c r="TOK2"/>
      <c r="TOL2"/>
      <c r="TOM2"/>
      <c r="TON2"/>
      <c r="TOO2"/>
      <c r="TOP2"/>
      <c r="TOQ2"/>
      <c r="TOR2"/>
      <c r="TOS2"/>
      <c r="TOT2"/>
      <c r="TOU2"/>
      <c r="TOV2"/>
      <c r="TOW2"/>
      <c r="TOX2"/>
      <c r="TOY2"/>
      <c r="TOZ2"/>
      <c r="TPA2"/>
      <c r="TPB2"/>
      <c r="TPC2"/>
      <c r="TPD2"/>
      <c r="TPE2"/>
      <c r="TPF2"/>
      <c r="TPG2"/>
      <c r="TPH2"/>
      <c r="TPI2"/>
      <c r="TPJ2"/>
      <c r="TPK2"/>
      <c r="TPL2"/>
      <c r="TPM2"/>
      <c r="TPN2"/>
      <c r="TPO2"/>
      <c r="TPP2"/>
      <c r="TPQ2"/>
      <c r="TPR2"/>
      <c r="TPS2"/>
      <c r="TPT2"/>
      <c r="TPU2"/>
      <c r="TPV2"/>
      <c r="TPW2"/>
      <c r="TPX2"/>
      <c r="TPY2"/>
      <c r="TPZ2"/>
      <c r="TQA2"/>
      <c r="TQB2"/>
      <c r="TQC2"/>
      <c r="TQD2"/>
      <c r="TQE2"/>
      <c r="TQF2"/>
      <c r="TQG2"/>
      <c r="TQH2"/>
      <c r="TQI2"/>
      <c r="TQJ2"/>
      <c r="TQK2"/>
      <c r="TQL2"/>
      <c r="TQM2"/>
      <c r="TQN2"/>
      <c r="TQO2"/>
      <c r="TQP2"/>
      <c r="TQQ2"/>
      <c r="TQR2"/>
      <c r="TQS2"/>
      <c r="TQT2"/>
      <c r="TQU2"/>
      <c r="TQV2"/>
      <c r="TQW2"/>
      <c r="TQX2"/>
      <c r="TQY2"/>
      <c r="TQZ2"/>
      <c r="TRA2"/>
      <c r="TRB2"/>
      <c r="TRC2"/>
      <c r="TRD2"/>
      <c r="TRE2"/>
      <c r="TRF2"/>
      <c r="TRG2"/>
      <c r="TRH2"/>
      <c r="TRI2"/>
      <c r="TRJ2"/>
      <c r="TRK2"/>
      <c r="TRL2"/>
      <c r="TRM2"/>
      <c r="TRN2"/>
      <c r="TRO2"/>
      <c r="TRP2"/>
      <c r="TRQ2"/>
      <c r="TRR2"/>
      <c r="TRS2"/>
      <c r="TRT2"/>
      <c r="TRU2"/>
      <c r="TRV2"/>
      <c r="TRW2"/>
      <c r="TRX2"/>
      <c r="TRY2"/>
      <c r="TRZ2"/>
      <c r="TSA2"/>
      <c r="TSB2"/>
      <c r="TSC2"/>
      <c r="TSD2"/>
      <c r="TSE2"/>
      <c r="TSF2"/>
      <c r="TSG2"/>
      <c r="TSH2"/>
      <c r="TSI2"/>
      <c r="TSJ2"/>
      <c r="TSK2"/>
      <c r="TSL2"/>
      <c r="TSM2"/>
      <c r="TSN2"/>
      <c r="TSO2"/>
      <c r="TSP2"/>
      <c r="TSQ2"/>
      <c r="TSR2"/>
      <c r="TSS2"/>
      <c r="TST2"/>
      <c r="TSU2"/>
      <c r="TSV2"/>
      <c r="TSW2"/>
      <c r="TSX2"/>
      <c r="TSY2"/>
      <c r="TSZ2"/>
      <c r="TTA2"/>
      <c r="TTB2"/>
      <c r="TTC2"/>
      <c r="TTD2"/>
      <c r="TTE2"/>
      <c r="TTF2"/>
      <c r="TTG2"/>
      <c r="TTH2"/>
      <c r="TTI2"/>
      <c r="TTJ2"/>
      <c r="TTK2"/>
      <c r="TTL2"/>
      <c r="TTM2"/>
      <c r="TTN2"/>
      <c r="TTO2"/>
      <c r="TTP2"/>
      <c r="TTQ2"/>
      <c r="TTR2"/>
      <c r="TTS2"/>
      <c r="TTT2"/>
      <c r="TTU2"/>
      <c r="TTV2"/>
      <c r="TTW2"/>
      <c r="TTX2"/>
      <c r="TTY2"/>
      <c r="TTZ2"/>
      <c r="TUA2"/>
      <c r="TUB2"/>
      <c r="TUC2"/>
      <c r="TUD2"/>
      <c r="TUE2"/>
      <c r="TUF2"/>
      <c r="TUG2"/>
      <c r="TUH2"/>
      <c r="TUI2"/>
      <c r="TUJ2"/>
      <c r="TUK2"/>
      <c r="TUL2"/>
      <c r="TUM2"/>
      <c r="TUN2"/>
      <c r="TUO2"/>
      <c r="TUP2"/>
      <c r="TUQ2"/>
      <c r="TUR2"/>
      <c r="TUS2"/>
      <c r="TUT2"/>
      <c r="TUU2"/>
      <c r="TUV2"/>
      <c r="TUW2"/>
      <c r="TUX2"/>
      <c r="TUY2"/>
      <c r="TUZ2"/>
      <c r="TVA2"/>
      <c r="TVB2"/>
      <c r="TVC2"/>
      <c r="TVD2"/>
      <c r="TVE2"/>
      <c r="TVF2"/>
      <c r="TVG2"/>
      <c r="TVH2"/>
      <c r="TVI2"/>
      <c r="TVJ2"/>
      <c r="TVK2"/>
      <c r="TVL2"/>
      <c r="TVM2"/>
      <c r="TVN2"/>
      <c r="TVO2"/>
      <c r="TVP2"/>
      <c r="TVQ2"/>
      <c r="TVR2"/>
      <c r="TVS2"/>
      <c r="TVT2"/>
      <c r="TVU2"/>
      <c r="TVV2"/>
      <c r="TVW2"/>
      <c r="TVX2"/>
      <c r="TVY2"/>
      <c r="TVZ2"/>
      <c r="TWA2"/>
      <c r="TWB2"/>
      <c r="TWC2"/>
      <c r="TWD2"/>
      <c r="TWE2"/>
      <c r="TWF2"/>
      <c r="TWG2"/>
      <c r="TWH2"/>
      <c r="TWI2"/>
      <c r="TWJ2"/>
      <c r="TWK2"/>
      <c r="TWL2"/>
      <c r="TWM2"/>
      <c r="TWN2"/>
      <c r="TWO2"/>
      <c r="TWP2"/>
      <c r="TWQ2"/>
      <c r="TWR2"/>
      <c r="TWS2"/>
      <c r="TWT2"/>
      <c r="TWU2"/>
      <c r="TWV2"/>
      <c r="TWW2"/>
      <c r="TWX2"/>
      <c r="TWY2"/>
      <c r="TWZ2"/>
      <c r="TXA2"/>
      <c r="TXB2"/>
      <c r="TXC2"/>
      <c r="TXD2"/>
      <c r="TXE2"/>
      <c r="TXF2"/>
      <c r="TXG2"/>
      <c r="TXH2"/>
      <c r="TXI2"/>
      <c r="TXJ2"/>
      <c r="TXK2"/>
      <c r="TXL2"/>
      <c r="TXM2"/>
      <c r="TXN2"/>
      <c r="TXO2"/>
      <c r="TXP2"/>
      <c r="TXQ2"/>
      <c r="TXR2"/>
      <c r="TXS2"/>
      <c r="TXT2"/>
      <c r="TXU2"/>
      <c r="TXV2"/>
      <c r="TXW2"/>
      <c r="TXX2"/>
      <c r="TXY2"/>
      <c r="TXZ2"/>
      <c r="TYA2"/>
      <c r="TYB2"/>
      <c r="TYC2"/>
      <c r="TYD2"/>
      <c r="TYE2"/>
      <c r="TYF2"/>
      <c r="TYG2"/>
      <c r="TYH2"/>
      <c r="TYI2"/>
      <c r="TYJ2"/>
      <c r="TYK2"/>
      <c r="TYL2"/>
      <c r="TYM2"/>
      <c r="TYN2"/>
      <c r="TYO2"/>
      <c r="TYP2"/>
      <c r="TYQ2"/>
      <c r="TYR2"/>
      <c r="TYS2"/>
      <c r="TYT2"/>
      <c r="TYU2"/>
      <c r="TYV2"/>
      <c r="TYW2"/>
      <c r="TYX2"/>
      <c r="TYY2"/>
      <c r="TYZ2"/>
      <c r="TZA2"/>
      <c r="TZB2"/>
      <c r="TZC2"/>
      <c r="TZD2"/>
      <c r="TZE2"/>
      <c r="TZF2"/>
      <c r="TZG2"/>
      <c r="TZH2"/>
      <c r="TZI2"/>
      <c r="TZJ2"/>
      <c r="TZK2"/>
      <c r="TZL2"/>
      <c r="TZM2"/>
      <c r="TZN2"/>
      <c r="TZO2"/>
      <c r="TZP2"/>
      <c r="TZQ2"/>
      <c r="TZR2"/>
      <c r="TZS2"/>
      <c r="TZT2"/>
      <c r="TZU2"/>
      <c r="TZV2"/>
      <c r="TZW2"/>
      <c r="TZX2"/>
      <c r="TZY2"/>
      <c r="TZZ2"/>
      <c r="UAA2"/>
      <c r="UAB2"/>
      <c r="UAC2"/>
      <c r="UAD2"/>
      <c r="UAE2"/>
      <c r="UAF2"/>
      <c r="UAG2"/>
      <c r="UAH2"/>
      <c r="UAI2"/>
      <c r="UAJ2"/>
      <c r="UAK2"/>
      <c r="UAL2"/>
      <c r="UAM2"/>
      <c r="UAN2"/>
      <c r="UAO2"/>
      <c r="UAP2"/>
      <c r="UAQ2"/>
      <c r="UAR2"/>
      <c r="UAS2"/>
      <c r="UAT2"/>
      <c r="UAU2"/>
      <c r="UAV2"/>
      <c r="UAW2"/>
      <c r="UAX2"/>
      <c r="UAY2"/>
      <c r="UAZ2"/>
      <c r="UBA2"/>
      <c r="UBB2"/>
      <c r="UBC2"/>
      <c r="UBD2"/>
      <c r="UBE2"/>
      <c r="UBF2"/>
      <c r="UBG2"/>
      <c r="UBH2"/>
      <c r="UBI2"/>
      <c r="UBJ2"/>
      <c r="UBK2"/>
      <c r="UBL2"/>
      <c r="UBM2"/>
      <c r="UBN2"/>
      <c r="UBO2"/>
      <c r="UBP2"/>
      <c r="UBQ2"/>
      <c r="UBR2"/>
      <c r="UBS2"/>
      <c r="UBT2"/>
      <c r="UBU2"/>
      <c r="UBV2"/>
      <c r="UBW2"/>
      <c r="UBX2"/>
      <c r="UBY2"/>
      <c r="UBZ2"/>
      <c r="UCA2"/>
      <c r="UCB2"/>
      <c r="UCC2"/>
      <c r="UCD2"/>
      <c r="UCE2"/>
      <c r="UCF2"/>
      <c r="UCG2"/>
      <c r="UCH2"/>
      <c r="UCI2"/>
      <c r="UCJ2"/>
      <c r="UCK2"/>
      <c r="UCL2"/>
      <c r="UCM2"/>
      <c r="UCN2"/>
      <c r="UCO2"/>
      <c r="UCP2"/>
      <c r="UCQ2"/>
      <c r="UCR2"/>
      <c r="UCS2"/>
      <c r="UCT2"/>
      <c r="UCU2"/>
      <c r="UCV2"/>
      <c r="UCW2"/>
      <c r="UCX2"/>
      <c r="UCY2"/>
      <c r="UCZ2"/>
      <c r="UDA2"/>
      <c r="UDB2"/>
      <c r="UDC2"/>
      <c r="UDD2"/>
      <c r="UDE2"/>
      <c r="UDF2"/>
      <c r="UDG2"/>
      <c r="UDH2"/>
      <c r="UDI2"/>
      <c r="UDJ2"/>
      <c r="UDK2"/>
      <c r="UDL2"/>
      <c r="UDM2"/>
      <c r="UDN2"/>
      <c r="UDO2"/>
      <c r="UDP2"/>
      <c r="UDQ2"/>
      <c r="UDR2"/>
      <c r="UDS2"/>
      <c r="UDT2"/>
      <c r="UDU2"/>
      <c r="UDV2"/>
      <c r="UDW2"/>
      <c r="UDX2"/>
      <c r="UDY2"/>
      <c r="UDZ2"/>
      <c r="UEA2"/>
      <c r="UEB2"/>
      <c r="UEC2"/>
      <c r="UED2"/>
      <c r="UEE2"/>
      <c r="UEF2"/>
      <c r="UEG2"/>
      <c r="UEH2"/>
      <c r="UEI2"/>
      <c r="UEJ2"/>
      <c r="UEK2"/>
      <c r="UEL2"/>
      <c r="UEM2"/>
      <c r="UEN2"/>
      <c r="UEO2"/>
      <c r="UEP2"/>
      <c r="UEQ2"/>
      <c r="UER2"/>
      <c r="UES2"/>
      <c r="UET2"/>
      <c r="UEU2"/>
      <c r="UEV2"/>
      <c r="UEW2"/>
      <c r="UEX2"/>
      <c r="UEY2"/>
      <c r="UEZ2"/>
      <c r="UFA2"/>
      <c r="UFB2"/>
      <c r="UFC2"/>
      <c r="UFD2"/>
      <c r="UFE2"/>
      <c r="UFF2"/>
      <c r="UFG2"/>
      <c r="UFH2"/>
      <c r="UFI2"/>
      <c r="UFJ2"/>
      <c r="UFK2"/>
      <c r="UFL2"/>
      <c r="UFM2"/>
      <c r="UFN2"/>
      <c r="UFO2"/>
      <c r="UFP2"/>
      <c r="UFQ2"/>
      <c r="UFR2"/>
      <c r="UFS2"/>
      <c r="UFT2"/>
      <c r="UFU2"/>
      <c r="UFV2"/>
      <c r="UFW2"/>
      <c r="UFX2"/>
      <c r="UFY2"/>
      <c r="UFZ2"/>
      <c r="UGA2"/>
      <c r="UGB2"/>
      <c r="UGC2"/>
      <c r="UGD2"/>
      <c r="UGE2"/>
      <c r="UGF2"/>
      <c r="UGG2"/>
      <c r="UGH2"/>
      <c r="UGI2"/>
      <c r="UGJ2"/>
      <c r="UGK2"/>
      <c r="UGL2"/>
      <c r="UGM2"/>
      <c r="UGN2"/>
      <c r="UGO2"/>
      <c r="UGP2"/>
      <c r="UGQ2"/>
      <c r="UGR2"/>
      <c r="UGS2"/>
      <c r="UGT2"/>
      <c r="UGU2"/>
      <c r="UGV2"/>
      <c r="UGW2"/>
      <c r="UGX2"/>
      <c r="UGY2"/>
      <c r="UGZ2"/>
      <c r="UHA2"/>
      <c r="UHB2"/>
      <c r="UHC2"/>
      <c r="UHD2"/>
      <c r="UHE2"/>
      <c r="UHF2"/>
      <c r="UHG2"/>
      <c r="UHH2"/>
      <c r="UHI2"/>
      <c r="UHJ2"/>
      <c r="UHK2"/>
      <c r="UHL2"/>
      <c r="UHM2"/>
      <c r="UHN2"/>
      <c r="UHO2"/>
      <c r="UHP2"/>
      <c r="UHQ2"/>
      <c r="UHR2"/>
      <c r="UHS2"/>
      <c r="UHT2"/>
      <c r="UHU2"/>
      <c r="UHV2"/>
      <c r="UHW2"/>
      <c r="UHX2"/>
      <c r="UHY2"/>
      <c r="UHZ2"/>
      <c r="UIA2"/>
      <c r="UIB2"/>
      <c r="UIC2"/>
      <c r="UID2"/>
      <c r="UIE2"/>
      <c r="UIF2"/>
      <c r="UIG2"/>
      <c r="UIH2"/>
      <c r="UII2"/>
      <c r="UIJ2"/>
      <c r="UIK2"/>
      <c r="UIL2"/>
      <c r="UIM2"/>
      <c r="UIN2"/>
      <c r="UIO2"/>
      <c r="UIP2"/>
      <c r="UIQ2"/>
      <c r="UIR2"/>
      <c r="UIS2"/>
      <c r="UIT2"/>
      <c r="UIU2"/>
      <c r="UIV2"/>
      <c r="UIW2"/>
      <c r="UIX2"/>
      <c r="UIY2"/>
      <c r="UIZ2"/>
      <c r="UJA2"/>
      <c r="UJB2"/>
      <c r="UJC2"/>
      <c r="UJD2"/>
      <c r="UJE2"/>
      <c r="UJF2"/>
      <c r="UJG2"/>
      <c r="UJH2"/>
      <c r="UJI2"/>
      <c r="UJJ2"/>
      <c r="UJK2"/>
      <c r="UJL2"/>
      <c r="UJM2"/>
      <c r="UJN2"/>
      <c r="UJO2"/>
      <c r="UJP2"/>
      <c r="UJQ2"/>
      <c r="UJR2"/>
      <c r="UJS2"/>
      <c r="UJT2"/>
      <c r="UJU2"/>
      <c r="UJV2"/>
      <c r="UJW2"/>
      <c r="UJX2"/>
      <c r="UJY2"/>
      <c r="UJZ2"/>
      <c r="UKA2"/>
      <c r="UKB2"/>
      <c r="UKC2"/>
      <c r="UKD2"/>
      <c r="UKE2"/>
      <c r="UKF2"/>
      <c r="UKG2"/>
      <c r="UKH2"/>
      <c r="UKI2"/>
      <c r="UKJ2"/>
      <c r="UKK2"/>
      <c r="UKL2"/>
      <c r="UKM2"/>
      <c r="UKN2"/>
      <c r="UKO2"/>
      <c r="UKP2"/>
      <c r="UKQ2"/>
      <c r="UKR2"/>
      <c r="UKS2"/>
      <c r="UKT2"/>
      <c r="UKU2"/>
      <c r="UKV2"/>
      <c r="UKW2"/>
      <c r="UKX2"/>
      <c r="UKY2"/>
      <c r="UKZ2"/>
      <c r="ULA2"/>
      <c r="ULB2"/>
      <c r="ULC2"/>
      <c r="ULD2"/>
      <c r="ULE2"/>
      <c r="ULF2"/>
      <c r="ULG2"/>
      <c r="ULH2"/>
      <c r="ULI2"/>
      <c r="ULJ2"/>
      <c r="ULK2"/>
      <c r="ULL2"/>
      <c r="ULM2"/>
      <c r="ULN2"/>
      <c r="ULO2"/>
      <c r="ULP2"/>
      <c r="ULQ2"/>
      <c r="ULR2"/>
      <c r="ULS2"/>
      <c r="ULT2"/>
      <c r="ULU2"/>
      <c r="ULV2"/>
      <c r="ULW2"/>
      <c r="ULX2"/>
      <c r="ULY2"/>
      <c r="ULZ2"/>
      <c r="UMA2"/>
      <c r="UMB2"/>
      <c r="UMC2"/>
      <c r="UMD2"/>
      <c r="UME2"/>
      <c r="UMF2"/>
      <c r="UMG2"/>
      <c r="UMH2"/>
      <c r="UMI2"/>
      <c r="UMJ2"/>
      <c r="UMK2"/>
      <c r="UML2"/>
      <c r="UMM2"/>
      <c r="UMN2"/>
      <c r="UMO2"/>
      <c r="UMP2"/>
      <c r="UMQ2"/>
      <c r="UMR2"/>
      <c r="UMS2"/>
      <c r="UMT2"/>
      <c r="UMU2"/>
      <c r="UMV2"/>
      <c r="UMW2"/>
      <c r="UMX2"/>
      <c r="UMY2"/>
      <c r="UMZ2"/>
      <c r="UNA2"/>
      <c r="UNB2"/>
      <c r="UNC2"/>
      <c r="UND2"/>
      <c r="UNE2"/>
      <c r="UNF2"/>
      <c r="UNG2"/>
      <c r="UNH2"/>
      <c r="UNI2"/>
      <c r="UNJ2"/>
      <c r="UNK2"/>
      <c r="UNL2"/>
      <c r="UNM2"/>
      <c r="UNN2"/>
      <c r="UNO2"/>
      <c r="UNP2"/>
      <c r="UNQ2"/>
      <c r="UNR2"/>
      <c r="UNS2"/>
      <c r="UNT2"/>
      <c r="UNU2"/>
      <c r="UNV2"/>
      <c r="UNW2"/>
      <c r="UNX2"/>
      <c r="UNY2"/>
      <c r="UNZ2"/>
      <c r="UOA2"/>
      <c r="UOB2"/>
      <c r="UOC2"/>
      <c r="UOD2"/>
      <c r="UOE2"/>
      <c r="UOF2"/>
      <c r="UOG2"/>
      <c r="UOH2"/>
      <c r="UOI2"/>
      <c r="UOJ2"/>
      <c r="UOK2"/>
      <c r="UOL2"/>
      <c r="UOM2"/>
      <c r="UON2"/>
      <c r="UOO2"/>
      <c r="UOP2"/>
      <c r="UOQ2"/>
      <c r="UOR2"/>
      <c r="UOS2"/>
      <c r="UOT2"/>
      <c r="UOU2"/>
      <c r="UOV2"/>
      <c r="UOW2"/>
      <c r="UOX2"/>
      <c r="UOY2"/>
      <c r="UOZ2"/>
      <c r="UPA2"/>
      <c r="UPB2"/>
      <c r="UPC2"/>
      <c r="UPD2"/>
      <c r="UPE2"/>
      <c r="UPF2"/>
      <c r="UPG2"/>
      <c r="UPH2"/>
      <c r="UPI2"/>
      <c r="UPJ2"/>
      <c r="UPK2"/>
      <c r="UPL2"/>
      <c r="UPM2"/>
      <c r="UPN2"/>
      <c r="UPO2"/>
      <c r="UPP2"/>
      <c r="UPQ2"/>
      <c r="UPR2"/>
      <c r="UPS2"/>
      <c r="UPT2"/>
      <c r="UPU2"/>
      <c r="UPV2"/>
      <c r="UPW2"/>
      <c r="UPX2"/>
      <c r="UPY2"/>
      <c r="UPZ2"/>
      <c r="UQA2"/>
      <c r="UQB2"/>
      <c r="UQC2"/>
      <c r="UQD2"/>
      <c r="UQE2"/>
      <c r="UQF2"/>
      <c r="UQG2"/>
      <c r="UQH2"/>
      <c r="UQI2"/>
      <c r="UQJ2"/>
      <c r="UQK2"/>
      <c r="UQL2"/>
      <c r="UQM2"/>
      <c r="UQN2"/>
      <c r="UQO2"/>
      <c r="UQP2"/>
      <c r="UQQ2"/>
      <c r="UQR2"/>
      <c r="UQS2"/>
      <c r="UQT2"/>
      <c r="UQU2"/>
      <c r="UQV2"/>
      <c r="UQW2"/>
      <c r="UQX2"/>
      <c r="UQY2"/>
      <c r="UQZ2"/>
      <c r="URA2"/>
      <c r="URB2"/>
      <c r="URC2"/>
      <c r="URD2"/>
      <c r="URE2"/>
      <c r="URF2"/>
      <c r="URG2"/>
      <c r="URH2"/>
      <c r="URI2"/>
      <c r="URJ2"/>
      <c r="URK2"/>
      <c r="URL2"/>
      <c r="URM2"/>
      <c r="URN2"/>
      <c r="URO2"/>
      <c r="URP2"/>
      <c r="URQ2"/>
      <c r="URR2"/>
      <c r="URS2"/>
      <c r="URT2"/>
      <c r="URU2"/>
      <c r="URV2"/>
      <c r="URW2"/>
      <c r="URX2"/>
      <c r="URY2"/>
      <c r="URZ2"/>
      <c r="USA2"/>
      <c r="USB2"/>
      <c r="USC2"/>
      <c r="USD2"/>
      <c r="USE2"/>
      <c r="USF2"/>
      <c r="USG2"/>
      <c r="USH2"/>
      <c r="USI2"/>
      <c r="USJ2"/>
      <c r="USK2"/>
      <c r="USL2"/>
      <c r="USM2"/>
      <c r="USN2"/>
      <c r="USO2"/>
      <c r="USP2"/>
      <c r="USQ2"/>
      <c r="USR2"/>
      <c r="USS2"/>
      <c r="UST2"/>
      <c r="USU2"/>
      <c r="USV2"/>
      <c r="USW2"/>
      <c r="USX2"/>
      <c r="USY2"/>
      <c r="USZ2"/>
      <c r="UTA2"/>
      <c r="UTB2"/>
      <c r="UTC2"/>
      <c r="UTD2"/>
      <c r="UTE2"/>
      <c r="UTF2"/>
      <c r="UTG2"/>
      <c r="UTH2"/>
      <c r="UTI2"/>
      <c r="UTJ2"/>
      <c r="UTK2"/>
      <c r="UTL2"/>
      <c r="UTM2"/>
      <c r="UTN2"/>
      <c r="UTO2"/>
      <c r="UTP2"/>
      <c r="UTQ2"/>
      <c r="UTR2"/>
      <c r="UTS2"/>
      <c r="UTT2"/>
      <c r="UTU2"/>
      <c r="UTV2"/>
      <c r="UTW2"/>
      <c r="UTX2"/>
      <c r="UTY2"/>
      <c r="UTZ2"/>
      <c r="UUA2"/>
      <c r="UUB2"/>
      <c r="UUC2"/>
      <c r="UUD2"/>
      <c r="UUE2"/>
      <c r="UUF2"/>
      <c r="UUG2"/>
      <c r="UUH2"/>
      <c r="UUI2"/>
      <c r="UUJ2"/>
      <c r="UUK2"/>
      <c r="UUL2"/>
      <c r="UUM2"/>
      <c r="UUN2"/>
      <c r="UUO2"/>
      <c r="UUP2"/>
      <c r="UUQ2"/>
      <c r="UUR2"/>
      <c r="UUS2"/>
      <c r="UUT2"/>
      <c r="UUU2"/>
      <c r="UUV2"/>
      <c r="UUW2"/>
      <c r="UUX2"/>
      <c r="UUY2"/>
      <c r="UUZ2"/>
      <c r="UVA2"/>
      <c r="UVB2"/>
      <c r="UVC2"/>
      <c r="UVD2"/>
      <c r="UVE2"/>
      <c r="UVF2"/>
      <c r="UVG2"/>
      <c r="UVH2"/>
      <c r="UVI2"/>
      <c r="UVJ2"/>
      <c r="UVK2"/>
      <c r="UVL2"/>
      <c r="UVM2"/>
      <c r="UVN2"/>
      <c r="UVO2"/>
      <c r="UVP2"/>
      <c r="UVQ2"/>
      <c r="UVR2"/>
      <c r="UVS2"/>
      <c r="UVT2"/>
      <c r="UVU2"/>
      <c r="UVV2"/>
      <c r="UVW2"/>
      <c r="UVX2"/>
      <c r="UVY2"/>
      <c r="UVZ2"/>
      <c r="UWA2"/>
      <c r="UWB2"/>
      <c r="UWC2"/>
      <c r="UWD2"/>
      <c r="UWE2"/>
      <c r="UWF2"/>
      <c r="UWG2"/>
      <c r="UWH2"/>
      <c r="UWI2"/>
      <c r="UWJ2"/>
      <c r="UWK2"/>
      <c r="UWL2"/>
      <c r="UWM2"/>
      <c r="UWN2"/>
      <c r="UWO2"/>
      <c r="UWP2"/>
      <c r="UWQ2"/>
      <c r="UWR2"/>
      <c r="UWS2"/>
      <c r="UWT2"/>
      <c r="UWU2"/>
      <c r="UWV2"/>
      <c r="UWW2"/>
      <c r="UWX2"/>
      <c r="UWY2"/>
      <c r="UWZ2"/>
      <c r="UXA2"/>
      <c r="UXB2"/>
      <c r="UXC2"/>
      <c r="UXD2"/>
      <c r="UXE2"/>
      <c r="UXF2"/>
      <c r="UXG2"/>
      <c r="UXH2"/>
      <c r="UXI2"/>
      <c r="UXJ2"/>
      <c r="UXK2"/>
      <c r="UXL2"/>
      <c r="UXM2"/>
      <c r="UXN2"/>
      <c r="UXO2"/>
      <c r="UXP2"/>
      <c r="UXQ2"/>
      <c r="UXR2"/>
      <c r="UXS2"/>
      <c r="UXT2"/>
      <c r="UXU2"/>
      <c r="UXV2"/>
      <c r="UXW2"/>
      <c r="UXX2"/>
      <c r="UXY2"/>
      <c r="UXZ2"/>
      <c r="UYA2"/>
      <c r="UYB2"/>
      <c r="UYC2"/>
      <c r="UYD2"/>
      <c r="UYE2"/>
      <c r="UYF2"/>
      <c r="UYG2"/>
      <c r="UYH2"/>
      <c r="UYI2"/>
      <c r="UYJ2"/>
      <c r="UYK2"/>
      <c r="UYL2"/>
      <c r="UYM2"/>
      <c r="UYN2"/>
      <c r="UYO2"/>
      <c r="UYP2"/>
      <c r="UYQ2"/>
      <c r="UYR2"/>
      <c r="UYS2"/>
      <c r="UYT2"/>
      <c r="UYU2"/>
      <c r="UYV2"/>
      <c r="UYW2"/>
      <c r="UYX2"/>
      <c r="UYY2"/>
      <c r="UYZ2"/>
      <c r="UZA2"/>
      <c r="UZB2"/>
      <c r="UZC2"/>
      <c r="UZD2"/>
      <c r="UZE2"/>
      <c r="UZF2"/>
      <c r="UZG2"/>
      <c r="UZH2"/>
      <c r="UZI2"/>
      <c r="UZJ2"/>
      <c r="UZK2"/>
      <c r="UZL2"/>
      <c r="UZM2"/>
      <c r="UZN2"/>
      <c r="UZO2"/>
      <c r="UZP2"/>
      <c r="UZQ2"/>
      <c r="UZR2"/>
      <c r="UZS2"/>
      <c r="UZT2"/>
      <c r="UZU2"/>
      <c r="UZV2"/>
      <c r="UZW2"/>
      <c r="UZX2"/>
      <c r="UZY2"/>
      <c r="UZZ2"/>
      <c r="VAA2"/>
      <c r="VAB2"/>
      <c r="VAC2"/>
      <c r="VAD2"/>
      <c r="VAE2"/>
      <c r="VAF2"/>
      <c r="VAG2"/>
      <c r="VAH2"/>
      <c r="VAI2"/>
      <c r="VAJ2"/>
      <c r="VAK2"/>
      <c r="VAL2"/>
      <c r="VAM2"/>
      <c r="VAN2"/>
      <c r="VAO2"/>
      <c r="VAP2"/>
      <c r="VAQ2"/>
      <c r="VAR2"/>
      <c r="VAS2"/>
      <c r="VAT2"/>
      <c r="VAU2"/>
      <c r="VAV2"/>
      <c r="VAW2"/>
      <c r="VAX2"/>
      <c r="VAY2"/>
      <c r="VAZ2"/>
      <c r="VBA2"/>
      <c r="VBB2"/>
      <c r="VBC2"/>
      <c r="VBD2"/>
      <c r="VBE2"/>
      <c r="VBF2"/>
      <c r="VBG2"/>
      <c r="VBH2"/>
      <c r="VBI2"/>
      <c r="VBJ2"/>
      <c r="VBK2"/>
      <c r="VBL2"/>
      <c r="VBM2"/>
      <c r="VBN2"/>
      <c r="VBO2"/>
      <c r="VBP2"/>
      <c r="VBQ2"/>
      <c r="VBR2"/>
      <c r="VBS2"/>
      <c r="VBT2"/>
      <c r="VBU2"/>
      <c r="VBV2"/>
      <c r="VBW2"/>
      <c r="VBX2"/>
      <c r="VBY2"/>
      <c r="VBZ2"/>
      <c r="VCA2"/>
      <c r="VCB2"/>
      <c r="VCC2"/>
      <c r="VCD2"/>
      <c r="VCE2"/>
      <c r="VCF2"/>
      <c r="VCG2"/>
      <c r="VCH2"/>
      <c r="VCI2"/>
      <c r="VCJ2"/>
      <c r="VCK2"/>
      <c r="VCL2"/>
      <c r="VCM2"/>
      <c r="VCN2"/>
      <c r="VCO2"/>
      <c r="VCP2"/>
      <c r="VCQ2"/>
      <c r="VCR2"/>
      <c r="VCS2"/>
      <c r="VCT2"/>
      <c r="VCU2"/>
      <c r="VCV2"/>
      <c r="VCW2"/>
      <c r="VCX2"/>
      <c r="VCY2"/>
      <c r="VCZ2"/>
      <c r="VDA2"/>
      <c r="VDB2"/>
      <c r="VDC2"/>
      <c r="VDD2"/>
      <c r="VDE2"/>
      <c r="VDF2"/>
      <c r="VDG2"/>
      <c r="VDH2"/>
      <c r="VDI2"/>
      <c r="VDJ2"/>
      <c r="VDK2"/>
      <c r="VDL2"/>
      <c r="VDM2"/>
      <c r="VDN2"/>
      <c r="VDO2"/>
      <c r="VDP2"/>
      <c r="VDQ2"/>
      <c r="VDR2"/>
      <c r="VDS2"/>
      <c r="VDT2"/>
      <c r="VDU2"/>
      <c r="VDV2"/>
      <c r="VDW2"/>
      <c r="VDX2"/>
      <c r="VDY2"/>
      <c r="VDZ2"/>
      <c r="VEA2"/>
      <c r="VEB2"/>
      <c r="VEC2"/>
      <c r="VED2"/>
      <c r="VEE2"/>
      <c r="VEF2"/>
      <c r="VEG2"/>
      <c r="VEH2"/>
      <c r="VEI2"/>
      <c r="VEJ2"/>
      <c r="VEK2"/>
      <c r="VEL2"/>
      <c r="VEM2"/>
      <c r="VEN2"/>
      <c r="VEO2"/>
      <c r="VEP2"/>
      <c r="VEQ2"/>
      <c r="VER2"/>
      <c r="VES2"/>
      <c r="VET2"/>
      <c r="VEU2"/>
      <c r="VEV2"/>
      <c r="VEW2"/>
      <c r="VEX2"/>
      <c r="VEY2"/>
      <c r="VEZ2"/>
      <c r="VFA2"/>
      <c r="VFB2"/>
      <c r="VFC2"/>
      <c r="VFD2"/>
      <c r="VFE2"/>
      <c r="VFF2"/>
      <c r="VFG2"/>
      <c r="VFH2"/>
      <c r="VFI2"/>
      <c r="VFJ2"/>
      <c r="VFK2"/>
      <c r="VFL2"/>
      <c r="VFM2"/>
      <c r="VFN2"/>
      <c r="VFO2"/>
      <c r="VFP2"/>
      <c r="VFQ2"/>
      <c r="VFR2"/>
      <c r="VFS2"/>
      <c r="VFT2"/>
      <c r="VFU2"/>
      <c r="VFV2"/>
      <c r="VFW2"/>
      <c r="VFX2"/>
      <c r="VFY2"/>
      <c r="VFZ2"/>
      <c r="VGA2"/>
      <c r="VGB2"/>
      <c r="VGC2"/>
      <c r="VGD2"/>
      <c r="VGE2"/>
      <c r="VGF2"/>
      <c r="VGG2"/>
      <c r="VGH2"/>
      <c r="VGI2"/>
      <c r="VGJ2"/>
      <c r="VGK2"/>
      <c r="VGL2"/>
      <c r="VGM2"/>
      <c r="VGN2"/>
      <c r="VGO2"/>
      <c r="VGP2"/>
      <c r="VGQ2"/>
      <c r="VGR2"/>
      <c r="VGS2"/>
      <c r="VGT2"/>
      <c r="VGU2"/>
      <c r="VGV2"/>
      <c r="VGW2"/>
      <c r="VGX2"/>
      <c r="VGY2"/>
      <c r="VGZ2"/>
      <c r="VHA2"/>
      <c r="VHB2"/>
      <c r="VHC2"/>
      <c r="VHD2"/>
      <c r="VHE2"/>
      <c r="VHF2"/>
      <c r="VHG2"/>
      <c r="VHH2"/>
      <c r="VHI2"/>
      <c r="VHJ2"/>
      <c r="VHK2"/>
      <c r="VHL2"/>
      <c r="VHM2"/>
      <c r="VHN2"/>
      <c r="VHO2"/>
      <c r="VHP2"/>
      <c r="VHQ2"/>
      <c r="VHR2"/>
      <c r="VHS2"/>
      <c r="VHT2"/>
      <c r="VHU2"/>
      <c r="VHV2"/>
      <c r="VHW2"/>
      <c r="VHX2"/>
      <c r="VHY2"/>
      <c r="VHZ2"/>
      <c r="VIA2"/>
      <c r="VIB2"/>
      <c r="VIC2"/>
      <c r="VID2"/>
      <c r="VIE2"/>
      <c r="VIF2"/>
      <c r="VIG2"/>
      <c r="VIH2"/>
      <c r="VII2"/>
      <c r="VIJ2"/>
      <c r="VIK2"/>
      <c r="VIL2"/>
      <c r="VIM2"/>
      <c r="VIN2"/>
      <c r="VIO2"/>
      <c r="VIP2"/>
      <c r="VIQ2"/>
      <c r="VIR2"/>
      <c r="VIS2"/>
      <c r="VIT2"/>
      <c r="VIU2"/>
      <c r="VIV2"/>
      <c r="VIW2"/>
      <c r="VIX2"/>
      <c r="VIY2"/>
      <c r="VIZ2"/>
      <c r="VJA2"/>
      <c r="VJB2"/>
      <c r="VJC2"/>
      <c r="VJD2"/>
      <c r="VJE2"/>
      <c r="VJF2"/>
      <c r="VJG2"/>
      <c r="VJH2"/>
      <c r="VJI2"/>
      <c r="VJJ2"/>
      <c r="VJK2"/>
      <c r="VJL2"/>
      <c r="VJM2"/>
      <c r="VJN2"/>
      <c r="VJO2"/>
      <c r="VJP2"/>
      <c r="VJQ2"/>
      <c r="VJR2"/>
      <c r="VJS2"/>
      <c r="VJT2"/>
      <c r="VJU2"/>
      <c r="VJV2"/>
      <c r="VJW2"/>
      <c r="VJX2"/>
      <c r="VJY2"/>
      <c r="VJZ2"/>
      <c r="VKA2"/>
      <c r="VKB2"/>
      <c r="VKC2"/>
      <c r="VKD2"/>
      <c r="VKE2"/>
      <c r="VKF2"/>
      <c r="VKG2"/>
      <c r="VKH2"/>
      <c r="VKI2"/>
      <c r="VKJ2"/>
      <c r="VKK2"/>
      <c r="VKL2"/>
      <c r="VKM2"/>
      <c r="VKN2"/>
      <c r="VKO2"/>
      <c r="VKP2"/>
      <c r="VKQ2"/>
      <c r="VKR2"/>
      <c r="VKS2"/>
      <c r="VKT2"/>
      <c r="VKU2"/>
      <c r="VKV2"/>
      <c r="VKW2"/>
      <c r="VKX2"/>
      <c r="VKY2"/>
      <c r="VKZ2"/>
      <c r="VLA2"/>
      <c r="VLB2"/>
      <c r="VLC2"/>
      <c r="VLD2"/>
      <c r="VLE2"/>
      <c r="VLF2"/>
      <c r="VLG2"/>
      <c r="VLH2"/>
      <c r="VLI2"/>
      <c r="VLJ2"/>
      <c r="VLK2"/>
      <c r="VLL2"/>
      <c r="VLM2"/>
      <c r="VLN2"/>
      <c r="VLO2"/>
      <c r="VLP2"/>
      <c r="VLQ2"/>
      <c r="VLR2"/>
      <c r="VLS2"/>
      <c r="VLT2"/>
      <c r="VLU2"/>
      <c r="VLV2"/>
      <c r="VLW2"/>
      <c r="VLX2"/>
      <c r="VLY2"/>
      <c r="VLZ2"/>
      <c r="VMA2"/>
      <c r="VMB2"/>
      <c r="VMC2"/>
      <c r="VMD2"/>
      <c r="VME2"/>
      <c r="VMF2"/>
      <c r="VMG2"/>
      <c r="VMH2"/>
      <c r="VMI2"/>
      <c r="VMJ2"/>
      <c r="VMK2"/>
      <c r="VML2"/>
      <c r="VMM2"/>
      <c r="VMN2"/>
      <c r="VMO2"/>
      <c r="VMP2"/>
      <c r="VMQ2"/>
      <c r="VMR2"/>
      <c r="VMS2"/>
      <c r="VMT2"/>
      <c r="VMU2"/>
      <c r="VMV2"/>
      <c r="VMW2"/>
      <c r="VMX2"/>
      <c r="VMY2"/>
      <c r="VMZ2"/>
      <c r="VNA2"/>
      <c r="VNB2"/>
      <c r="VNC2"/>
      <c r="VND2"/>
      <c r="VNE2"/>
      <c r="VNF2"/>
      <c r="VNG2"/>
      <c r="VNH2"/>
      <c r="VNI2"/>
      <c r="VNJ2"/>
      <c r="VNK2"/>
      <c r="VNL2"/>
      <c r="VNM2"/>
      <c r="VNN2"/>
      <c r="VNO2"/>
      <c r="VNP2"/>
      <c r="VNQ2"/>
      <c r="VNR2"/>
      <c r="VNS2"/>
      <c r="VNT2"/>
      <c r="VNU2"/>
      <c r="VNV2"/>
      <c r="VNW2"/>
      <c r="VNX2"/>
      <c r="VNY2"/>
      <c r="VNZ2"/>
      <c r="VOA2"/>
      <c r="VOB2"/>
      <c r="VOC2"/>
      <c r="VOD2"/>
      <c r="VOE2"/>
      <c r="VOF2"/>
      <c r="VOG2"/>
      <c r="VOH2"/>
      <c r="VOI2"/>
      <c r="VOJ2"/>
      <c r="VOK2"/>
      <c r="VOL2"/>
      <c r="VOM2"/>
      <c r="VON2"/>
      <c r="VOO2"/>
      <c r="VOP2"/>
      <c r="VOQ2"/>
      <c r="VOR2"/>
      <c r="VOS2"/>
      <c r="VOT2"/>
      <c r="VOU2"/>
      <c r="VOV2"/>
      <c r="VOW2"/>
      <c r="VOX2"/>
      <c r="VOY2"/>
      <c r="VOZ2"/>
      <c r="VPA2"/>
      <c r="VPB2"/>
      <c r="VPC2"/>
      <c r="VPD2"/>
      <c r="VPE2"/>
      <c r="VPF2"/>
      <c r="VPG2"/>
      <c r="VPH2"/>
      <c r="VPI2"/>
      <c r="VPJ2"/>
      <c r="VPK2"/>
      <c r="VPL2"/>
      <c r="VPM2"/>
      <c r="VPN2"/>
      <c r="VPO2"/>
      <c r="VPP2"/>
      <c r="VPQ2"/>
      <c r="VPR2"/>
      <c r="VPS2"/>
      <c r="VPT2"/>
      <c r="VPU2"/>
      <c r="VPV2"/>
      <c r="VPW2"/>
      <c r="VPX2"/>
      <c r="VPY2"/>
      <c r="VPZ2"/>
      <c r="VQA2"/>
      <c r="VQB2"/>
      <c r="VQC2"/>
      <c r="VQD2"/>
      <c r="VQE2"/>
      <c r="VQF2"/>
      <c r="VQG2"/>
      <c r="VQH2"/>
      <c r="VQI2"/>
      <c r="VQJ2"/>
      <c r="VQK2"/>
      <c r="VQL2"/>
      <c r="VQM2"/>
      <c r="VQN2"/>
      <c r="VQO2"/>
      <c r="VQP2"/>
      <c r="VQQ2"/>
      <c r="VQR2"/>
      <c r="VQS2"/>
      <c r="VQT2"/>
      <c r="VQU2"/>
      <c r="VQV2"/>
      <c r="VQW2"/>
      <c r="VQX2"/>
      <c r="VQY2"/>
      <c r="VQZ2"/>
      <c r="VRA2"/>
      <c r="VRB2"/>
      <c r="VRC2"/>
      <c r="VRD2"/>
      <c r="VRE2"/>
      <c r="VRF2"/>
      <c r="VRG2"/>
      <c r="VRH2"/>
      <c r="VRI2"/>
      <c r="VRJ2"/>
      <c r="VRK2"/>
      <c r="VRL2"/>
      <c r="VRM2"/>
      <c r="VRN2"/>
      <c r="VRO2"/>
      <c r="VRP2"/>
      <c r="VRQ2"/>
      <c r="VRR2"/>
      <c r="VRS2"/>
      <c r="VRT2"/>
      <c r="VRU2"/>
      <c r="VRV2"/>
      <c r="VRW2"/>
      <c r="VRX2"/>
      <c r="VRY2"/>
      <c r="VRZ2"/>
      <c r="VSA2"/>
      <c r="VSB2"/>
      <c r="VSC2"/>
      <c r="VSD2"/>
      <c r="VSE2"/>
      <c r="VSF2"/>
      <c r="VSG2"/>
      <c r="VSH2"/>
      <c r="VSI2"/>
      <c r="VSJ2"/>
      <c r="VSK2"/>
      <c r="VSL2"/>
      <c r="VSM2"/>
      <c r="VSN2"/>
      <c r="VSO2"/>
      <c r="VSP2"/>
      <c r="VSQ2"/>
      <c r="VSR2"/>
      <c r="VSS2"/>
      <c r="VST2"/>
      <c r="VSU2"/>
      <c r="VSV2"/>
      <c r="VSW2"/>
      <c r="VSX2"/>
      <c r="VSY2"/>
      <c r="VSZ2"/>
      <c r="VTA2"/>
      <c r="VTB2"/>
      <c r="VTC2"/>
      <c r="VTD2"/>
      <c r="VTE2"/>
      <c r="VTF2"/>
      <c r="VTG2"/>
      <c r="VTH2"/>
      <c r="VTI2"/>
      <c r="VTJ2"/>
      <c r="VTK2"/>
      <c r="VTL2"/>
      <c r="VTM2"/>
      <c r="VTN2"/>
      <c r="VTO2"/>
      <c r="VTP2"/>
      <c r="VTQ2"/>
      <c r="VTR2"/>
      <c r="VTS2"/>
      <c r="VTT2"/>
      <c r="VTU2"/>
      <c r="VTV2"/>
      <c r="VTW2"/>
      <c r="VTX2"/>
      <c r="VTY2"/>
      <c r="VTZ2"/>
      <c r="VUA2"/>
      <c r="VUB2"/>
      <c r="VUC2"/>
      <c r="VUD2"/>
      <c r="VUE2"/>
      <c r="VUF2"/>
      <c r="VUG2"/>
      <c r="VUH2"/>
      <c r="VUI2"/>
      <c r="VUJ2"/>
      <c r="VUK2"/>
      <c r="VUL2"/>
      <c r="VUM2"/>
      <c r="VUN2"/>
      <c r="VUO2"/>
      <c r="VUP2"/>
      <c r="VUQ2"/>
      <c r="VUR2"/>
      <c r="VUS2"/>
      <c r="VUT2"/>
      <c r="VUU2"/>
      <c r="VUV2"/>
      <c r="VUW2"/>
      <c r="VUX2"/>
      <c r="VUY2"/>
      <c r="VUZ2"/>
      <c r="VVA2"/>
      <c r="VVB2"/>
      <c r="VVC2"/>
      <c r="VVD2"/>
      <c r="VVE2"/>
      <c r="VVF2"/>
      <c r="VVG2"/>
      <c r="VVH2"/>
      <c r="VVI2"/>
      <c r="VVJ2"/>
      <c r="VVK2"/>
      <c r="VVL2"/>
      <c r="VVM2"/>
      <c r="VVN2"/>
      <c r="VVO2"/>
      <c r="VVP2"/>
      <c r="VVQ2"/>
      <c r="VVR2"/>
      <c r="VVS2"/>
      <c r="VVT2"/>
      <c r="VVU2"/>
      <c r="VVV2"/>
      <c r="VVW2"/>
      <c r="VVX2"/>
      <c r="VVY2"/>
      <c r="VVZ2"/>
      <c r="VWA2"/>
      <c r="VWB2"/>
      <c r="VWC2"/>
      <c r="VWD2"/>
      <c r="VWE2"/>
      <c r="VWF2"/>
      <c r="VWG2"/>
      <c r="VWH2"/>
      <c r="VWI2"/>
      <c r="VWJ2"/>
      <c r="VWK2"/>
      <c r="VWL2"/>
      <c r="VWM2"/>
      <c r="VWN2"/>
      <c r="VWO2"/>
      <c r="VWP2"/>
      <c r="VWQ2"/>
      <c r="VWR2"/>
      <c r="VWS2"/>
      <c r="VWT2"/>
      <c r="VWU2"/>
      <c r="VWV2"/>
      <c r="VWW2"/>
      <c r="VWX2"/>
      <c r="VWY2"/>
      <c r="VWZ2"/>
      <c r="VXA2"/>
      <c r="VXB2"/>
      <c r="VXC2"/>
      <c r="VXD2"/>
      <c r="VXE2"/>
      <c r="VXF2"/>
      <c r="VXG2"/>
      <c r="VXH2"/>
      <c r="VXI2"/>
      <c r="VXJ2"/>
      <c r="VXK2"/>
      <c r="VXL2"/>
      <c r="VXM2"/>
      <c r="VXN2"/>
      <c r="VXO2"/>
      <c r="VXP2"/>
      <c r="VXQ2"/>
      <c r="VXR2"/>
      <c r="VXS2"/>
      <c r="VXT2"/>
      <c r="VXU2"/>
      <c r="VXV2"/>
      <c r="VXW2"/>
      <c r="VXX2"/>
      <c r="VXY2"/>
      <c r="VXZ2"/>
      <c r="VYA2"/>
      <c r="VYB2"/>
      <c r="VYC2"/>
      <c r="VYD2"/>
      <c r="VYE2"/>
      <c r="VYF2"/>
      <c r="VYG2"/>
      <c r="VYH2"/>
      <c r="VYI2"/>
      <c r="VYJ2"/>
      <c r="VYK2"/>
      <c r="VYL2"/>
      <c r="VYM2"/>
      <c r="VYN2"/>
      <c r="VYO2"/>
      <c r="VYP2"/>
      <c r="VYQ2"/>
      <c r="VYR2"/>
      <c r="VYS2"/>
      <c r="VYT2"/>
      <c r="VYU2"/>
      <c r="VYV2"/>
      <c r="VYW2"/>
      <c r="VYX2"/>
      <c r="VYY2"/>
      <c r="VYZ2"/>
      <c r="VZA2"/>
      <c r="VZB2"/>
      <c r="VZC2"/>
      <c r="VZD2"/>
      <c r="VZE2"/>
      <c r="VZF2"/>
      <c r="VZG2"/>
      <c r="VZH2"/>
      <c r="VZI2"/>
      <c r="VZJ2"/>
      <c r="VZK2"/>
      <c r="VZL2"/>
      <c r="VZM2"/>
      <c r="VZN2"/>
      <c r="VZO2"/>
      <c r="VZP2"/>
      <c r="VZQ2"/>
      <c r="VZR2"/>
      <c r="VZS2"/>
      <c r="VZT2"/>
      <c r="VZU2"/>
      <c r="VZV2"/>
      <c r="VZW2"/>
      <c r="VZX2"/>
      <c r="VZY2"/>
      <c r="VZZ2"/>
      <c r="WAA2"/>
      <c r="WAB2"/>
      <c r="WAC2"/>
      <c r="WAD2"/>
      <c r="WAE2"/>
      <c r="WAF2"/>
      <c r="WAG2"/>
      <c r="WAH2"/>
      <c r="WAI2"/>
      <c r="WAJ2"/>
      <c r="WAK2"/>
      <c r="WAL2"/>
      <c r="WAM2"/>
      <c r="WAN2"/>
      <c r="WAO2"/>
      <c r="WAP2"/>
      <c r="WAQ2"/>
      <c r="WAR2"/>
      <c r="WAS2"/>
      <c r="WAT2"/>
      <c r="WAU2"/>
      <c r="WAV2"/>
      <c r="WAW2"/>
      <c r="WAX2"/>
      <c r="WAY2"/>
      <c r="WAZ2"/>
      <c r="WBA2"/>
      <c r="WBB2"/>
      <c r="WBC2"/>
      <c r="WBD2"/>
      <c r="WBE2"/>
      <c r="WBF2"/>
      <c r="WBG2"/>
      <c r="WBH2"/>
      <c r="WBI2"/>
      <c r="WBJ2"/>
      <c r="WBK2"/>
      <c r="WBL2"/>
      <c r="WBM2"/>
      <c r="WBN2"/>
      <c r="WBO2"/>
      <c r="WBP2"/>
      <c r="WBQ2"/>
      <c r="WBR2"/>
      <c r="WBS2"/>
      <c r="WBT2"/>
      <c r="WBU2"/>
      <c r="WBV2"/>
      <c r="WBW2"/>
      <c r="WBX2"/>
      <c r="WBY2"/>
      <c r="WBZ2"/>
      <c r="WCA2"/>
      <c r="WCB2"/>
      <c r="WCC2"/>
      <c r="WCD2"/>
      <c r="WCE2"/>
      <c r="WCF2"/>
      <c r="WCG2"/>
      <c r="WCH2"/>
      <c r="WCI2"/>
      <c r="WCJ2"/>
      <c r="WCK2"/>
      <c r="WCL2"/>
      <c r="WCM2"/>
      <c r="WCN2"/>
      <c r="WCO2"/>
      <c r="WCP2"/>
      <c r="WCQ2"/>
      <c r="WCR2"/>
      <c r="WCS2"/>
      <c r="WCT2"/>
      <c r="WCU2"/>
      <c r="WCV2"/>
      <c r="WCW2"/>
      <c r="WCX2"/>
      <c r="WCY2"/>
      <c r="WCZ2"/>
      <c r="WDA2"/>
      <c r="WDB2"/>
      <c r="WDC2"/>
      <c r="WDD2"/>
      <c r="WDE2"/>
      <c r="WDF2"/>
      <c r="WDG2"/>
      <c r="WDH2"/>
      <c r="WDI2"/>
      <c r="WDJ2"/>
      <c r="WDK2"/>
      <c r="WDL2"/>
      <c r="WDM2"/>
      <c r="WDN2"/>
      <c r="WDO2"/>
      <c r="WDP2"/>
      <c r="WDQ2"/>
      <c r="WDR2"/>
      <c r="WDS2"/>
      <c r="WDT2"/>
      <c r="WDU2"/>
      <c r="WDV2"/>
      <c r="WDW2"/>
      <c r="WDX2"/>
      <c r="WDY2"/>
      <c r="WDZ2"/>
      <c r="WEA2"/>
      <c r="WEB2"/>
      <c r="WEC2"/>
      <c r="WED2"/>
      <c r="WEE2"/>
      <c r="WEF2"/>
      <c r="WEG2"/>
      <c r="WEH2"/>
      <c r="WEI2"/>
      <c r="WEJ2"/>
      <c r="WEK2"/>
      <c r="WEL2"/>
      <c r="WEM2"/>
      <c r="WEN2"/>
      <c r="WEO2"/>
      <c r="WEP2"/>
      <c r="WEQ2"/>
      <c r="WER2"/>
      <c r="WES2"/>
      <c r="WET2"/>
      <c r="WEU2"/>
      <c r="WEV2"/>
      <c r="WEW2"/>
      <c r="WEX2"/>
      <c r="WEY2"/>
      <c r="WEZ2"/>
      <c r="WFA2"/>
      <c r="WFB2"/>
      <c r="WFC2"/>
      <c r="WFD2"/>
      <c r="WFE2"/>
      <c r="WFF2"/>
      <c r="WFG2"/>
      <c r="WFH2"/>
      <c r="WFI2"/>
      <c r="WFJ2"/>
      <c r="WFK2"/>
      <c r="WFL2"/>
      <c r="WFM2"/>
      <c r="WFN2"/>
      <c r="WFO2"/>
      <c r="WFP2"/>
      <c r="WFQ2"/>
      <c r="WFR2"/>
      <c r="WFS2"/>
      <c r="WFT2"/>
      <c r="WFU2"/>
      <c r="WFV2"/>
      <c r="WFW2"/>
      <c r="WFX2"/>
      <c r="WFY2"/>
      <c r="WFZ2"/>
      <c r="WGA2"/>
      <c r="WGB2"/>
      <c r="WGC2"/>
      <c r="WGD2"/>
      <c r="WGE2"/>
      <c r="WGF2"/>
      <c r="WGG2"/>
      <c r="WGH2"/>
      <c r="WGI2"/>
      <c r="WGJ2"/>
      <c r="WGK2"/>
      <c r="WGL2"/>
      <c r="WGM2"/>
      <c r="WGN2"/>
      <c r="WGO2"/>
      <c r="WGP2"/>
      <c r="WGQ2"/>
      <c r="WGR2"/>
      <c r="WGS2"/>
      <c r="WGT2"/>
      <c r="WGU2"/>
      <c r="WGV2"/>
      <c r="WGW2"/>
      <c r="WGX2"/>
      <c r="WGY2"/>
      <c r="WGZ2"/>
      <c r="WHA2"/>
      <c r="WHB2"/>
      <c r="WHC2"/>
      <c r="WHD2"/>
      <c r="WHE2"/>
      <c r="WHF2"/>
      <c r="WHG2"/>
      <c r="WHH2"/>
      <c r="WHI2"/>
      <c r="WHJ2"/>
      <c r="WHK2"/>
      <c r="WHL2"/>
      <c r="WHM2"/>
      <c r="WHN2"/>
      <c r="WHO2"/>
      <c r="WHP2"/>
      <c r="WHQ2"/>
      <c r="WHR2"/>
      <c r="WHS2"/>
      <c r="WHT2"/>
      <c r="WHU2"/>
      <c r="WHV2"/>
      <c r="WHW2"/>
      <c r="WHX2"/>
      <c r="WHY2"/>
      <c r="WHZ2"/>
      <c r="WIA2"/>
      <c r="WIB2"/>
      <c r="WIC2"/>
      <c r="WID2"/>
      <c r="WIE2"/>
      <c r="WIF2"/>
      <c r="WIG2"/>
      <c r="WIH2"/>
      <c r="WII2"/>
      <c r="WIJ2"/>
      <c r="WIK2"/>
      <c r="WIL2"/>
      <c r="WIM2"/>
      <c r="WIN2"/>
      <c r="WIO2"/>
      <c r="WIP2"/>
      <c r="WIQ2"/>
      <c r="WIR2"/>
      <c r="WIS2"/>
      <c r="WIT2"/>
      <c r="WIU2"/>
      <c r="WIV2"/>
      <c r="WIW2"/>
      <c r="WIX2"/>
      <c r="WIY2"/>
      <c r="WIZ2"/>
      <c r="WJA2"/>
      <c r="WJB2"/>
      <c r="WJC2"/>
      <c r="WJD2"/>
      <c r="WJE2"/>
      <c r="WJF2"/>
      <c r="WJG2"/>
      <c r="WJH2"/>
      <c r="WJI2"/>
      <c r="WJJ2"/>
      <c r="WJK2"/>
      <c r="WJL2"/>
      <c r="WJM2"/>
      <c r="WJN2"/>
      <c r="WJO2"/>
      <c r="WJP2"/>
      <c r="WJQ2"/>
      <c r="WJR2"/>
      <c r="WJS2"/>
      <c r="WJT2"/>
      <c r="WJU2"/>
      <c r="WJV2"/>
      <c r="WJW2"/>
      <c r="WJX2"/>
      <c r="WJY2"/>
      <c r="WJZ2"/>
      <c r="WKA2"/>
      <c r="WKB2"/>
      <c r="WKC2"/>
      <c r="WKD2"/>
      <c r="WKE2"/>
      <c r="WKF2"/>
      <c r="WKG2"/>
      <c r="WKH2"/>
      <c r="WKI2"/>
      <c r="WKJ2"/>
      <c r="WKK2"/>
      <c r="WKL2"/>
      <c r="WKM2"/>
      <c r="WKN2"/>
      <c r="WKO2"/>
      <c r="WKP2"/>
      <c r="WKQ2"/>
      <c r="WKR2"/>
      <c r="WKS2"/>
      <c r="WKT2"/>
      <c r="WKU2"/>
      <c r="WKV2"/>
      <c r="WKW2"/>
      <c r="WKX2"/>
      <c r="WKY2"/>
      <c r="WKZ2"/>
      <c r="WLA2"/>
      <c r="WLB2"/>
      <c r="WLC2"/>
      <c r="WLD2"/>
      <c r="WLE2"/>
      <c r="WLF2"/>
      <c r="WLG2"/>
      <c r="WLH2"/>
      <c r="WLI2"/>
      <c r="WLJ2"/>
      <c r="WLK2"/>
      <c r="WLL2"/>
      <c r="WLM2"/>
      <c r="WLN2"/>
      <c r="WLO2"/>
      <c r="WLP2"/>
      <c r="WLQ2"/>
      <c r="WLR2"/>
      <c r="WLS2"/>
      <c r="WLT2"/>
      <c r="WLU2"/>
      <c r="WLV2"/>
      <c r="WLW2"/>
      <c r="WLX2"/>
      <c r="WLY2"/>
      <c r="WLZ2"/>
      <c r="WMA2"/>
      <c r="WMB2"/>
      <c r="WMC2"/>
      <c r="WMD2"/>
      <c r="WME2"/>
      <c r="WMF2"/>
      <c r="WMG2"/>
      <c r="WMH2"/>
      <c r="WMI2"/>
      <c r="WMJ2"/>
      <c r="WMK2"/>
      <c r="WML2"/>
      <c r="WMM2"/>
      <c r="WMN2"/>
      <c r="WMO2"/>
      <c r="WMP2"/>
      <c r="WMQ2"/>
      <c r="WMR2"/>
      <c r="WMS2"/>
      <c r="WMT2"/>
      <c r="WMU2"/>
      <c r="WMV2"/>
      <c r="WMW2"/>
      <c r="WMX2"/>
      <c r="WMY2"/>
      <c r="WMZ2"/>
      <c r="WNA2"/>
      <c r="WNB2"/>
      <c r="WNC2"/>
      <c r="WND2"/>
      <c r="WNE2"/>
      <c r="WNF2"/>
      <c r="WNG2"/>
      <c r="WNH2"/>
      <c r="WNI2"/>
      <c r="WNJ2"/>
      <c r="WNK2"/>
      <c r="WNL2"/>
      <c r="WNM2"/>
      <c r="WNN2"/>
      <c r="WNO2"/>
      <c r="WNP2"/>
      <c r="WNQ2"/>
      <c r="WNR2"/>
      <c r="WNS2"/>
      <c r="WNT2"/>
      <c r="WNU2"/>
      <c r="WNV2"/>
      <c r="WNW2"/>
      <c r="WNX2"/>
      <c r="WNY2"/>
      <c r="WNZ2"/>
      <c r="WOA2"/>
      <c r="WOB2"/>
      <c r="WOC2"/>
      <c r="WOD2"/>
      <c r="WOE2"/>
      <c r="WOF2"/>
      <c r="WOG2"/>
      <c r="WOH2"/>
      <c r="WOI2"/>
      <c r="WOJ2"/>
      <c r="WOK2"/>
      <c r="WOL2"/>
      <c r="WOM2"/>
      <c r="WON2"/>
      <c r="WOO2"/>
      <c r="WOP2"/>
      <c r="WOQ2"/>
      <c r="WOR2"/>
      <c r="WOS2"/>
      <c r="WOT2"/>
      <c r="WOU2"/>
      <c r="WOV2"/>
      <c r="WOW2"/>
      <c r="WOX2"/>
      <c r="WOY2"/>
      <c r="WOZ2"/>
      <c r="WPA2"/>
      <c r="WPB2"/>
      <c r="WPC2"/>
      <c r="WPD2"/>
      <c r="WPE2"/>
      <c r="WPF2"/>
      <c r="WPG2"/>
      <c r="WPH2"/>
      <c r="WPI2"/>
      <c r="WPJ2"/>
      <c r="WPK2"/>
      <c r="WPL2"/>
      <c r="WPM2"/>
      <c r="WPN2"/>
      <c r="WPO2"/>
      <c r="WPP2"/>
      <c r="WPQ2"/>
      <c r="WPR2"/>
      <c r="WPS2"/>
      <c r="WPT2"/>
      <c r="WPU2"/>
      <c r="WPV2"/>
      <c r="WPW2"/>
      <c r="WPX2"/>
      <c r="WPY2"/>
      <c r="WPZ2"/>
      <c r="WQA2"/>
      <c r="WQB2"/>
      <c r="WQC2"/>
      <c r="WQD2"/>
      <c r="WQE2"/>
      <c r="WQF2"/>
      <c r="WQG2"/>
      <c r="WQH2"/>
      <c r="WQI2"/>
      <c r="WQJ2"/>
      <c r="WQK2"/>
      <c r="WQL2"/>
      <c r="WQM2"/>
      <c r="WQN2"/>
      <c r="WQO2"/>
      <c r="WQP2"/>
      <c r="WQQ2"/>
      <c r="WQR2"/>
      <c r="WQS2"/>
      <c r="WQT2"/>
      <c r="WQU2"/>
      <c r="WQV2"/>
      <c r="WQW2"/>
      <c r="WQX2"/>
      <c r="WQY2"/>
      <c r="WQZ2"/>
      <c r="WRA2"/>
      <c r="WRB2"/>
      <c r="WRC2"/>
      <c r="WRD2"/>
      <c r="WRE2"/>
      <c r="WRF2"/>
      <c r="WRG2"/>
      <c r="WRH2"/>
      <c r="WRI2"/>
      <c r="WRJ2"/>
      <c r="WRK2"/>
      <c r="WRL2"/>
      <c r="WRM2"/>
      <c r="WRN2"/>
      <c r="WRO2"/>
      <c r="WRP2"/>
      <c r="WRQ2"/>
      <c r="WRR2"/>
      <c r="WRS2"/>
      <c r="WRT2"/>
      <c r="WRU2"/>
      <c r="WRV2"/>
      <c r="WRW2"/>
      <c r="WRX2"/>
      <c r="WRY2"/>
      <c r="WRZ2"/>
      <c r="WSA2"/>
      <c r="WSB2"/>
      <c r="WSC2"/>
      <c r="WSD2"/>
      <c r="WSE2"/>
      <c r="WSF2"/>
      <c r="WSG2"/>
      <c r="WSH2"/>
      <c r="WSI2"/>
      <c r="WSJ2"/>
      <c r="WSK2"/>
      <c r="WSL2"/>
      <c r="WSM2"/>
      <c r="WSN2"/>
      <c r="WSO2"/>
      <c r="WSP2"/>
      <c r="WSQ2"/>
      <c r="WSR2"/>
      <c r="WSS2"/>
      <c r="WST2"/>
      <c r="WSU2"/>
      <c r="WSV2"/>
      <c r="WSW2"/>
      <c r="WSX2"/>
      <c r="WSY2"/>
      <c r="WSZ2"/>
      <c r="WTA2"/>
      <c r="WTB2"/>
      <c r="WTC2"/>
      <c r="WTD2"/>
      <c r="WTE2"/>
      <c r="WTF2"/>
      <c r="WTG2"/>
      <c r="WTH2"/>
      <c r="WTI2"/>
      <c r="WTJ2"/>
      <c r="WTK2"/>
      <c r="WTL2"/>
      <c r="WTM2"/>
      <c r="WTN2"/>
      <c r="WTO2"/>
      <c r="WTP2"/>
      <c r="WTQ2"/>
      <c r="WTR2"/>
      <c r="WTS2"/>
      <c r="WTT2"/>
      <c r="WTU2"/>
      <c r="WTV2"/>
      <c r="WTW2"/>
      <c r="WTX2"/>
      <c r="WTY2"/>
      <c r="WTZ2"/>
      <c r="WUA2"/>
      <c r="WUB2"/>
      <c r="WUC2"/>
      <c r="WUD2"/>
      <c r="WUE2"/>
      <c r="WUF2"/>
      <c r="WUG2"/>
      <c r="WUH2"/>
      <c r="WUI2"/>
      <c r="WUJ2"/>
      <c r="WUK2"/>
      <c r="WUL2"/>
      <c r="WUM2"/>
      <c r="WUN2"/>
      <c r="WUO2"/>
      <c r="WUP2"/>
      <c r="WUQ2"/>
      <c r="WUR2"/>
      <c r="WUS2"/>
      <c r="WUT2"/>
      <c r="WUU2"/>
      <c r="WUV2"/>
      <c r="WUW2"/>
      <c r="WUX2"/>
      <c r="WUY2"/>
      <c r="WUZ2"/>
      <c r="WVA2"/>
      <c r="WVB2"/>
      <c r="WVC2"/>
      <c r="WVD2"/>
      <c r="WVE2"/>
      <c r="WVF2"/>
      <c r="WVG2"/>
      <c r="WVH2"/>
      <c r="WVI2"/>
      <c r="WVJ2"/>
      <c r="WVK2"/>
      <c r="WVL2"/>
      <c r="WVM2"/>
      <c r="WVN2"/>
      <c r="WVO2"/>
      <c r="WVP2"/>
      <c r="WVQ2"/>
      <c r="WVR2"/>
      <c r="WVS2"/>
      <c r="WVT2"/>
      <c r="WVU2"/>
      <c r="WVV2"/>
      <c r="WVW2"/>
      <c r="WVX2"/>
      <c r="WVY2"/>
      <c r="WVZ2"/>
      <c r="WWA2"/>
      <c r="WWB2"/>
      <c r="WWC2"/>
      <c r="WWD2"/>
      <c r="WWE2"/>
      <c r="WWF2"/>
      <c r="WWG2"/>
      <c r="WWH2"/>
      <c r="WWI2"/>
      <c r="WWJ2"/>
      <c r="WWK2"/>
      <c r="WWL2"/>
      <c r="WWM2"/>
      <c r="WWN2"/>
      <c r="WWO2"/>
      <c r="WWP2"/>
      <c r="WWQ2"/>
      <c r="WWR2"/>
      <c r="WWS2"/>
      <c r="WWT2"/>
      <c r="WWU2"/>
      <c r="WWV2"/>
      <c r="WWW2"/>
      <c r="WWX2"/>
      <c r="WWY2"/>
      <c r="WWZ2"/>
      <c r="WXA2"/>
      <c r="WXB2"/>
      <c r="WXC2"/>
      <c r="WXD2"/>
      <c r="WXE2"/>
      <c r="WXF2"/>
      <c r="WXG2"/>
      <c r="WXH2"/>
      <c r="WXI2"/>
      <c r="WXJ2"/>
      <c r="WXK2"/>
      <c r="WXL2"/>
      <c r="WXM2"/>
      <c r="WXN2"/>
      <c r="WXO2"/>
      <c r="WXP2"/>
      <c r="WXQ2"/>
      <c r="WXR2"/>
      <c r="WXS2"/>
      <c r="WXT2"/>
      <c r="WXU2"/>
      <c r="WXV2"/>
      <c r="WXW2"/>
      <c r="WXX2"/>
      <c r="WXY2"/>
      <c r="WXZ2"/>
      <c r="WYA2"/>
      <c r="WYB2"/>
      <c r="WYC2"/>
      <c r="WYD2"/>
      <c r="WYE2"/>
      <c r="WYF2"/>
      <c r="WYG2"/>
      <c r="WYH2"/>
      <c r="WYI2"/>
      <c r="WYJ2"/>
      <c r="WYK2"/>
      <c r="WYL2"/>
      <c r="WYM2"/>
      <c r="WYN2"/>
      <c r="WYO2"/>
      <c r="WYP2"/>
      <c r="WYQ2"/>
      <c r="WYR2"/>
      <c r="WYS2"/>
      <c r="WYT2"/>
      <c r="WYU2"/>
      <c r="WYV2"/>
      <c r="WYW2"/>
      <c r="WYX2"/>
      <c r="WYY2"/>
      <c r="WYZ2"/>
      <c r="WZA2"/>
      <c r="WZB2"/>
      <c r="WZC2"/>
      <c r="WZD2"/>
      <c r="WZE2"/>
      <c r="WZF2"/>
      <c r="WZG2"/>
      <c r="WZH2"/>
      <c r="WZI2"/>
      <c r="WZJ2"/>
      <c r="WZK2"/>
      <c r="WZL2"/>
      <c r="WZM2"/>
      <c r="WZN2"/>
      <c r="WZO2"/>
      <c r="WZP2"/>
      <c r="WZQ2"/>
      <c r="WZR2"/>
      <c r="WZS2"/>
      <c r="WZT2"/>
      <c r="WZU2"/>
      <c r="WZV2"/>
      <c r="WZW2"/>
      <c r="WZX2"/>
      <c r="WZY2"/>
      <c r="WZZ2"/>
      <c r="XAA2"/>
      <c r="XAB2"/>
      <c r="XAC2"/>
      <c r="XAD2"/>
      <c r="XAE2"/>
      <c r="XAF2"/>
      <c r="XAG2"/>
      <c r="XAH2"/>
      <c r="XAI2"/>
      <c r="XAJ2"/>
      <c r="XAK2"/>
      <c r="XAL2"/>
      <c r="XAM2"/>
      <c r="XAN2"/>
      <c r="XAO2"/>
      <c r="XAP2"/>
      <c r="XAQ2"/>
      <c r="XAR2"/>
      <c r="XAS2"/>
      <c r="XAT2"/>
      <c r="XAU2"/>
      <c r="XAV2"/>
      <c r="XAW2"/>
      <c r="XAX2"/>
      <c r="XAY2"/>
      <c r="XAZ2"/>
      <c r="XBA2"/>
      <c r="XBB2"/>
      <c r="XBC2"/>
      <c r="XBD2"/>
      <c r="XBE2"/>
      <c r="XBF2"/>
      <c r="XBG2"/>
      <c r="XBH2"/>
      <c r="XBI2"/>
      <c r="XBJ2"/>
      <c r="XBK2"/>
      <c r="XBL2"/>
      <c r="XBM2"/>
      <c r="XBN2"/>
      <c r="XBO2"/>
      <c r="XBP2"/>
      <c r="XBQ2"/>
      <c r="XBR2"/>
      <c r="XBS2"/>
      <c r="XBT2"/>
      <c r="XBU2"/>
      <c r="XBV2"/>
      <c r="XBW2"/>
      <c r="XBX2"/>
      <c r="XBY2"/>
      <c r="XBZ2"/>
      <c r="XCA2"/>
      <c r="XCB2"/>
      <c r="XCC2"/>
      <c r="XCD2"/>
      <c r="XCE2"/>
      <c r="XCF2"/>
      <c r="XCG2"/>
      <c r="XCH2"/>
      <c r="XCI2"/>
      <c r="XCJ2"/>
      <c r="XCK2"/>
      <c r="XCL2"/>
      <c r="XCM2"/>
      <c r="XCN2"/>
      <c r="XCO2"/>
      <c r="XCP2"/>
      <c r="XCQ2"/>
      <c r="XCR2"/>
      <c r="XCS2"/>
      <c r="XCT2"/>
      <c r="XCU2"/>
      <c r="XCV2"/>
      <c r="XCW2"/>
      <c r="XCX2"/>
      <c r="XCY2"/>
      <c r="XCZ2"/>
      <c r="XDA2"/>
      <c r="XDB2"/>
      <c r="XDC2"/>
      <c r="XDD2"/>
      <c r="XDE2"/>
      <c r="XDF2"/>
      <c r="XDG2"/>
      <c r="XDH2"/>
      <c r="XDI2"/>
      <c r="XDJ2"/>
      <c r="XDK2"/>
      <c r="XDL2"/>
      <c r="XDM2"/>
      <c r="XDN2"/>
      <c r="XDO2"/>
      <c r="XDP2"/>
      <c r="XDQ2"/>
      <c r="XDR2"/>
      <c r="XDS2"/>
      <c r="XDT2"/>
      <c r="XDU2"/>
      <c r="XDV2"/>
      <c r="XDW2"/>
      <c r="XDX2"/>
      <c r="XDY2"/>
      <c r="XDZ2"/>
      <c r="XEA2"/>
      <c r="XEB2"/>
      <c r="XEC2"/>
      <c r="XED2"/>
      <c r="XEE2"/>
      <c r="XEF2"/>
      <c r="XEG2"/>
      <c r="XEH2"/>
      <c r="XEI2"/>
      <c r="XEJ2"/>
      <c r="XEK2"/>
      <c r="XEL2"/>
      <c r="XEM2"/>
      <c r="XEN2"/>
      <c r="XEO2"/>
      <c r="XEP2"/>
      <c r="XEQ2"/>
      <c r="XER2"/>
      <c r="XES2"/>
      <c r="XET2"/>
      <c r="XEU2"/>
      <c r="XEV2"/>
      <c r="XEW2"/>
      <c r="XEX2"/>
      <c r="XEY2"/>
      <c r="XEZ2"/>
      <c r="XFA2"/>
      <c r="XFB2"/>
    </row>
    <row r="3" spans="1:31 11519:16382" s="52" customFormat="1" ht="16.5">
      <c r="C3" s="53"/>
      <c r="L3" s="113"/>
      <c r="M3" s="113"/>
      <c r="N3" s="113"/>
      <c r="O3" s="114" t="s">
        <v>59</v>
      </c>
      <c r="P3" s="113"/>
      <c r="S3" s="54"/>
      <c r="T3" s="54"/>
      <c r="V3" s="55"/>
      <c r="X3" s="50"/>
      <c r="Y3" s="51"/>
      <c r="QAA3"/>
      <c r="QAB3"/>
      <c r="QAC3"/>
      <c r="QAD3"/>
      <c r="QAE3"/>
      <c r="QAF3"/>
      <c r="QAG3"/>
      <c r="QAH3"/>
      <c r="QAI3"/>
      <c r="QAJ3"/>
      <c r="QAK3"/>
      <c r="QAL3"/>
      <c r="QAM3"/>
      <c r="QAN3"/>
      <c r="QAO3"/>
      <c r="QAP3"/>
      <c r="QAQ3"/>
      <c r="QAR3"/>
      <c r="QAS3"/>
      <c r="QAT3"/>
      <c r="QAU3"/>
      <c r="QAV3"/>
      <c r="QAW3"/>
      <c r="QAX3"/>
      <c r="QAY3"/>
      <c r="QAZ3"/>
      <c r="QBA3"/>
      <c r="QBB3"/>
      <c r="QBC3"/>
      <c r="QBD3"/>
      <c r="QBE3"/>
      <c r="QBF3"/>
      <c r="QBG3"/>
      <c r="QBH3"/>
      <c r="QBI3"/>
      <c r="QBJ3"/>
      <c r="QBK3"/>
      <c r="QBL3"/>
      <c r="QBM3"/>
      <c r="QBN3"/>
      <c r="QBO3"/>
      <c r="QBP3"/>
      <c r="QBQ3"/>
      <c r="QBR3"/>
      <c r="QBS3"/>
      <c r="QBT3"/>
      <c r="QBU3"/>
      <c r="QBV3"/>
      <c r="QBW3"/>
      <c r="QBX3"/>
      <c r="QBY3"/>
      <c r="QBZ3"/>
      <c r="QCA3"/>
      <c r="QCB3"/>
      <c r="QCC3"/>
      <c r="QCD3"/>
      <c r="QCE3"/>
      <c r="QCF3"/>
      <c r="QCG3"/>
      <c r="QCH3"/>
      <c r="QCI3"/>
      <c r="QCJ3"/>
      <c r="QCK3"/>
      <c r="QCL3"/>
      <c r="QCM3"/>
      <c r="QCN3"/>
      <c r="QCO3"/>
      <c r="QCP3"/>
      <c r="QCQ3"/>
      <c r="QCR3"/>
      <c r="QCS3"/>
      <c r="QCT3"/>
      <c r="QCU3"/>
      <c r="QCV3"/>
      <c r="QCW3"/>
      <c r="QCX3"/>
      <c r="QCY3"/>
      <c r="QCZ3"/>
      <c r="QDA3"/>
      <c r="QDB3"/>
      <c r="QDC3"/>
      <c r="QDD3"/>
      <c r="QDE3"/>
      <c r="QDF3"/>
      <c r="QDG3"/>
      <c r="QDH3"/>
      <c r="QDI3"/>
      <c r="QDJ3"/>
      <c r="QDK3"/>
      <c r="QDL3"/>
      <c r="QDM3"/>
      <c r="QDN3"/>
      <c r="QDO3"/>
      <c r="QDP3"/>
      <c r="QDQ3"/>
      <c r="QDR3"/>
      <c r="QDS3"/>
      <c r="QDT3"/>
      <c r="QDU3"/>
      <c r="QDV3"/>
      <c r="QDW3"/>
      <c r="QDX3"/>
      <c r="QDY3"/>
      <c r="QDZ3"/>
      <c r="QEA3"/>
      <c r="QEB3"/>
      <c r="QEC3"/>
      <c r="QED3"/>
      <c r="QEE3"/>
      <c r="QEF3"/>
      <c r="QEG3"/>
      <c r="QEH3"/>
      <c r="QEI3"/>
      <c r="QEJ3"/>
      <c r="QEK3"/>
      <c r="QEL3"/>
      <c r="QEM3"/>
      <c r="QEN3"/>
      <c r="QEO3"/>
      <c r="QEP3"/>
      <c r="QEQ3"/>
      <c r="QER3"/>
      <c r="QES3"/>
      <c r="QET3"/>
      <c r="QEU3"/>
      <c r="QEV3"/>
      <c r="QEW3"/>
      <c r="QEX3"/>
      <c r="QEY3"/>
      <c r="QEZ3"/>
      <c r="QFA3"/>
      <c r="QFB3"/>
      <c r="QFC3"/>
      <c r="QFD3"/>
      <c r="QFE3"/>
      <c r="QFF3"/>
      <c r="QFG3"/>
      <c r="QFH3"/>
      <c r="QFI3"/>
      <c r="QFJ3"/>
      <c r="QFK3"/>
      <c r="QFL3"/>
      <c r="QFM3"/>
      <c r="QFN3"/>
      <c r="QFO3"/>
      <c r="QFP3"/>
      <c r="QFQ3"/>
      <c r="QFR3"/>
      <c r="QFS3"/>
      <c r="QFT3"/>
      <c r="QFU3"/>
      <c r="QFV3"/>
      <c r="QFW3"/>
      <c r="QFX3"/>
      <c r="QFY3"/>
      <c r="QFZ3"/>
      <c r="QGA3"/>
      <c r="QGB3"/>
      <c r="QGC3"/>
      <c r="QGD3"/>
      <c r="QGE3"/>
      <c r="QGF3"/>
      <c r="QGG3"/>
      <c r="QGH3"/>
      <c r="QGI3"/>
      <c r="QGJ3"/>
      <c r="QGK3"/>
      <c r="QGL3"/>
      <c r="QGM3"/>
      <c r="QGN3"/>
      <c r="QGO3"/>
      <c r="QGP3"/>
      <c r="QGQ3"/>
      <c r="QGR3"/>
      <c r="QGS3"/>
      <c r="QGT3"/>
      <c r="QGU3"/>
      <c r="QGV3"/>
      <c r="QGW3"/>
      <c r="QGX3"/>
      <c r="QGY3"/>
      <c r="QGZ3"/>
      <c r="QHA3"/>
      <c r="QHB3"/>
      <c r="QHC3"/>
      <c r="QHD3"/>
      <c r="QHE3"/>
      <c r="QHF3"/>
      <c r="QHG3"/>
      <c r="QHH3"/>
      <c r="QHI3"/>
      <c r="QHJ3"/>
      <c r="QHK3"/>
      <c r="QHL3"/>
      <c r="QHM3"/>
      <c r="QHN3"/>
      <c r="QHO3"/>
      <c r="QHP3"/>
      <c r="QHQ3"/>
      <c r="QHR3"/>
      <c r="QHS3"/>
      <c r="QHT3"/>
      <c r="QHU3"/>
      <c r="QHV3"/>
      <c r="QHW3"/>
      <c r="QHX3"/>
      <c r="QHY3"/>
      <c r="QHZ3"/>
      <c r="QIA3"/>
      <c r="QIB3"/>
      <c r="QIC3"/>
      <c r="QID3"/>
      <c r="QIE3"/>
      <c r="QIF3"/>
      <c r="QIG3"/>
      <c r="QIH3"/>
      <c r="QII3"/>
      <c r="QIJ3"/>
      <c r="QIK3"/>
      <c r="QIL3"/>
      <c r="QIM3"/>
      <c r="QIN3"/>
      <c r="QIO3"/>
      <c r="QIP3"/>
      <c r="QIQ3"/>
      <c r="QIR3"/>
      <c r="QIS3"/>
      <c r="QIT3"/>
      <c r="QIU3"/>
      <c r="QIV3"/>
      <c r="QIW3"/>
      <c r="QIX3"/>
      <c r="QIY3"/>
      <c r="QIZ3"/>
      <c r="QJA3"/>
      <c r="QJB3"/>
      <c r="QJC3"/>
      <c r="QJD3"/>
      <c r="QJE3"/>
      <c r="QJF3"/>
      <c r="QJG3"/>
      <c r="QJH3"/>
      <c r="QJI3"/>
      <c r="QJJ3"/>
      <c r="QJK3"/>
      <c r="QJL3"/>
      <c r="QJM3"/>
      <c r="QJN3"/>
      <c r="QJO3"/>
      <c r="QJP3"/>
      <c r="QJQ3"/>
      <c r="QJR3"/>
      <c r="QJS3"/>
      <c r="QJT3"/>
      <c r="QJU3"/>
      <c r="QJV3"/>
      <c r="QJW3"/>
      <c r="QJX3"/>
      <c r="QJY3"/>
      <c r="QJZ3"/>
      <c r="QKA3"/>
      <c r="QKB3"/>
      <c r="QKC3"/>
      <c r="QKD3"/>
      <c r="QKE3"/>
      <c r="QKF3"/>
      <c r="QKG3"/>
      <c r="QKH3"/>
      <c r="QKI3"/>
      <c r="QKJ3"/>
      <c r="QKK3"/>
      <c r="QKL3"/>
      <c r="QKM3"/>
      <c r="QKN3"/>
      <c r="QKO3"/>
      <c r="QKP3"/>
      <c r="QKQ3"/>
      <c r="QKR3"/>
      <c r="QKS3"/>
      <c r="QKT3"/>
      <c r="QKU3"/>
      <c r="QKV3"/>
      <c r="QKW3"/>
      <c r="QKX3"/>
      <c r="QKY3"/>
      <c r="QKZ3"/>
      <c r="QLA3"/>
      <c r="QLB3"/>
      <c r="QLC3"/>
      <c r="QLD3"/>
      <c r="QLE3"/>
      <c r="QLF3"/>
      <c r="QLG3"/>
      <c r="QLH3"/>
      <c r="QLI3"/>
      <c r="QLJ3"/>
      <c r="QLK3"/>
      <c r="QLL3"/>
      <c r="QLM3"/>
      <c r="QLN3"/>
      <c r="QLO3"/>
      <c r="QLP3"/>
      <c r="QLQ3"/>
      <c r="QLR3"/>
      <c r="QLS3"/>
      <c r="QLT3"/>
      <c r="QLU3"/>
      <c r="QLV3"/>
      <c r="QLW3"/>
      <c r="QLX3"/>
      <c r="QLY3"/>
      <c r="QLZ3"/>
      <c r="QMA3"/>
      <c r="QMB3"/>
      <c r="QMC3"/>
      <c r="QMD3"/>
      <c r="QME3"/>
      <c r="QMF3"/>
      <c r="QMG3"/>
      <c r="QMH3"/>
      <c r="QMI3"/>
      <c r="QMJ3"/>
      <c r="QMK3"/>
      <c r="QML3"/>
      <c r="QMM3"/>
      <c r="QMN3"/>
      <c r="QMO3"/>
      <c r="QMP3"/>
      <c r="QMQ3"/>
      <c r="QMR3"/>
      <c r="QMS3"/>
      <c r="QMT3"/>
      <c r="QMU3"/>
      <c r="QMV3"/>
      <c r="QMW3"/>
      <c r="QMX3"/>
      <c r="QMY3"/>
      <c r="QMZ3"/>
      <c r="QNA3"/>
      <c r="QNB3"/>
      <c r="QNC3"/>
      <c r="QND3"/>
      <c r="QNE3"/>
      <c r="QNF3"/>
      <c r="QNG3"/>
      <c r="QNH3"/>
      <c r="QNI3"/>
      <c r="QNJ3"/>
      <c r="QNK3"/>
      <c r="QNL3"/>
      <c r="QNM3"/>
      <c r="QNN3"/>
      <c r="QNO3"/>
      <c r="QNP3"/>
      <c r="QNQ3"/>
      <c r="QNR3"/>
      <c r="QNS3"/>
      <c r="QNT3"/>
      <c r="QNU3"/>
      <c r="QNV3"/>
      <c r="QNW3"/>
      <c r="QNX3"/>
      <c r="QNY3"/>
      <c r="QNZ3"/>
      <c r="QOA3"/>
      <c r="QOB3"/>
      <c r="QOC3"/>
      <c r="QOD3"/>
      <c r="QOE3"/>
      <c r="QOF3"/>
      <c r="QOG3"/>
      <c r="QOH3"/>
      <c r="QOI3"/>
      <c r="QOJ3"/>
      <c r="QOK3"/>
      <c r="QOL3"/>
      <c r="QOM3"/>
      <c r="QON3"/>
      <c r="QOO3"/>
      <c r="QOP3"/>
      <c r="QOQ3"/>
      <c r="QOR3"/>
      <c r="QOS3"/>
      <c r="QOT3"/>
      <c r="QOU3"/>
      <c r="QOV3"/>
      <c r="QOW3"/>
      <c r="QOX3"/>
      <c r="QOY3"/>
      <c r="QOZ3"/>
      <c r="QPA3"/>
      <c r="QPB3"/>
      <c r="QPC3"/>
      <c r="QPD3"/>
      <c r="QPE3"/>
      <c r="QPF3"/>
      <c r="QPG3"/>
      <c r="QPH3"/>
      <c r="QPI3"/>
      <c r="QPJ3"/>
      <c r="QPK3"/>
      <c r="QPL3"/>
      <c r="QPM3"/>
      <c r="QPN3"/>
      <c r="QPO3"/>
      <c r="QPP3"/>
      <c r="QPQ3"/>
      <c r="QPR3"/>
      <c r="QPS3"/>
      <c r="QPT3"/>
      <c r="QPU3"/>
      <c r="QPV3"/>
      <c r="QPW3"/>
      <c r="QPX3"/>
      <c r="QPY3"/>
      <c r="QPZ3"/>
      <c r="QQA3"/>
      <c r="QQB3"/>
      <c r="QQC3"/>
      <c r="QQD3"/>
      <c r="QQE3"/>
      <c r="QQF3"/>
      <c r="QQG3"/>
      <c r="QQH3"/>
      <c r="QQI3"/>
      <c r="QQJ3"/>
      <c r="QQK3"/>
      <c r="QQL3"/>
      <c r="QQM3"/>
      <c r="QQN3"/>
      <c r="QQO3"/>
      <c r="QQP3"/>
      <c r="QQQ3"/>
      <c r="QQR3"/>
      <c r="QQS3"/>
      <c r="QQT3"/>
      <c r="QQU3"/>
      <c r="QQV3"/>
      <c r="QQW3"/>
      <c r="QQX3"/>
      <c r="QQY3"/>
      <c r="QQZ3"/>
      <c r="QRA3"/>
      <c r="QRB3"/>
      <c r="QRC3"/>
      <c r="QRD3"/>
      <c r="QRE3"/>
      <c r="QRF3"/>
      <c r="QRG3"/>
      <c r="QRH3"/>
      <c r="QRI3"/>
      <c r="QRJ3"/>
      <c r="QRK3"/>
      <c r="QRL3"/>
      <c r="QRM3"/>
      <c r="QRN3"/>
      <c r="QRO3"/>
      <c r="QRP3"/>
      <c r="QRQ3"/>
      <c r="QRR3"/>
      <c r="QRS3"/>
      <c r="QRT3"/>
      <c r="QRU3"/>
      <c r="QRV3"/>
      <c r="QRW3"/>
      <c r="QRX3"/>
      <c r="QRY3"/>
      <c r="QRZ3"/>
      <c r="QSA3"/>
      <c r="QSB3"/>
      <c r="QSC3"/>
      <c r="QSD3"/>
      <c r="QSE3"/>
      <c r="QSF3"/>
      <c r="QSG3"/>
      <c r="QSH3"/>
      <c r="QSI3"/>
      <c r="QSJ3"/>
      <c r="QSK3"/>
      <c r="QSL3"/>
      <c r="QSM3"/>
      <c r="QSN3"/>
      <c r="QSO3"/>
      <c r="QSP3"/>
      <c r="QSQ3"/>
      <c r="QSR3"/>
      <c r="QSS3"/>
      <c r="QST3"/>
      <c r="QSU3"/>
      <c r="QSV3"/>
      <c r="QSW3"/>
      <c r="QSX3"/>
      <c r="QSY3"/>
      <c r="QSZ3"/>
      <c r="QTA3"/>
      <c r="QTB3"/>
      <c r="QTC3"/>
      <c r="QTD3"/>
      <c r="QTE3"/>
      <c r="QTF3"/>
      <c r="QTG3"/>
      <c r="QTH3"/>
      <c r="QTI3"/>
      <c r="QTJ3"/>
      <c r="QTK3"/>
      <c r="QTL3"/>
      <c r="QTM3"/>
      <c r="QTN3"/>
      <c r="QTO3"/>
      <c r="QTP3"/>
      <c r="QTQ3"/>
      <c r="QTR3"/>
      <c r="QTS3"/>
      <c r="QTT3"/>
      <c r="QTU3"/>
      <c r="QTV3"/>
      <c r="QTW3"/>
      <c r="QTX3"/>
      <c r="QTY3"/>
      <c r="QTZ3"/>
      <c r="QUA3"/>
      <c r="QUB3"/>
      <c r="QUC3"/>
      <c r="QUD3"/>
      <c r="QUE3"/>
      <c r="QUF3"/>
      <c r="QUG3"/>
      <c r="QUH3"/>
      <c r="QUI3"/>
      <c r="QUJ3"/>
      <c r="QUK3"/>
      <c r="QUL3"/>
      <c r="QUM3"/>
      <c r="QUN3"/>
      <c r="QUO3"/>
      <c r="QUP3"/>
      <c r="QUQ3"/>
      <c r="QUR3"/>
      <c r="QUS3"/>
      <c r="QUT3"/>
      <c r="QUU3"/>
      <c r="QUV3"/>
      <c r="QUW3"/>
      <c r="QUX3"/>
      <c r="QUY3"/>
      <c r="QUZ3"/>
      <c r="QVA3"/>
      <c r="QVB3"/>
      <c r="QVC3"/>
      <c r="QVD3"/>
      <c r="QVE3"/>
      <c r="QVF3"/>
      <c r="QVG3"/>
      <c r="QVH3"/>
      <c r="QVI3"/>
      <c r="QVJ3"/>
      <c r="QVK3"/>
      <c r="QVL3"/>
      <c r="QVM3"/>
      <c r="QVN3"/>
      <c r="QVO3"/>
      <c r="QVP3"/>
      <c r="QVQ3"/>
      <c r="QVR3"/>
      <c r="QVS3"/>
      <c r="QVT3"/>
      <c r="QVU3"/>
      <c r="QVV3"/>
      <c r="QVW3"/>
      <c r="QVX3"/>
      <c r="QVY3"/>
      <c r="QVZ3"/>
      <c r="QWA3"/>
      <c r="QWB3"/>
      <c r="QWC3"/>
      <c r="QWD3"/>
      <c r="QWE3"/>
      <c r="QWF3"/>
      <c r="QWG3"/>
      <c r="QWH3"/>
      <c r="QWI3"/>
      <c r="QWJ3"/>
      <c r="QWK3"/>
      <c r="QWL3"/>
      <c r="QWM3"/>
      <c r="QWN3"/>
      <c r="QWO3"/>
      <c r="QWP3"/>
      <c r="QWQ3"/>
      <c r="QWR3"/>
      <c r="QWS3"/>
      <c r="QWT3"/>
      <c r="QWU3"/>
      <c r="QWV3"/>
      <c r="QWW3"/>
      <c r="QWX3"/>
      <c r="QWY3"/>
      <c r="QWZ3"/>
      <c r="QXA3"/>
      <c r="QXB3"/>
      <c r="QXC3"/>
      <c r="QXD3"/>
      <c r="QXE3"/>
      <c r="QXF3"/>
      <c r="QXG3"/>
      <c r="QXH3"/>
      <c r="QXI3"/>
      <c r="QXJ3"/>
      <c r="QXK3"/>
      <c r="QXL3"/>
      <c r="QXM3"/>
      <c r="QXN3"/>
      <c r="QXO3"/>
      <c r="QXP3"/>
      <c r="QXQ3"/>
      <c r="QXR3"/>
      <c r="QXS3"/>
      <c r="QXT3"/>
      <c r="QXU3"/>
      <c r="QXV3"/>
      <c r="QXW3"/>
      <c r="QXX3"/>
      <c r="QXY3"/>
      <c r="QXZ3"/>
      <c r="QYA3"/>
      <c r="QYB3"/>
      <c r="QYC3"/>
      <c r="QYD3"/>
      <c r="QYE3"/>
      <c r="QYF3"/>
      <c r="QYG3"/>
      <c r="QYH3"/>
      <c r="QYI3"/>
      <c r="QYJ3"/>
      <c r="QYK3"/>
      <c r="QYL3"/>
      <c r="QYM3"/>
      <c r="QYN3"/>
      <c r="QYO3"/>
      <c r="QYP3"/>
      <c r="QYQ3"/>
      <c r="QYR3"/>
      <c r="QYS3"/>
      <c r="QYT3"/>
      <c r="QYU3"/>
      <c r="QYV3"/>
      <c r="QYW3"/>
      <c r="QYX3"/>
      <c r="QYY3"/>
      <c r="QYZ3"/>
      <c r="QZA3"/>
      <c r="QZB3"/>
      <c r="QZC3"/>
      <c r="QZD3"/>
      <c r="QZE3"/>
      <c r="QZF3"/>
      <c r="QZG3"/>
      <c r="QZH3"/>
      <c r="QZI3"/>
      <c r="QZJ3"/>
      <c r="QZK3"/>
      <c r="QZL3"/>
      <c r="QZM3"/>
      <c r="QZN3"/>
      <c r="QZO3"/>
      <c r="QZP3"/>
      <c r="QZQ3"/>
      <c r="QZR3"/>
      <c r="QZS3"/>
      <c r="QZT3"/>
      <c r="QZU3"/>
      <c r="QZV3"/>
      <c r="QZW3"/>
      <c r="QZX3"/>
      <c r="QZY3"/>
      <c r="QZZ3"/>
      <c r="RAA3"/>
      <c r="RAB3"/>
      <c r="RAC3"/>
      <c r="RAD3"/>
      <c r="RAE3"/>
      <c r="RAF3"/>
      <c r="RAG3"/>
      <c r="RAH3"/>
      <c r="RAI3"/>
      <c r="RAJ3"/>
      <c r="RAK3"/>
      <c r="RAL3"/>
      <c r="RAM3"/>
      <c r="RAN3"/>
      <c r="RAO3"/>
      <c r="RAP3"/>
      <c r="RAQ3"/>
      <c r="RAR3"/>
      <c r="RAS3"/>
      <c r="RAT3"/>
      <c r="RAU3"/>
      <c r="RAV3"/>
      <c r="RAW3"/>
      <c r="RAX3"/>
      <c r="RAY3"/>
      <c r="RAZ3"/>
      <c r="RBA3"/>
      <c r="RBB3"/>
      <c r="RBC3"/>
      <c r="RBD3"/>
      <c r="RBE3"/>
      <c r="RBF3"/>
      <c r="RBG3"/>
      <c r="RBH3"/>
      <c r="RBI3"/>
      <c r="RBJ3"/>
      <c r="RBK3"/>
      <c r="RBL3"/>
      <c r="RBM3"/>
      <c r="RBN3"/>
      <c r="RBO3"/>
      <c r="RBP3"/>
      <c r="RBQ3"/>
      <c r="RBR3"/>
      <c r="RBS3"/>
      <c r="RBT3"/>
      <c r="RBU3"/>
      <c r="RBV3"/>
      <c r="RBW3"/>
      <c r="RBX3"/>
      <c r="RBY3"/>
      <c r="RBZ3"/>
      <c r="RCA3"/>
      <c r="RCB3"/>
      <c r="RCC3"/>
      <c r="RCD3"/>
      <c r="RCE3"/>
      <c r="RCF3"/>
      <c r="RCG3"/>
      <c r="RCH3"/>
      <c r="RCI3"/>
      <c r="RCJ3"/>
      <c r="RCK3"/>
      <c r="RCL3"/>
      <c r="RCM3"/>
      <c r="RCN3"/>
      <c r="RCO3"/>
      <c r="RCP3"/>
      <c r="RCQ3"/>
      <c r="RCR3"/>
      <c r="RCS3"/>
      <c r="RCT3"/>
      <c r="RCU3"/>
      <c r="RCV3"/>
      <c r="RCW3"/>
      <c r="RCX3"/>
      <c r="RCY3"/>
      <c r="RCZ3"/>
      <c r="RDA3"/>
      <c r="RDB3"/>
      <c r="RDC3"/>
      <c r="RDD3"/>
      <c r="RDE3"/>
      <c r="RDF3"/>
      <c r="RDG3"/>
      <c r="RDH3"/>
      <c r="RDI3"/>
      <c r="RDJ3"/>
      <c r="RDK3"/>
      <c r="RDL3"/>
      <c r="RDM3"/>
      <c r="RDN3"/>
      <c r="RDO3"/>
      <c r="RDP3"/>
      <c r="RDQ3"/>
      <c r="RDR3"/>
      <c r="RDS3"/>
      <c r="RDT3"/>
      <c r="RDU3"/>
      <c r="RDV3"/>
      <c r="RDW3"/>
      <c r="RDX3"/>
      <c r="RDY3"/>
      <c r="RDZ3"/>
      <c r="REA3"/>
      <c r="REB3"/>
      <c r="REC3"/>
      <c r="RED3"/>
      <c r="REE3"/>
      <c r="REF3"/>
      <c r="REG3"/>
      <c r="REH3"/>
      <c r="REI3"/>
      <c r="REJ3"/>
      <c r="REK3"/>
      <c r="REL3"/>
      <c r="REM3"/>
      <c r="REN3"/>
      <c r="REO3"/>
      <c r="REP3"/>
      <c r="REQ3"/>
      <c r="RER3"/>
      <c r="RES3"/>
      <c r="RET3"/>
      <c r="REU3"/>
      <c r="REV3"/>
      <c r="REW3"/>
      <c r="REX3"/>
      <c r="REY3"/>
      <c r="REZ3"/>
      <c r="RFA3"/>
      <c r="RFB3"/>
      <c r="RFC3"/>
      <c r="RFD3"/>
      <c r="RFE3"/>
      <c r="RFF3"/>
      <c r="RFG3"/>
      <c r="RFH3"/>
      <c r="RFI3"/>
      <c r="RFJ3"/>
      <c r="RFK3"/>
      <c r="RFL3"/>
      <c r="RFM3"/>
      <c r="RFN3"/>
      <c r="RFO3"/>
      <c r="RFP3"/>
      <c r="RFQ3"/>
      <c r="RFR3"/>
      <c r="RFS3"/>
      <c r="RFT3"/>
      <c r="RFU3"/>
      <c r="RFV3"/>
      <c r="RFW3"/>
      <c r="RFX3"/>
      <c r="RFY3"/>
      <c r="RFZ3"/>
      <c r="RGA3"/>
      <c r="RGB3"/>
      <c r="RGC3"/>
      <c r="RGD3"/>
      <c r="RGE3"/>
      <c r="RGF3"/>
      <c r="RGG3"/>
      <c r="RGH3"/>
      <c r="RGI3"/>
      <c r="RGJ3"/>
      <c r="RGK3"/>
      <c r="RGL3"/>
      <c r="RGM3"/>
      <c r="RGN3"/>
      <c r="RGO3"/>
      <c r="RGP3"/>
      <c r="RGQ3"/>
      <c r="RGR3"/>
      <c r="RGS3"/>
      <c r="RGT3"/>
      <c r="RGU3"/>
      <c r="RGV3"/>
      <c r="RGW3"/>
      <c r="RGX3"/>
      <c r="RGY3"/>
      <c r="RGZ3"/>
      <c r="RHA3"/>
      <c r="RHB3"/>
      <c r="RHC3"/>
      <c r="RHD3"/>
      <c r="RHE3"/>
      <c r="RHF3"/>
      <c r="RHG3"/>
      <c r="RHH3"/>
      <c r="RHI3"/>
      <c r="RHJ3"/>
      <c r="RHK3"/>
      <c r="RHL3"/>
      <c r="RHM3"/>
      <c r="RHN3"/>
      <c r="RHO3"/>
      <c r="RHP3"/>
      <c r="RHQ3"/>
      <c r="RHR3"/>
      <c r="RHS3"/>
      <c r="RHT3"/>
      <c r="RHU3"/>
      <c r="RHV3"/>
      <c r="RHW3"/>
      <c r="RHX3"/>
      <c r="RHY3"/>
      <c r="RHZ3"/>
      <c r="RIA3"/>
      <c r="RIB3"/>
      <c r="RIC3"/>
      <c r="RID3"/>
      <c r="RIE3"/>
      <c r="RIF3"/>
      <c r="RIG3"/>
      <c r="RIH3"/>
      <c r="RII3"/>
      <c r="RIJ3"/>
      <c r="RIK3"/>
      <c r="RIL3"/>
      <c r="RIM3"/>
      <c r="RIN3"/>
      <c r="RIO3"/>
      <c r="RIP3"/>
      <c r="RIQ3"/>
      <c r="RIR3"/>
      <c r="RIS3"/>
      <c r="RIT3"/>
      <c r="RIU3"/>
      <c r="RIV3"/>
      <c r="RIW3"/>
      <c r="RIX3"/>
      <c r="RIY3"/>
      <c r="RIZ3"/>
      <c r="RJA3"/>
      <c r="RJB3"/>
      <c r="RJC3"/>
      <c r="RJD3"/>
      <c r="RJE3"/>
      <c r="RJF3"/>
      <c r="RJG3"/>
      <c r="RJH3"/>
      <c r="RJI3"/>
      <c r="RJJ3"/>
      <c r="RJK3"/>
      <c r="RJL3"/>
      <c r="RJM3"/>
      <c r="RJN3"/>
      <c r="RJO3"/>
      <c r="RJP3"/>
      <c r="RJQ3"/>
      <c r="RJR3"/>
      <c r="RJS3"/>
      <c r="RJT3"/>
      <c r="RJU3"/>
      <c r="RJV3"/>
      <c r="RJW3"/>
      <c r="RJX3"/>
      <c r="RJY3"/>
      <c r="RJZ3"/>
      <c r="RKA3"/>
      <c r="RKB3"/>
      <c r="RKC3"/>
      <c r="RKD3"/>
      <c r="RKE3"/>
      <c r="RKF3"/>
      <c r="RKG3"/>
      <c r="RKH3"/>
      <c r="RKI3"/>
      <c r="RKJ3"/>
      <c r="RKK3"/>
      <c r="RKL3"/>
      <c r="RKM3"/>
      <c r="RKN3"/>
      <c r="RKO3"/>
      <c r="RKP3"/>
      <c r="RKQ3"/>
      <c r="RKR3"/>
      <c r="RKS3"/>
      <c r="RKT3"/>
      <c r="RKU3"/>
      <c r="RKV3"/>
      <c r="RKW3"/>
      <c r="RKX3"/>
      <c r="RKY3"/>
      <c r="RKZ3"/>
      <c r="RLA3"/>
      <c r="RLB3"/>
      <c r="RLC3"/>
      <c r="RLD3"/>
      <c r="RLE3"/>
      <c r="RLF3"/>
      <c r="RLG3"/>
      <c r="RLH3"/>
      <c r="RLI3"/>
      <c r="RLJ3"/>
      <c r="RLK3"/>
      <c r="RLL3"/>
      <c r="RLM3"/>
      <c r="RLN3"/>
      <c r="RLO3"/>
      <c r="RLP3"/>
      <c r="RLQ3"/>
      <c r="RLR3"/>
      <c r="RLS3"/>
      <c r="RLT3"/>
      <c r="RLU3"/>
      <c r="RLV3"/>
      <c r="RLW3"/>
      <c r="RLX3"/>
      <c r="RLY3"/>
      <c r="RLZ3"/>
      <c r="RMA3"/>
      <c r="RMB3"/>
      <c r="RMC3"/>
      <c r="RMD3"/>
      <c r="RME3"/>
      <c r="RMF3"/>
      <c r="RMG3"/>
      <c r="RMH3"/>
      <c r="RMI3"/>
      <c r="RMJ3"/>
      <c r="RMK3"/>
      <c r="RML3"/>
      <c r="RMM3"/>
      <c r="RMN3"/>
      <c r="RMO3"/>
      <c r="RMP3"/>
      <c r="RMQ3"/>
      <c r="RMR3"/>
      <c r="RMS3"/>
      <c r="RMT3"/>
      <c r="RMU3"/>
      <c r="RMV3"/>
      <c r="RMW3"/>
      <c r="RMX3"/>
      <c r="RMY3"/>
      <c r="RMZ3"/>
      <c r="RNA3"/>
      <c r="RNB3"/>
      <c r="RNC3"/>
      <c r="RND3"/>
      <c r="RNE3"/>
      <c r="RNF3"/>
      <c r="RNG3"/>
      <c r="RNH3"/>
      <c r="RNI3"/>
      <c r="RNJ3"/>
      <c r="RNK3"/>
      <c r="RNL3"/>
      <c r="RNM3"/>
      <c r="RNN3"/>
      <c r="RNO3"/>
      <c r="RNP3"/>
      <c r="RNQ3"/>
      <c r="RNR3"/>
      <c r="RNS3"/>
      <c r="RNT3"/>
      <c r="RNU3"/>
      <c r="RNV3"/>
      <c r="RNW3"/>
      <c r="RNX3"/>
      <c r="RNY3"/>
      <c r="RNZ3"/>
      <c r="ROA3"/>
      <c r="ROB3"/>
      <c r="ROC3"/>
      <c r="ROD3"/>
      <c r="ROE3"/>
      <c r="ROF3"/>
      <c r="ROG3"/>
      <c r="ROH3"/>
      <c r="ROI3"/>
      <c r="ROJ3"/>
      <c r="ROK3"/>
      <c r="ROL3"/>
      <c r="ROM3"/>
      <c r="RON3"/>
      <c r="ROO3"/>
      <c r="ROP3"/>
      <c r="ROQ3"/>
      <c r="ROR3"/>
      <c r="ROS3"/>
      <c r="ROT3"/>
      <c r="ROU3"/>
      <c r="ROV3"/>
      <c r="ROW3"/>
      <c r="ROX3"/>
      <c r="ROY3"/>
      <c r="ROZ3"/>
      <c r="RPA3"/>
      <c r="RPB3"/>
      <c r="RPC3"/>
      <c r="RPD3"/>
      <c r="RPE3"/>
      <c r="RPF3"/>
      <c r="RPG3"/>
      <c r="RPH3"/>
      <c r="RPI3"/>
      <c r="RPJ3"/>
      <c r="RPK3"/>
      <c r="RPL3"/>
      <c r="RPM3"/>
      <c r="RPN3"/>
      <c r="RPO3"/>
      <c r="RPP3"/>
      <c r="RPQ3"/>
      <c r="RPR3"/>
      <c r="RPS3"/>
      <c r="RPT3"/>
      <c r="RPU3"/>
      <c r="RPV3"/>
      <c r="RPW3"/>
      <c r="RPX3"/>
      <c r="RPY3"/>
      <c r="RPZ3"/>
      <c r="RQA3"/>
      <c r="RQB3"/>
      <c r="RQC3"/>
      <c r="RQD3"/>
      <c r="RQE3"/>
      <c r="RQF3"/>
      <c r="RQG3"/>
      <c r="RQH3"/>
      <c r="RQI3"/>
      <c r="RQJ3"/>
      <c r="RQK3"/>
      <c r="RQL3"/>
      <c r="RQM3"/>
      <c r="RQN3"/>
      <c r="RQO3"/>
      <c r="RQP3"/>
      <c r="RQQ3"/>
      <c r="RQR3"/>
      <c r="RQS3"/>
      <c r="RQT3"/>
      <c r="RQU3"/>
      <c r="RQV3"/>
      <c r="RQW3"/>
      <c r="RQX3"/>
      <c r="RQY3"/>
      <c r="RQZ3"/>
      <c r="RRA3"/>
      <c r="RRB3"/>
      <c r="RRC3"/>
      <c r="RRD3"/>
      <c r="RRE3"/>
      <c r="RRF3"/>
      <c r="RRG3"/>
      <c r="RRH3"/>
      <c r="RRI3"/>
      <c r="RRJ3"/>
      <c r="RRK3"/>
      <c r="RRL3"/>
      <c r="RRM3"/>
      <c r="RRN3"/>
      <c r="RRO3"/>
      <c r="RRP3"/>
      <c r="RRQ3"/>
      <c r="RRR3"/>
      <c r="RRS3"/>
      <c r="RRT3"/>
      <c r="RRU3"/>
      <c r="RRV3"/>
      <c r="RRW3"/>
      <c r="RRX3"/>
      <c r="RRY3"/>
      <c r="RRZ3"/>
      <c r="RSA3"/>
      <c r="RSB3"/>
      <c r="RSC3"/>
      <c r="RSD3"/>
      <c r="RSE3"/>
      <c r="RSF3"/>
      <c r="RSG3"/>
      <c r="RSH3"/>
      <c r="RSI3"/>
      <c r="RSJ3"/>
      <c r="RSK3"/>
      <c r="RSL3"/>
      <c r="RSM3"/>
      <c r="RSN3"/>
      <c r="RSO3"/>
      <c r="RSP3"/>
      <c r="RSQ3"/>
      <c r="RSR3"/>
      <c r="RSS3"/>
      <c r="RST3"/>
      <c r="RSU3"/>
      <c r="RSV3"/>
      <c r="RSW3"/>
      <c r="RSX3"/>
      <c r="RSY3"/>
      <c r="RSZ3"/>
      <c r="RTA3"/>
      <c r="RTB3"/>
      <c r="RTC3"/>
      <c r="RTD3"/>
      <c r="RTE3"/>
      <c r="RTF3"/>
      <c r="RTG3"/>
      <c r="RTH3"/>
      <c r="RTI3"/>
      <c r="RTJ3"/>
      <c r="RTK3"/>
      <c r="RTL3"/>
      <c r="RTM3"/>
      <c r="RTN3"/>
      <c r="RTO3"/>
      <c r="RTP3"/>
      <c r="RTQ3"/>
      <c r="RTR3"/>
      <c r="RTS3"/>
      <c r="RTT3"/>
      <c r="RTU3"/>
      <c r="RTV3"/>
      <c r="RTW3"/>
      <c r="RTX3"/>
      <c r="RTY3"/>
      <c r="RTZ3"/>
      <c r="RUA3"/>
      <c r="RUB3"/>
      <c r="RUC3"/>
      <c r="RUD3"/>
      <c r="RUE3"/>
      <c r="RUF3"/>
      <c r="RUG3"/>
      <c r="RUH3"/>
      <c r="RUI3"/>
      <c r="RUJ3"/>
      <c r="RUK3"/>
      <c r="RUL3"/>
      <c r="RUM3"/>
      <c r="RUN3"/>
      <c r="RUO3"/>
      <c r="RUP3"/>
      <c r="RUQ3"/>
      <c r="RUR3"/>
      <c r="RUS3"/>
      <c r="RUT3"/>
      <c r="RUU3"/>
      <c r="RUV3"/>
      <c r="RUW3"/>
      <c r="RUX3"/>
      <c r="RUY3"/>
      <c r="RUZ3"/>
      <c r="RVA3"/>
      <c r="RVB3"/>
      <c r="RVC3"/>
      <c r="RVD3"/>
      <c r="RVE3"/>
      <c r="RVF3"/>
      <c r="RVG3"/>
      <c r="RVH3"/>
      <c r="RVI3"/>
      <c r="RVJ3"/>
      <c r="RVK3"/>
      <c r="RVL3"/>
      <c r="RVM3"/>
      <c r="RVN3"/>
      <c r="RVO3"/>
      <c r="RVP3"/>
      <c r="RVQ3"/>
      <c r="RVR3"/>
      <c r="RVS3"/>
      <c r="RVT3"/>
      <c r="RVU3"/>
      <c r="RVV3"/>
      <c r="RVW3"/>
      <c r="RVX3"/>
      <c r="RVY3"/>
      <c r="RVZ3"/>
      <c r="RWA3"/>
      <c r="RWB3"/>
      <c r="RWC3"/>
      <c r="RWD3"/>
      <c r="RWE3"/>
      <c r="RWF3"/>
      <c r="RWG3"/>
      <c r="RWH3"/>
      <c r="RWI3"/>
      <c r="RWJ3"/>
      <c r="RWK3"/>
      <c r="RWL3"/>
      <c r="RWM3"/>
      <c r="RWN3"/>
      <c r="RWO3"/>
      <c r="RWP3"/>
      <c r="RWQ3"/>
      <c r="RWR3"/>
      <c r="RWS3"/>
      <c r="RWT3"/>
      <c r="RWU3"/>
      <c r="RWV3"/>
      <c r="RWW3"/>
      <c r="RWX3"/>
      <c r="RWY3"/>
      <c r="RWZ3"/>
      <c r="RXA3"/>
      <c r="RXB3"/>
      <c r="RXC3"/>
      <c r="RXD3"/>
      <c r="RXE3"/>
      <c r="RXF3"/>
      <c r="RXG3"/>
      <c r="RXH3"/>
      <c r="RXI3"/>
      <c r="RXJ3"/>
      <c r="RXK3"/>
      <c r="RXL3"/>
      <c r="RXM3"/>
      <c r="RXN3"/>
      <c r="RXO3"/>
      <c r="RXP3"/>
      <c r="RXQ3"/>
      <c r="RXR3"/>
      <c r="RXS3"/>
      <c r="RXT3"/>
      <c r="RXU3"/>
      <c r="RXV3"/>
      <c r="RXW3"/>
      <c r="RXX3"/>
      <c r="RXY3"/>
      <c r="RXZ3"/>
      <c r="RYA3"/>
      <c r="RYB3"/>
      <c r="RYC3"/>
      <c r="RYD3"/>
      <c r="RYE3"/>
      <c r="RYF3"/>
      <c r="RYG3"/>
      <c r="RYH3"/>
      <c r="RYI3"/>
      <c r="RYJ3"/>
      <c r="RYK3"/>
      <c r="RYL3"/>
      <c r="RYM3"/>
      <c r="RYN3"/>
      <c r="RYO3"/>
      <c r="RYP3"/>
      <c r="RYQ3"/>
      <c r="RYR3"/>
      <c r="RYS3"/>
      <c r="RYT3"/>
      <c r="RYU3"/>
      <c r="RYV3"/>
      <c r="RYW3"/>
      <c r="RYX3"/>
      <c r="RYY3"/>
      <c r="RYZ3"/>
      <c r="RZA3"/>
      <c r="RZB3"/>
      <c r="RZC3"/>
      <c r="RZD3"/>
      <c r="RZE3"/>
      <c r="RZF3"/>
      <c r="RZG3"/>
      <c r="RZH3"/>
      <c r="RZI3"/>
      <c r="RZJ3"/>
      <c r="RZK3"/>
      <c r="RZL3"/>
      <c r="RZM3"/>
      <c r="RZN3"/>
      <c r="RZO3"/>
      <c r="RZP3"/>
      <c r="RZQ3"/>
      <c r="RZR3"/>
      <c r="RZS3"/>
      <c r="RZT3"/>
      <c r="RZU3"/>
      <c r="RZV3"/>
      <c r="RZW3"/>
      <c r="RZX3"/>
      <c r="RZY3"/>
      <c r="RZZ3"/>
      <c r="SAA3"/>
      <c r="SAB3"/>
      <c r="SAC3"/>
      <c r="SAD3"/>
      <c r="SAE3"/>
      <c r="SAF3"/>
      <c r="SAG3"/>
      <c r="SAH3"/>
      <c r="SAI3"/>
      <c r="SAJ3"/>
      <c r="SAK3"/>
      <c r="SAL3"/>
      <c r="SAM3"/>
      <c r="SAN3"/>
      <c r="SAO3"/>
      <c r="SAP3"/>
      <c r="SAQ3"/>
      <c r="SAR3"/>
      <c r="SAS3"/>
      <c r="SAT3"/>
      <c r="SAU3"/>
      <c r="SAV3"/>
      <c r="SAW3"/>
      <c r="SAX3"/>
      <c r="SAY3"/>
      <c r="SAZ3"/>
      <c r="SBA3"/>
      <c r="SBB3"/>
      <c r="SBC3"/>
      <c r="SBD3"/>
      <c r="SBE3"/>
      <c r="SBF3"/>
      <c r="SBG3"/>
      <c r="SBH3"/>
      <c r="SBI3"/>
      <c r="SBJ3"/>
      <c r="SBK3"/>
      <c r="SBL3"/>
      <c r="SBM3"/>
      <c r="SBN3"/>
      <c r="SBO3"/>
      <c r="SBP3"/>
      <c r="SBQ3"/>
      <c r="SBR3"/>
      <c r="SBS3"/>
      <c r="SBT3"/>
      <c r="SBU3"/>
      <c r="SBV3"/>
      <c r="SBW3"/>
      <c r="SBX3"/>
      <c r="SBY3"/>
      <c r="SBZ3"/>
      <c r="SCA3"/>
      <c r="SCB3"/>
      <c r="SCC3"/>
      <c r="SCD3"/>
      <c r="SCE3"/>
      <c r="SCF3"/>
      <c r="SCG3"/>
      <c r="SCH3"/>
      <c r="SCI3"/>
      <c r="SCJ3"/>
      <c r="SCK3"/>
      <c r="SCL3"/>
      <c r="SCM3"/>
      <c r="SCN3"/>
      <c r="SCO3"/>
      <c r="SCP3"/>
      <c r="SCQ3"/>
      <c r="SCR3"/>
      <c r="SCS3"/>
      <c r="SCT3"/>
      <c r="SCU3"/>
      <c r="SCV3"/>
      <c r="SCW3"/>
      <c r="SCX3"/>
      <c r="SCY3"/>
      <c r="SCZ3"/>
      <c r="SDA3"/>
      <c r="SDB3"/>
      <c r="SDC3"/>
      <c r="SDD3"/>
      <c r="SDE3"/>
      <c r="SDF3"/>
      <c r="SDG3"/>
      <c r="SDH3"/>
      <c r="SDI3"/>
      <c r="SDJ3"/>
      <c r="SDK3"/>
      <c r="SDL3"/>
      <c r="SDM3"/>
      <c r="SDN3"/>
      <c r="SDO3"/>
      <c r="SDP3"/>
      <c r="SDQ3"/>
      <c r="SDR3"/>
      <c r="SDS3"/>
      <c r="SDT3"/>
      <c r="SDU3"/>
      <c r="SDV3"/>
      <c r="SDW3"/>
      <c r="SDX3"/>
      <c r="SDY3"/>
      <c r="SDZ3"/>
      <c r="SEA3"/>
      <c r="SEB3"/>
      <c r="SEC3"/>
      <c r="SED3"/>
      <c r="SEE3"/>
      <c r="SEF3"/>
      <c r="SEG3"/>
      <c r="SEH3"/>
      <c r="SEI3"/>
      <c r="SEJ3"/>
      <c r="SEK3"/>
      <c r="SEL3"/>
      <c r="SEM3"/>
      <c r="SEN3"/>
      <c r="SEO3"/>
      <c r="SEP3"/>
      <c r="SEQ3"/>
      <c r="SER3"/>
      <c r="SES3"/>
      <c r="SET3"/>
      <c r="SEU3"/>
      <c r="SEV3"/>
      <c r="SEW3"/>
      <c r="SEX3"/>
      <c r="SEY3"/>
      <c r="SEZ3"/>
      <c r="SFA3"/>
      <c r="SFB3"/>
      <c r="SFC3"/>
      <c r="SFD3"/>
      <c r="SFE3"/>
      <c r="SFF3"/>
      <c r="SFG3"/>
      <c r="SFH3"/>
      <c r="SFI3"/>
      <c r="SFJ3"/>
      <c r="SFK3"/>
      <c r="SFL3"/>
      <c r="SFM3"/>
      <c r="SFN3"/>
      <c r="SFO3"/>
      <c r="SFP3"/>
      <c r="SFQ3"/>
      <c r="SFR3"/>
      <c r="SFS3"/>
      <c r="SFT3"/>
      <c r="SFU3"/>
      <c r="SFV3"/>
      <c r="SFW3"/>
      <c r="SFX3"/>
      <c r="SFY3"/>
      <c r="SFZ3"/>
      <c r="SGA3"/>
      <c r="SGB3"/>
      <c r="SGC3"/>
      <c r="SGD3"/>
      <c r="SGE3"/>
      <c r="SGF3"/>
      <c r="SGG3"/>
      <c r="SGH3"/>
      <c r="SGI3"/>
      <c r="SGJ3"/>
      <c r="SGK3"/>
      <c r="SGL3"/>
      <c r="SGM3"/>
      <c r="SGN3"/>
      <c r="SGO3"/>
      <c r="SGP3"/>
      <c r="SGQ3"/>
      <c r="SGR3"/>
      <c r="SGS3"/>
      <c r="SGT3"/>
      <c r="SGU3"/>
      <c r="SGV3"/>
      <c r="SGW3"/>
      <c r="SGX3"/>
      <c r="SGY3"/>
      <c r="SGZ3"/>
      <c r="SHA3"/>
      <c r="SHB3"/>
      <c r="SHC3"/>
      <c r="SHD3"/>
      <c r="SHE3"/>
      <c r="SHF3"/>
      <c r="SHG3"/>
      <c r="SHH3"/>
      <c r="SHI3"/>
      <c r="SHJ3"/>
      <c r="SHK3"/>
      <c r="SHL3"/>
      <c r="SHM3"/>
      <c r="SHN3"/>
      <c r="SHO3"/>
      <c r="SHP3"/>
      <c r="SHQ3"/>
      <c r="SHR3"/>
      <c r="SHS3"/>
      <c r="SHT3"/>
      <c r="SHU3"/>
      <c r="SHV3"/>
      <c r="SHW3"/>
      <c r="SHX3"/>
      <c r="SHY3"/>
      <c r="SHZ3"/>
      <c r="SIA3"/>
      <c r="SIB3"/>
      <c r="SIC3"/>
      <c r="SID3"/>
      <c r="SIE3"/>
      <c r="SIF3"/>
      <c r="SIG3"/>
      <c r="SIH3"/>
      <c r="SII3"/>
      <c r="SIJ3"/>
      <c r="SIK3"/>
      <c r="SIL3"/>
      <c r="SIM3"/>
      <c r="SIN3"/>
      <c r="SIO3"/>
      <c r="SIP3"/>
      <c r="SIQ3"/>
      <c r="SIR3"/>
      <c r="SIS3"/>
      <c r="SIT3"/>
      <c r="SIU3"/>
      <c r="SIV3"/>
      <c r="SIW3"/>
      <c r="SIX3"/>
      <c r="SIY3"/>
      <c r="SIZ3"/>
      <c r="SJA3"/>
      <c r="SJB3"/>
      <c r="SJC3"/>
      <c r="SJD3"/>
      <c r="SJE3"/>
      <c r="SJF3"/>
      <c r="SJG3"/>
      <c r="SJH3"/>
      <c r="SJI3"/>
      <c r="SJJ3"/>
      <c r="SJK3"/>
      <c r="SJL3"/>
      <c r="SJM3"/>
      <c r="SJN3"/>
      <c r="SJO3"/>
      <c r="SJP3"/>
      <c r="SJQ3"/>
      <c r="SJR3"/>
      <c r="SJS3"/>
      <c r="SJT3"/>
      <c r="SJU3"/>
      <c r="SJV3"/>
      <c r="SJW3"/>
      <c r="SJX3"/>
      <c r="SJY3"/>
      <c r="SJZ3"/>
      <c r="SKA3"/>
      <c r="SKB3"/>
      <c r="SKC3"/>
      <c r="SKD3"/>
      <c r="SKE3"/>
      <c r="SKF3"/>
      <c r="SKG3"/>
      <c r="SKH3"/>
      <c r="SKI3"/>
      <c r="SKJ3"/>
      <c r="SKK3"/>
      <c r="SKL3"/>
      <c r="SKM3"/>
      <c r="SKN3"/>
      <c r="SKO3"/>
      <c r="SKP3"/>
      <c r="SKQ3"/>
      <c r="SKR3"/>
      <c r="SKS3"/>
      <c r="SKT3"/>
      <c r="SKU3"/>
      <c r="SKV3"/>
      <c r="SKW3"/>
      <c r="SKX3"/>
      <c r="SKY3"/>
      <c r="SKZ3"/>
      <c r="SLA3"/>
      <c r="SLB3"/>
      <c r="SLC3"/>
      <c r="SLD3"/>
      <c r="SLE3"/>
      <c r="SLF3"/>
      <c r="SLG3"/>
      <c r="SLH3"/>
      <c r="SLI3"/>
      <c r="SLJ3"/>
      <c r="SLK3"/>
      <c r="SLL3"/>
      <c r="SLM3"/>
      <c r="SLN3"/>
      <c r="SLO3"/>
      <c r="SLP3"/>
      <c r="SLQ3"/>
      <c r="SLR3"/>
      <c r="SLS3"/>
      <c r="SLT3"/>
      <c r="SLU3"/>
      <c r="SLV3"/>
      <c r="SLW3"/>
      <c r="SLX3"/>
      <c r="SLY3"/>
      <c r="SLZ3"/>
      <c r="SMA3"/>
      <c r="SMB3"/>
      <c r="SMC3"/>
      <c r="SMD3"/>
      <c r="SME3"/>
      <c r="SMF3"/>
      <c r="SMG3"/>
      <c r="SMH3"/>
      <c r="SMI3"/>
      <c r="SMJ3"/>
      <c r="SMK3"/>
      <c r="SML3"/>
      <c r="SMM3"/>
      <c r="SMN3"/>
      <c r="SMO3"/>
      <c r="SMP3"/>
      <c r="SMQ3"/>
      <c r="SMR3"/>
      <c r="SMS3"/>
      <c r="SMT3"/>
      <c r="SMU3"/>
      <c r="SMV3"/>
      <c r="SMW3"/>
      <c r="SMX3"/>
      <c r="SMY3"/>
      <c r="SMZ3"/>
      <c r="SNA3"/>
      <c r="SNB3"/>
      <c r="SNC3"/>
      <c r="SND3"/>
      <c r="SNE3"/>
      <c r="SNF3"/>
      <c r="SNG3"/>
      <c r="SNH3"/>
      <c r="SNI3"/>
      <c r="SNJ3"/>
      <c r="SNK3"/>
      <c r="SNL3"/>
      <c r="SNM3"/>
      <c r="SNN3"/>
      <c r="SNO3"/>
      <c r="SNP3"/>
      <c r="SNQ3"/>
      <c r="SNR3"/>
      <c r="SNS3"/>
      <c r="SNT3"/>
      <c r="SNU3"/>
      <c r="SNV3"/>
      <c r="SNW3"/>
      <c r="SNX3"/>
      <c r="SNY3"/>
      <c r="SNZ3"/>
      <c r="SOA3"/>
      <c r="SOB3"/>
      <c r="SOC3"/>
      <c r="SOD3"/>
      <c r="SOE3"/>
      <c r="SOF3"/>
      <c r="SOG3"/>
      <c r="SOH3"/>
      <c r="SOI3"/>
      <c r="SOJ3"/>
      <c r="SOK3"/>
      <c r="SOL3"/>
      <c r="SOM3"/>
      <c r="SON3"/>
      <c r="SOO3"/>
      <c r="SOP3"/>
      <c r="SOQ3"/>
      <c r="SOR3"/>
      <c r="SOS3"/>
      <c r="SOT3"/>
      <c r="SOU3"/>
      <c r="SOV3"/>
      <c r="SOW3"/>
      <c r="SOX3"/>
      <c r="SOY3"/>
      <c r="SOZ3"/>
      <c r="SPA3"/>
      <c r="SPB3"/>
      <c r="SPC3"/>
      <c r="SPD3"/>
      <c r="SPE3"/>
      <c r="SPF3"/>
      <c r="SPG3"/>
      <c r="SPH3"/>
      <c r="SPI3"/>
      <c r="SPJ3"/>
      <c r="SPK3"/>
      <c r="SPL3"/>
      <c r="SPM3"/>
      <c r="SPN3"/>
      <c r="SPO3"/>
      <c r="SPP3"/>
      <c r="SPQ3"/>
      <c r="SPR3"/>
      <c r="SPS3"/>
      <c r="SPT3"/>
      <c r="SPU3"/>
      <c r="SPV3"/>
      <c r="SPW3"/>
      <c r="SPX3"/>
      <c r="SPY3"/>
      <c r="SPZ3"/>
      <c r="SQA3"/>
      <c r="SQB3"/>
      <c r="SQC3"/>
      <c r="SQD3"/>
      <c r="SQE3"/>
      <c r="SQF3"/>
      <c r="SQG3"/>
      <c r="SQH3"/>
      <c r="SQI3"/>
      <c r="SQJ3"/>
      <c r="SQK3"/>
      <c r="SQL3"/>
      <c r="SQM3"/>
      <c r="SQN3"/>
      <c r="SQO3"/>
      <c r="SQP3"/>
      <c r="SQQ3"/>
      <c r="SQR3"/>
      <c r="SQS3"/>
      <c r="SQT3"/>
      <c r="SQU3"/>
      <c r="SQV3"/>
      <c r="SQW3"/>
      <c r="SQX3"/>
      <c r="SQY3"/>
      <c r="SQZ3"/>
      <c r="SRA3"/>
      <c r="SRB3"/>
      <c r="SRC3"/>
      <c r="SRD3"/>
      <c r="SRE3"/>
      <c r="SRF3"/>
      <c r="SRG3"/>
      <c r="SRH3"/>
      <c r="SRI3"/>
      <c r="SRJ3"/>
      <c r="SRK3"/>
      <c r="SRL3"/>
      <c r="SRM3"/>
      <c r="SRN3"/>
      <c r="SRO3"/>
      <c r="SRP3"/>
      <c r="SRQ3"/>
      <c r="SRR3"/>
      <c r="SRS3"/>
      <c r="SRT3"/>
      <c r="SRU3"/>
      <c r="SRV3"/>
      <c r="SRW3"/>
      <c r="SRX3"/>
      <c r="SRY3"/>
      <c r="SRZ3"/>
      <c r="SSA3"/>
      <c r="SSB3"/>
      <c r="SSC3"/>
      <c r="SSD3"/>
      <c r="SSE3"/>
      <c r="SSF3"/>
      <c r="SSG3"/>
      <c r="SSH3"/>
      <c r="SSI3"/>
      <c r="SSJ3"/>
      <c r="SSK3"/>
      <c r="SSL3"/>
      <c r="SSM3"/>
      <c r="SSN3"/>
      <c r="SSO3"/>
      <c r="SSP3"/>
      <c r="SSQ3"/>
      <c r="SSR3"/>
      <c r="SSS3"/>
      <c r="SST3"/>
      <c r="SSU3"/>
      <c r="SSV3"/>
      <c r="SSW3"/>
      <c r="SSX3"/>
      <c r="SSY3"/>
      <c r="SSZ3"/>
      <c r="STA3"/>
      <c r="STB3"/>
      <c r="STC3"/>
      <c r="STD3"/>
      <c r="STE3"/>
      <c r="STF3"/>
      <c r="STG3"/>
      <c r="STH3"/>
      <c r="STI3"/>
      <c r="STJ3"/>
      <c r="STK3"/>
      <c r="STL3"/>
      <c r="STM3"/>
      <c r="STN3"/>
      <c r="STO3"/>
      <c r="STP3"/>
      <c r="STQ3"/>
      <c r="STR3"/>
      <c r="STS3"/>
      <c r="STT3"/>
      <c r="STU3"/>
      <c r="STV3"/>
      <c r="STW3"/>
      <c r="STX3"/>
      <c r="STY3"/>
      <c r="STZ3"/>
      <c r="SUA3"/>
      <c r="SUB3"/>
      <c r="SUC3"/>
      <c r="SUD3"/>
      <c r="SUE3"/>
      <c r="SUF3"/>
      <c r="SUG3"/>
      <c r="SUH3"/>
      <c r="SUI3"/>
      <c r="SUJ3"/>
      <c r="SUK3"/>
      <c r="SUL3"/>
      <c r="SUM3"/>
      <c r="SUN3"/>
      <c r="SUO3"/>
      <c r="SUP3"/>
      <c r="SUQ3"/>
      <c r="SUR3"/>
      <c r="SUS3"/>
      <c r="SUT3"/>
      <c r="SUU3"/>
      <c r="SUV3"/>
      <c r="SUW3"/>
      <c r="SUX3"/>
      <c r="SUY3"/>
      <c r="SUZ3"/>
      <c r="SVA3"/>
      <c r="SVB3"/>
      <c r="SVC3"/>
      <c r="SVD3"/>
      <c r="SVE3"/>
      <c r="SVF3"/>
      <c r="SVG3"/>
      <c r="SVH3"/>
      <c r="SVI3"/>
      <c r="SVJ3"/>
      <c r="SVK3"/>
      <c r="SVL3"/>
      <c r="SVM3"/>
      <c r="SVN3"/>
      <c r="SVO3"/>
      <c r="SVP3"/>
      <c r="SVQ3"/>
      <c r="SVR3"/>
      <c r="SVS3"/>
      <c r="SVT3"/>
      <c r="SVU3"/>
      <c r="SVV3"/>
      <c r="SVW3"/>
      <c r="SVX3"/>
      <c r="SVY3"/>
      <c r="SVZ3"/>
      <c r="SWA3"/>
      <c r="SWB3"/>
      <c r="SWC3"/>
      <c r="SWD3"/>
      <c r="SWE3"/>
      <c r="SWF3"/>
      <c r="SWG3"/>
      <c r="SWH3"/>
      <c r="SWI3"/>
      <c r="SWJ3"/>
      <c r="SWK3"/>
      <c r="SWL3"/>
      <c r="SWM3"/>
      <c r="SWN3"/>
      <c r="SWO3"/>
      <c r="SWP3"/>
      <c r="SWQ3"/>
      <c r="SWR3"/>
      <c r="SWS3"/>
      <c r="SWT3"/>
      <c r="SWU3"/>
      <c r="SWV3"/>
      <c r="SWW3"/>
      <c r="SWX3"/>
      <c r="SWY3"/>
      <c r="SWZ3"/>
      <c r="SXA3"/>
      <c r="SXB3"/>
      <c r="SXC3"/>
      <c r="SXD3"/>
      <c r="SXE3"/>
      <c r="SXF3"/>
      <c r="SXG3"/>
      <c r="SXH3"/>
      <c r="SXI3"/>
      <c r="SXJ3"/>
      <c r="SXK3"/>
      <c r="SXL3"/>
      <c r="SXM3"/>
      <c r="SXN3"/>
      <c r="SXO3"/>
      <c r="SXP3"/>
      <c r="SXQ3"/>
      <c r="SXR3"/>
      <c r="SXS3"/>
      <c r="SXT3"/>
      <c r="SXU3"/>
      <c r="SXV3"/>
      <c r="SXW3"/>
      <c r="SXX3"/>
      <c r="SXY3"/>
      <c r="SXZ3"/>
      <c r="SYA3"/>
      <c r="SYB3"/>
      <c r="SYC3"/>
      <c r="SYD3"/>
      <c r="SYE3"/>
      <c r="SYF3"/>
      <c r="SYG3"/>
      <c r="SYH3"/>
      <c r="SYI3"/>
      <c r="SYJ3"/>
      <c r="SYK3"/>
      <c r="SYL3"/>
      <c r="SYM3"/>
      <c r="SYN3"/>
      <c r="SYO3"/>
      <c r="SYP3"/>
      <c r="SYQ3"/>
      <c r="SYR3"/>
      <c r="SYS3"/>
      <c r="SYT3"/>
      <c r="SYU3"/>
      <c r="SYV3"/>
      <c r="SYW3"/>
      <c r="SYX3"/>
      <c r="SYY3"/>
      <c r="SYZ3"/>
      <c r="SZA3"/>
      <c r="SZB3"/>
      <c r="SZC3"/>
      <c r="SZD3"/>
      <c r="SZE3"/>
      <c r="SZF3"/>
      <c r="SZG3"/>
      <c r="SZH3"/>
      <c r="SZI3"/>
      <c r="SZJ3"/>
      <c r="SZK3"/>
      <c r="SZL3"/>
      <c r="SZM3"/>
      <c r="SZN3"/>
      <c r="SZO3"/>
      <c r="SZP3"/>
      <c r="SZQ3"/>
      <c r="SZR3"/>
      <c r="SZS3"/>
      <c r="SZT3"/>
      <c r="SZU3"/>
      <c r="SZV3"/>
      <c r="SZW3"/>
      <c r="SZX3"/>
      <c r="SZY3"/>
      <c r="SZZ3"/>
      <c r="TAA3"/>
      <c r="TAB3"/>
      <c r="TAC3"/>
      <c r="TAD3"/>
      <c r="TAE3"/>
      <c r="TAF3"/>
      <c r="TAG3"/>
      <c r="TAH3"/>
      <c r="TAI3"/>
      <c r="TAJ3"/>
      <c r="TAK3"/>
      <c r="TAL3"/>
      <c r="TAM3"/>
      <c r="TAN3"/>
      <c r="TAO3"/>
      <c r="TAP3"/>
      <c r="TAQ3"/>
      <c r="TAR3"/>
      <c r="TAS3"/>
      <c r="TAT3"/>
      <c r="TAU3"/>
      <c r="TAV3"/>
      <c r="TAW3"/>
      <c r="TAX3"/>
      <c r="TAY3"/>
      <c r="TAZ3"/>
      <c r="TBA3"/>
      <c r="TBB3"/>
      <c r="TBC3"/>
      <c r="TBD3"/>
      <c r="TBE3"/>
      <c r="TBF3"/>
      <c r="TBG3"/>
      <c r="TBH3"/>
      <c r="TBI3"/>
      <c r="TBJ3"/>
      <c r="TBK3"/>
      <c r="TBL3"/>
      <c r="TBM3"/>
      <c r="TBN3"/>
      <c r="TBO3"/>
      <c r="TBP3"/>
      <c r="TBQ3"/>
      <c r="TBR3"/>
      <c r="TBS3"/>
      <c r="TBT3"/>
      <c r="TBU3"/>
      <c r="TBV3"/>
      <c r="TBW3"/>
      <c r="TBX3"/>
      <c r="TBY3"/>
      <c r="TBZ3"/>
      <c r="TCA3"/>
      <c r="TCB3"/>
      <c r="TCC3"/>
      <c r="TCD3"/>
      <c r="TCE3"/>
      <c r="TCF3"/>
      <c r="TCG3"/>
      <c r="TCH3"/>
      <c r="TCI3"/>
      <c r="TCJ3"/>
      <c r="TCK3"/>
      <c r="TCL3"/>
      <c r="TCM3"/>
      <c r="TCN3"/>
      <c r="TCO3"/>
      <c r="TCP3"/>
      <c r="TCQ3"/>
      <c r="TCR3"/>
      <c r="TCS3"/>
      <c r="TCT3"/>
      <c r="TCU3"/>
      <c r="TCV3"/>
      <c r="TCW3"/>
      <c r="TCX3"/>
      <c r="TCY3"/>
      <c r="TCZ3"/>
      <c r="TDA3"/>
      <c r="TDB3"/>
      <c r="TDC3"/>
      <c r="TDD3"/>
      <c r="TDE3"/>
      <c r="TDF3"/>
      <c r="TDG3"/>
      <c r="TDH3"/>
      <c r="TDI3"/>
      <c r="TDJ3"/>
      <c r="TDK3"/>
      <c r="TDL3"/>
      <c r="TDM3"/>
      <c r="TDN3"/>
      <c r="TDO3"/>
      <c r="TDP3"/>
      <c r="TDQ3"/>
      <c r="TDR3"/>
      <c r="TDS3"/>
      <c r="TDT3"/>
      <c r="TDU3"/>
      <c r="TDV3"/>
      <c r="TDW3"/>
      <c r="TDX3"/>
      <c r="TDY3"/>
      <c r="TDZ3"/>
      <c r="TEA3"/>
      <c r="TEB3"/>
      <c r="TEC3"/>
      <c r="TED3"/>
      <c r="TEE3"/>
      <c r="TEF3"/>
      <c r="TEG3"/>
      <c r="TEH3"/>
      <c r="TEI3"/>
      <c r="TEJ3"/>
      <c r="TEK3"/>
      <c r="TEL3"/>
      <c r="TEM3"/>
      <c r="TEN3"/>
      <c r="TEO3"/>
      <c r="TEP3"/>
      <c r="TEQ3"/>
      <c r="TER3"/>
      <c r="TES3"/>
      <c r="TET3"/>
      <c r="TEU3"/>
      <c r="TEV3"/>
      <c r="TEW3"/>
      <c r="TEX3"/>
      <c r="TEY3"/>
      <c r="TEZ3"/>
      <c r="TFA3"/>
      <c r="TFB3"/>
      <c r="TFC3"/>
      <c r="TFD3"/>
      <c r="TFE3"/>
      <c r="TFF3"/>
      <c r="TFG3"/>
      <c r="TFH3"/>
      <c r="TFI3"/>
      <c r="TFJ3"/>
      <c r="TFK3"/>
      <c r="TFL3"/>
      <c r="TFM3"/>
      <c r="TFN3"/>
      <c r="TFO3"/>
      <c r="TFP3"/>
      <c r="TFQ3"/>
      <c r="TFR3"/>
      <c r="TFS3"/>
      <c r="TFT3"/>
      <c r="TFU3"/>
      <c r="TFV3"/>
      <c r="TFW3"/>
      <c r="TFX3"/>
      <c r="TFY3"/>
      <c r="TFZ3"/>
      <c r="TGA3"/>
      <c r="TGB3"/>
      <c r="TGC3"/>
      <c r="TGD3"/>
      <c r="TGE3"/>
      <c r="TGF3"/>
      <c r="TGG3"/>
      <c r="TGH3"/>
      <c r="TGI3"/>
      <c r="TGJ3"/>
      <c r="TGK3"/>
      <c r="TGL3"/>
      <c r="TGM3"/>
      <c r="TGN3"/>
      <c r="TGO3"/>
      <c r="TGP3"/>
      <c r="TGQ3"/>
      <c r="TGR3"/>
      <c r="TGS3"/>
      <c r="TGT3"/>
      <c r="TGU3"/>
      <c r="TGV3"/>
      <c r="TGW3"/>
      <c r="TGX3"/>
      <c r="TGY3"/>
      <c r="TGZ3"/>
      <c r="THA3"/>
      <c r="THB3"/>
      <c r="THC3"/>
      <c r="THD3"/>
      <c r="THE3"/>
      <c r="THF3"/>
      <c r="THG3"/>
      <c r="THH3"/>
      <c r="THI3"/>
      <c r="THJ3"/>
      <c r="THK3"/>
      <c r="THL3"/>
      <c r="THM3"/>
      <c r="THN3"/>
      <c r="THO3"/>
      <c r="THP3"/>
      <c r="THQ3"/>
      <c r="THR3"/>
      <c r="THS3"/>
      <c r="THT3"/>
      <c r="THU3"/>
      <c r="THV3"/>
      <c r="THW3"/>
      <c r="THX3"/>
      <c r="THY3"/>
      <c r="THZ3"/>
      <c r="TIA3"/>
      <c r="TIB3"/>
      <c r="TIC3"/>
      <c r="TID3"/>
      <c r="TIE3"/>
      <c r="TIF3"/>
      <c r="TIG3"/>
      <c r="TIH3"/>
      <c r="TII3"/>
      <c r="TIJ3"/>
      <c r="TIK3"/>
      <c r="TIL3"/>
      <c r="TIM3"/>
      <c r="TIN3"/>
      <c r="TIO3"/>
      <c r="TIP3"/>
      <c r="TIQ3"/>
      <c r="TIR3"/>
      <c r="TIS3"/>
      <c r="TIT3"/>
      <c r="TIU3"/>
      <c r="TIV3"/>
      <c r="TIW3"/>
      <c r="TIX3"/>
      <c r="TIY3"/>
      <c r="TIZ3"/>
      <c r="TJA3"/>
      <c r="TJB3"/>
      <c r="TJC3"/>
      <c r="TJD3"/>
      <c r="TJE3"/>
      <c r="TJF3"/>
      <c r="TJG3"/>
      <c r="TJH3"/>
      <c r="TJI3"/>
      <c r="TJJ3"/>
      <c r="TJK3"/>
      <c r="TJL3"/>
      <c r="TJM3"/>
      <c r="TJN3"/>
      <c r="TJO3"/>
      <c r="TJP3"/>
      <c r="TJQ3"/>
      <c r="TJR3"/>
      <c r="TJS3"/>
      <c r="TJT3"/>
      <c r="TJU3"/>
      <c r="TJV3"/>
      <c r="TJW3"/>
      <c r="TJX3"/>
      <c r="TJY3"/>
      <c r="TJZ3"/>
      <c r="TKA3"/>
      <c r="TKB3"/>
      <c r="TKC3"/>
      <c r="TKD3"/>
      <c r="TKE3"/>
      <c r="TKF3"/>
      <c r="TKG3"/>
      <c r="TKH3"/>
      <c r="TKI3"/>
      <c r="TKJ3"/>
      <c r="TKK3"/>
      <c r="TKL3"/>
      <c r="TKM3"/>
      <c r="TKN3"/>
      <c r="TKO3"/>
      <c r="TKP3"/>
      <c r="TKQ3"/>
      <c r="TKR3"/>
      <c r="TKS3"/>
      <c r="TKT3"/>
      <c r="TKU3"/>
      <c r="TKV3"/>
      <c r="TKW3"/>
      <c r="TKX3"/>
      <c r="TKY3"/>
      <c r="TKZ3"/>
      <c r="TLA3"/>
      <c r="TLB3"/>
      <c r="TLC3"/>
      <c r="TLD3"/>
      <c r="TLE3"/>
      <c r="TLF3"/>
      <c r="TLG3"/>
      <c r="TLH3"/>
      <c r="TLI3"/>
      <c r="TLJ3"/>
      <c r="TLK3"/>
      <c r="TLL3"/>
      <c r="TLM3"/>
      <c r="TLN3"/>
      <c r="TLO3"/>
      <c r="TLP3"/>
      <c r="TLQ3"/>
      <c r="TLR3"/>
      <c r="TLS3"/>
      <c r="TLT3"/>
      <c r="TLU3"/>
      <c r="TLV3"/>
      <c r="TLW3"/>
      <c r="TLX3"/>
      <c r="TLY3"/>
      <c r="TLZ3"/>
      <c r="TMA3"/>
      <c r="TMB3"/>
      <c r="TMC3"/>
      <c r="TMD3"/>
      <c r="TME3"/>
      <c r="TMF3"/>
      <c r="TMG3"/>
      <c r="TMH3"/>
      <c r="TMI3"/>
      <c r="TMJ3"/>
      <c r="TMK3"/>
      <c r="TML3"/>
      <c r="TMM3"/>
      <c r="TMN3"/>
      <c r="TMO3"/>
      <c r="TMP3"/>
      <c r="TMQ3"/>
      <c r="TMR3"/>
      <c r="TMS3"/>
      <c r="TMT3"/>
      <c r="TMU3"/>
      <c r="TMV3"/>
      <c r="TMW3"/>
      <c r="TMX3"/>
      <c r="TMY3"/>
      <c r="TMZ3"/>
      <c r="TNA3"/>
      <c r="TNB3"/>
      <c r="TNC3"/>
      <c r="TND3"/>
      <c r="TNE3"/>
      <c r="TNF3"/>
      <c r="TNG3"/>
      <c r="TNH3"/>
      <c r="TNI3"/>
      <c r="TNJ3"/>
      <c r="TNK3"/>
      <c r="TNL3"/>
      <c r="TNM3"/>
      <c r="TNN3"/>
      <c r="TNO3"/>
      <c r="TNP3"/>
      <c r="TNQ3"/>
      <c r="TNR3"/>
      <c r="TNS3"/>
      <c r="TNT3"/>
      <c r="TNU3"/>
      <c r="TNV3"/>
      <c r="TNW3"/>
      <c r="TNX3"/>
      <c r="TNY3"/>
      <c r="TNZ3"/>
      <c r="TOA3"/>
      <c r="TOB3"/>
      <c r="TOC3"/>
      <c r="TOD3"/>
      <c r="TOE3"/>
      <c r="TOF3"/>
      <c r="TOG3"/>
      <c r="TOH3"/>
      <c r="TOI3"/>
      <c r="TOJ3"/>
      <c r="TOK3"/>
      <c r="TOL3"/>
      <c r="TOM3"/>
      <c r="TON3"/>
      <c r="TOO3"/>
      <c r="TOP3"/>
      <c r="TOQ3"/>
      <c r="TOR3"/>
      <c r="TOS3"/>
      <c r="TOT3"/>
      <c r="TOU3"/>
      <c r="TOV3"/>
      <c r="TOW3"/>
      <c r="TOX3"/>
      <c r="TOY3"/>
      <c r="TOZ3"/>
      <c r="TPA3"/>
      <c r="TPB3"/>
      <c r="TPC3"/>
      <c r="TPD3"/>
      <c r="TPE3"/>
      <c r="TPF3"/>
      <c r="TPG3"/>
      <c r="TPH3"/>
      <c r="TPI3"/>
      <c r="TPJ3"/>
      <c r="TPK3"/>
      <c r="TPL3"/>
      <c r="TPM3"/>
      <c r="TPN3"/>
      <c r="TPO3"/>
      <c r="TPP3"/>
      <c r="TPQ3"/>
      <c r="TPR3"/>
      <c r="TPS3"/>
      <c r="TPT3"/>
      <c r="TPU3"/>
      <c r="TPV3"/>
      <c r="TPW3"/>
      <c r="TPX3"/>
      <c r="TPY3"/>
      <c r="TPZ3"/>
      <c r="TQA3"/>
      <c r="TQB3"/>
      <c r="TQC3"/>
      <c r="TQD3"/>
      <c r="TQE3"/>
      <c r="TQF3"/>
      <c r="TQG3"/>
      <c r="TQH3"/>
      <c r="TQI3"/>
      <c r="TQJ3"/>
      <c r="TQK3"/>
      <c r="TQL3"/>
      <c r="TQM3"/>
      <c r="TQN3"/>
      <c r="TQO3"/>
      <c r="TQP3"/>
      <c r="TQQ3"/>
      <c r="TQR3"/>
      <c r="TQS3"/>
      <c r="TQT3"/>
      <c r="TQU3"/>
      <c r="TQV3"/>
      <c r="TQW3"/>
      <c r="TQX3"/>
      <c r="TQY3"/>
      <c r="TQZ3"/>
      <c r="TRA3"/>
      <c r="TRB3"/>
      <c r="TRC3"/>
      <c r="TRD3"/>
      <c r="TRE3"/>
      <c r="TRF3"/>
      <c r="TRG3"/>
      <c r="TRH3"/>
      <c r="TRI3"/>
      <c r="TRJ3"/>
      <c r="TRK3"/>
      <c r="TRL3"/>
      <c r="TRM3"/>
      <c r="TRN3"/>
      <c r="TRO3"/>
      <c r="TRP3"/>
      <c r="TRQ3"/>
      <c r="TRR3"/>
      <c r="TRS3"/>
      <c r="TRT3"/>
      <c r="TRU3"/>
      <c r="TRV3"/>
      <c r="TRW3"/>
      <c r="TRX3"/>
      <c r="TRY3"/>
      <c r="TRZ3"/>
      <c r="TSA3"/>
      <c r="TSB3"/>
      <c r="TSC3"/>
      <c r="TSD3"/>
      <c r="TSE3"/>
      <c r="TSF3"/>
      <c r="TSG3"/>
      <c r="TSH3"/>
      <c r="TSI3"/>
      <c r="TSJ3"/>
      <c r="TSK3"/>
      <c r="TSL3"/>
      <c r="TSM3"/>
      <c r="TSN3"/>
      <c r="TSO3"/>
      <c r="TSP3"/>
      <c r="TSQ3"/>
      <c r="TSR3"/>
      <c r="TSS3"/>
      <c r="TST3"/>
      <c r="TSU3"/>
      <c r="TSV3"/>
      <c r="TSW3"/>
      <c r="TSX3"/>
      <c r="TSY3"/>
      <c r="TSZ3"/>
      <c r="TTA3"/>
      <c r="TTB3"/>
      <c r="TTC3"/>
      <c r="TTD3"/>
      <c r="TTE3"/>
      <c r="TTF3"/>
      <c r="TTG3"/>
      <c r="TTH3"/>
      <c r="TTI3"/>
      <c r="TTJ3"/>
      <c r="TTK3"/>
      <c r="TTL3"/>
      <c r="TTM3"/>
      <c r="TTN3"/>
      <c r="TTO3"/>
      <c r="TTP3"/>
      <c r="TTQ3"/>
      <c r="TTR3"/>
      <c r="TTS3"/>
      <c r="TTT3"/>
      <c r="TTU3"/>
      <c r="TTV3"/>
      <c r="TTW3"/>
      <c r="TTX3"/>
      <c r="TTY3"/>
      <c r="TTZ3"/>
      <c r="TUA3"/>
      <c r="TUB3"/>
      <c r="TUC3"/>
      <c r="TUD3"/>
      <c r="TUE3"/>
      <c r="TUF3"/>
      <c r="TUG3"/>
      <c r="TUH3"/>
      <c r="TUI3"/>
      <c r="TUJ3"/>
      <c r="TUK3"/>
      <c r="TUL3"/>
      <c r="TUM3"/>
      <c r="TUN3"/>
      <c r="TUO3"/>
      <c r="TUP3"/>
      <c r="TUQ3"/>
      <c r="TUR3"/>
      <c r="TUS3"/>
      <c r="TUT3"/>
      <c r="TUU3"/>
      <c r="TUV3"/>
      <c r="TUW3"/>
      <c r="TUX3"/>
      <c r="TUY3"/>
      <c r="TUZ3"/>
      <c r="TVA3"/>
      <c r="TVB3"/>
      <c r="TVC3"/>
      <c r="TVD3"/>
      <c r="TVE3"/>
      <c r="TVF3"/>
      <c r="TVG3"/>
      <c r="TVH3"/>
      <c r="TVI3"/>
      <c r="TVJ3"/>
      <c r="TVK3"/>
      <c r="TVL3"/>
      <c r="TVM3"/>
      <c r="TVN3"/>
      <c r="TVO3"/>
      <c r="TVP3"/>
      <c r="TVQ3"/>
      <c r="TVR3"/>
      <c r="TVS3"/>
      <c r="TVT3"/>
      <c r="TVU3"/>
      <c r="TVV3"/>
      <c r="TVW3"/>
      <c r="TVX3"/>
      <c r="TVY3"/>
      <c r="TVZ3"/>
      <c r="TWA3"/>
      <c r="TWB3"/>
      <c r="TWC3"/>
      <c r="TWD3"/>
      <c r="TWE3"/>
      <c r="TWF3"/>
      <c r="TWG3"/>
      <c r="TWH3"/>
      <c r="TWI3"/>
      <c r="TWJ3"/>
      <c r="TWK3"/>
      <c r="TWL3"/>
      <c r="TWM3"/>
      <c r="TWN3"/>
      <c r="TWO3"/>
      <c r="TWP3"/>
      <c r="TWQ3"/>
      <c r="TWR3"/>
      <c r="TWS3"/>
      <c r="TWT3"/>
      <c r="TWU3"/>
      <c r="TWV3"/>
      <c r="TWW3"/>
      <c r="TWX3"/>
      <c r="TWY3"/>
      <c r="TWZ3"/>
      <c r="TXA3"/>
      <c r="TXB3"/>
      <c r="TXC3"/>
      <c r="TXD3"/>
      <c r="TXE3"/>
      <c r="TXF3"/>
      <c r="TXG3"/>
      <c r="TXH3"/>
      <c r="TXI3"/>
      <c r="TXJ3"/>
      <c r="TXK3"/>
      <c r="TXL3"/>
      <c r="TXM3"/>
      <c r="TXN3"/>
      <c r="TXO3"/>
      <c r="TXP3"/>
      <c r="TXQ3"/>
      <c r="TXR3"/>
      <c r="TXS3"/>
      <c r="TXT3"/>
      <c r="TXU3"/>
      <c r="TXV3"/>
      <c r="TXW3"/>
      <c r="TXX3"/>
      <c r="TXY3"/>
      <c r="TXZ3"/>
      <c r="TYA3"/>
      <c r="TYB3"/>
      <c r="TYC3"/>
      <c r="TYD3"/>
      <c r="TYE3"/>
      <c r="TYF3"/>
      <c r="TYG3"/>
      <c r="TYH3"/>
      <c r="TYI3"/>
      <c r="TYJ3"/>
      <c r="TYK3"/>
      <c r="TYL3"/>
      <c r="TYM3"/>
      <c r="TYN3"/>
      <c r="TYO3"/>
      <c r="TYP3"/>
      <c r="TYQ3"/>
      <c r="TYR3"/>
      <c r="TYS3"/>
      <c r="TYT3"/>
      <c r="TYU3"/>
      <c r="TYV3"/>
      <c r="TYW3"/>
      <c r="TYX3"/>
      <c r="TYY3"/>
      <c r="TYZ3"/>
      <c r="TZA3"/>
      <c r="TZB3"/>
      <c r="TZC3"/>
      <c r="TZD3"/>
      <c r="TZE3"/>
      <c r="TZF3"/>
      <c r="TZG3"/>
      <c r="TZH3"/>
      <c r="TZI3"/>
      <c r="TZJ3"/>
      <c r="TZK3"/>
      <c r="TZL3"/>
      <c r="TZM3"/>
      <c r="TZN3"/>
      <c r="TZO3"/>
      <c r="TZP3"/>
      <c r="TZQ3"/>
      <c r="TZR3"/>
      <c r="TZS3"/>
      <c r="TZT3"/>
      <c r="TZU3"/>
      <c r="TZV3"/>
      <c r="TZW3"/>
      <c r="TZX3"/>
      <c r="TZY3"/>
      <c r="TZZ3"/>
      <c r="UAA3"/>
      <c r="UAB3"/>
      <c r="UAC3"/>
      <c r="UAD3"/>
      <c r="UAE3"/>
      <c r="UAF3"/>
      <c r="UAG3"/>
      <c r="UAH3"/>
      <c r="UAI3"/>
      <c r="UAJ3"/>
      <c r="UAK3"/>
      <c r="UAL3"/>
      <c r="UAM3"/>
      <c r="UAN3"/>
      <c r="UAO3"/>
      <c r="UAP3"/>
      <c r="UAQ3"/>
      <c r="UAR3"/>
      <c r="UAS3"/>
      <c r="UAT3"/>
      <c r="UAU3"/>
      <c r="UAV3"/>
      <c r="UAW3"/>
      <c r="UAX3"/>
      <c r="UAY3"/>
      <c r="UAZ3"/>
      <c r="UBA3"/>
      <c r="UBB3"/>
      <c r="UBC3"/>
      <c r="UBD3"/>
      <c r="UBE3"/>
      <c r="UBF3"/>
      <c r="UBG3"/>
      <c r="UBH3"/>
      <c r="UBI3"/>
      <c r="UBJ3"/>
      <c r="UBK3"/>
      <c r="UBL3"/>
      <c r="UBM3"/>
      <c r="UBN3"/>
      <c r="UBO3"/>
      <c r="UBP3"/>
      <c r="UBQ3"/>
      <c r="UBR3"/>
      <c r="UBS3"/>
      <c r="UBT3"/>
      <c r="UBU3"/>
      <c r="UBV3"/>
      <c r="UBW3"/>
      <c r="UBX3"/>
      <c r="UBY3"/>
      <c r="UBZ3"/>
      <c r="UCA3"/>
      <c r="UCB3"/>
      <c r="UCC3"/>
      <c r="UCD3"/>
      <c r="UCE3"/>
      <c r="UCF3"/>
      <c r="UCG3"/>
      <c r="UCH3"/>
      <c r="UCI3"/>
      <c r="UCJ3"/>
      <c r="UCK3"/>
      <c r="UCL3"/>
      <c r="UCM3"/>
      <c r="UCN3"/>
      <c r="UCO3"/>
      <c r="UCP3"/>
      <c r="UCQ3"/>
      <c r="UCR3"/>
      <c r="UCS3"/>
      <c r="UCT3"/>
      <c r="UCU3"/>
      <c r="UCV3"/>
      <c r="UCW3"/>
      <c r="UCX3"/>
      <c r="UCY3"/>
      <c r="UCZ3"/>
      <c r="UDA3"/>
      <c r="UDB3"/>
      <c r="UDC3"/>
      <c r="UDD3"/>
      <c r="UDE3"/>
      <c r="UDF3"/>
      <c r="UDG3"/>
      <c r="UDH3"/>
      <c r="UDI3"/>
      <c r="UDJ3"/>
      <c r="UDK3"/>
      <c r="UDL3"/>
      <c r="UDM3"/>
      <c r="UDN3"/>
      <c r="UDO3"/>
      <c r="UDP3"/>
      <c r="UDQ3"/>
      <c r="UDR3"/>
      <c r="UDS3"/>
      <c r="UDT3"/>
      <c r="UDU3"/>
      <c r="UDV3"/>
      <c r="UDW3"/>
      <c r="UDX3"/>
      <c r="UDY3"/>
      <c r="UDZ3"/>
      <c r="UEA3"/>
      <c r="UEB3"/>
      <c r="UEC3"/>
      <c r="UED3"/>
      <c r="UEE3"/>
      <c r="UEF3"/>
      <c r="UEG3"/>
      <c r="UEH3"/>
      <c r="UEI3"/>
      <c r="UEJ3"/>
      <c r="UEK3"/>
      <c r="UEL3"/>
      <c r="UEM3"/>
      <c r="UEN3"/>
      <c r="UEO3"/>
      <c r="UEP3"/>
      <c r="UEQ3"/>
      <c r="UER3"/>
      <c r="UES3"/>
      <c r="UET3"/>
      <c r="UEU3"/>
      <c r="UEV3"/>
      <c r="UEW3"/>
      <c r="UEX3"/>
      <c r="UEY3"/>
      <c r="UEZ3"/>
      <c r="UFA3"/>
      <c r="UFB3"/>
      <c r="UFC3"/>
      <c r="UFD3"/>
      <c r="UFE3"/>
      <c r="UFF3"/>
      <c r="UFG3"/>
      <c r="UFH3"/>
      <c r="UFI3"/>
      <c r="UFJ3"/>
      <c r="UFK3"/>
      <c r="UFL3"/>
      <c r="UFM3"/>
      <c r="UFN3"/>
      <c r="UFO3"/>
      <c r="UFP3"/>
      <c r="UFQ3"/>
      <c r="UFR3"/>
      <c r="UFS3"/>
      <c r="UFT3"/>
      <c r="UFU3"/>
      <c r="UFV3"/>
      <c r="UFW3"/>
      <c r="UFX3"/>
      <c r="UFY3"/>
      <c r="UFZ3"/>
      <c r="UGA3"/>
      <c r="UGB3"/>
      <c r="UGC3"/>
      <c r="UGD3"/>
      <c r="UGE3"/>
      <c r="UGF3"/>
      <c r="UGG3"/>
      <c r="UGH3"/>
      <c r="UGI3"/>
      <c r="UGJ3"/>
      <c r="UGK3"/>
      <c r="UGL3"/>
      <c r="UGM3"/>
      <c r="UGN3"/>
      <c r="UGO3"/>
      <c r="UGP3"/>
      <c r="UGQ3"/>
      <c r="UGR3"/>
      <c r="UGS3"/>
      <c r="UGT3"/>
      <c r="UGU3"/>
      <c r="UGV3"/>
      <c r="UGW3"/>
      <c r="UGX3"/>
      <c r="UGY3"/>
      <c r="UGZ3"/>
      <c r="UHA3"/>
      <c r="UHB3"/>
      <c r="UHC3"/>
      <c r="UHD3"/>
      <c r="UHE3"/>
      <c r="UHF3"/>
      <c r="UHG3"/>
      <c r="UHH3"/>
      <c r="UHI3"/>
      <c r="UHJ3"/>
      <c r="UHK3"/>
      <c r="UHL3"/>
      <c r="UHM3"/>
      <c r="UHN3"/>
      <c r="UHO3"/>
      <c r="UHP3"/>
      <c r="UHQ3"/>
      <c r="UHR3"/>
      <c r="UHS3"/>
      <c r="UHT3"/>
      <c r="UHU3"/>
      <c r="UHV3"/>
      <c r="UHW3"/>
      <c r="UHX3"/>
      <c r="UHY3"/>
      <c r="UHZ3"/>
      <c r="UIA3"/>
      <c r="UIB3"/>
      <c r="UIC3"/>
      <c r="UID3"/>
      <c r="UIE3"/>
      <c r="UIF3"/>
      <c r="UIG3"/>
      <c r="UIH3"/>
      <c r="UII3"/>
      <c r="UIJ3"/>
      <c r="UIK3"/>
      <c r="UIL3"/>
      <c r="UIM3"/>
      <c r="UIN3"/>
      <c r="UIO3"/>
      <c r="UIP3"/>
      <c r="UIQ3"/>
      <c r="UIR3"/>
      <c r="UIS3"/>
      <c r="UIT3"/>
      <c r="UIU3"/>
      <c r="UIV3"/>
      <c r="UIW3"/>
      <c r="UIX3"/>
      <c r="UIY3"/>
      <c r="UIZ3"/>
      <c r="UJA3"/>
      <c r="UJB3"/>
      <c r="UJC3"/>
      <c r="UJD3"/>
      <c r="UJE3"/>
      <c r="UJF3"/>
      <c r="UJG3"/>
      <c r="UJH3"/>
      <c r="UJI3"/>
      <c r="UJJ3"/>
      <c r="UJK3"/>
      <c r="UJL3"/>
      <c r="UJM3"/>
      <c r="UJN3"/>
      <c r="UJO3"/>
      <c r="UJP3"/>
      <c r="UJQ3"/>
      <c r="UJR3"/>
      <c r="UJS3"/>
      <c r="UJT3"/>
      <c r="UJU3"/>
      <c r="UJV3"/>
      <c r="UJW3"/>
      <c r="UJX3"/>
      <c r="UJY3"/>
      <c r="UJZ3"/>
      <c r="UKA3"/>
      <c r="UKB3"/>
      <c r="UKC3"/>
      <c r="UKD3"/>
      <c r="UKE3"/>
      <c r="UKF3"/>
      <c r="UKG3"/>
      <c r="UKH3"/>
      <c r="UKI3"/>
      <c r="UKJ3"/>
      <c r="UKK3"/>
      <c r="UKL3"/>
      <c r="UKM3"/>
      <c r="UKN3"/>
      <c r="UKO3"/>
      <c r="UKP3"/>
      <c r="UKQ3"/>
      <c r="UKR3"/>
      <c r="UKS3"/>
      <c r="UKT3"/>
      <c r="UKU3"/>
      <c r="UKV3"/>
      <c r="UKW3"/>
      <c r="UKX3"/>
      <c r="UKY3"/>
      <c r="UKZ3"/>
      <c r="ULA3"/>
      <c r="ULB3"/>
      <c r="ULC3"/>
      <c r="ULD3"/>
      <c r="ULE3"/>
      <c r="ULF3"/>
      <c r="ULG3"/>
      <c r="ULH3"/>
      <c r="ULI3"/>
      <c r="ULJ3"/>
      <c r="ULK3"/>
      <c r="ULL3"/>
      <c r="ULM3"/>
      <c r="ULN3"/>
      <c r="ULO3"/>
      <c r="ULP3"/>
      <c r="ULQ3"/>
      <c r="ULR3"/>
      <c r="ULS3"/>
      <c r="ULT3"/>
      <c r="ULU3"/>
      <c r="ULV3"/>
      <c r="ULW3"/>
      <c r="ULX3"/>
      <c r="ULY3"/>
      <c r="ULZ3"/>
      <c r="UMA3"/>
      <c r="UMB3"/>
      <c r="UMC3"/>
      <c r="UMD3"/>
      <c r="UME3"/>
      <c r="UMF3"/>
      <c r="UMG3"/>
      <c r="UMH3"/>
      <c r="UMI3"/>
      <c r="UMJ3"/>
      <c r="UMK3"/>
      <c r="UML3"/>
      <c r="UMM3"/>
      <c r="UMN3"/>
      <c r="UMO3"/>
      <c r="UMP3"/>
      <c r="UMQ3"/>
      <c r="UMR3"/>
      <c r="UMS3"/>
      <c r="UMT3"/>
      <c r="UMU3"/>
      <c r="UMV3"/>
      <c r="UMW3"/>
      <c r="UMX3"/>
      <c r="UMY3"/>
      <c r="UMZ3"/>
      <c r="UNA3"/>
      <c r="UNB3"/>
      <c r="UNC3"/>
      <c r="UND3"/>
      <c r="UNE3"/>
      <c r="UNF3"/>
      <c r="UNG3"/>
      <c r="UNH3"/>
      <c r="UNI3"/>
      <c r="UNJ3"/>
      <c r="UNK3"/>
      <c r="UNL3"/>
      <c r="UNM3"/>
      <c r="UNN3"/>
      <c r="UNO3"/>
      <c r="UNP3"/>
      <c r="UNQ3"/>
      <c r="UNR3"/>
      <c r="UNS3"/>
      <c r="UNT3"/>
      <c r="UNU3"/>
      <c r="UNV3"/>
      <c r="UNW3"/>
      <c r="UNX3"/>
      <c r="UNY3"/>
      <c r="UNZ3"/>
      <c r="UOA3"/>
      <c r="UOB3"/>
      <c r="UOC3"/>
      <c r="UOD3"/>
      <c r="UOE3"/>
      <c r="UOF3"/>
      <c r="UOG3"/>
      <c r="UOH3"/>
      <c r="UOI3"/>
      <c r="UOJ3"/>
      <c r="UOK3"/>
      <c r="UOL3"/>
      <c r="UOM3"/>
      <c r="UON3"/>
      <c r="UOO3"/>
      <c r="UOP3"/>
      <c r="UOQ3"/>
      <c r="UOR3"/>
      <c r="UOS3"/>
      <c r="UOT3"/>
      <c r="UOU3"/>
      <c r="UOV3"/>
      <c r="UOW3"/>
      <c r="UOX3"/>
      <c r="UOY3"/>
      <c r="UOZ3"/>
      <c r="UPA3"/>
      <c r="UPB3"/>
      <c r="UPC3"/>
      <c r="UPD3"/>
      <c r="UPE3"/>
      <c r="UPF3"/>
      <c r="UPG3"/>
      <c r="UPH3"/>
      <c r="UPI3"/>
      <c r="UPJ3"/>
      <c r="UPK3"/>
      <c r="UPL3"/>
      <c r="UPM3"/>
      <c r="UPN3"/>
      <c r="UPO3"/>
      <c r="UPP3"/>
      <c r="UPQ3"/>
      <c r="UPR3"/>
      <c r="UPS3"/>
      <c r="UPT3"/>
      <c r="UPU3"/>
      <c r="UPV3"/>
      <c r="UPW3"/>
      <c r="UPX3"/>
      <c r="UPY3"/>
      <c r="UPZ3"/>
      <c r="UQA3"/>
      <c r="UQB3"/>
      <c r="UQC3"/>
      <c r="UQD3"/>
      <c r="UQE3"/>
      <c r="UQF3"/>
      <c r="UQG3"/>
      <c r="UQH3"/>
      <c r="UQI3"/>
      <c r="UQJ3"/>
      <c r="UQK3"/>
      <c r="UQL3"/>
      <c r="UQM3"/>
      <c r="UQN3"/>
      <c r="UQO3"/>
      <c r="UQP3"/>
      <c r="UQQ3"/>
      <c r="UQR3"/>
      <c r="UQS3"/>
      <c r="UQT3"/>
      <c r="UQU3"/>
      <c r="UQV3"/>
      <c r="UQW3"/>
      <c r="UQX3"/>
      <c r="UQY3"/>
      <c r="UQZ3"/>
      <c r="URA3"/>
      <c r="URB3"/>
      <c r="URC3"/>
      <c r="URD3"/>
      <c r="URE3"/>
      <c r="URF3"/>
      <c r="URG3"/>
      <c r="URH3"/>
      <c r="URI3"/>
      <c r="URJ3"/>
      <c r="URK3"/>
      <c r="URL3"/>
      <c r="URM3"/>
      <c r="URN3"/>
      <c r="URO3"/>
      <c r="URP3"/>
      <c r="URQ3"/>
      <c r="URR3"/>
      <c r="URS3"/>
      <c r="URT3"/>
      <c r="URU3"/>
      <c r="URV3"/>
      <c r="URW3"/>
      <c r="URX3"/>
      <c r="URY3"/>
      <c r="URZ3"/>
      <c r="USA3"/>
      <c r="USB3"/>
      <c r="USC3"/>
      <c r="USD3"/>
      <c r="USE3"/>
      <c r="USF3"/>
      <c r="USG3"/>
      <c r="USH3"/>
      <c r="USI3"/>
      <c r="USJ3"/>
      <c r="USK3"/>
      <c r="USL3"/>
      <c r="USM3"/>
      <c r="USN3"/>
      <c r="USO3"/>
      <c r="USP3"/>
      <c r="USQ3"/>
      <c r="USR3"/>
      <c r="USS3"/>
      <c r="UST3"/>
      <c r="USU3"/>
      <c r="USV3"/>
      <c r="USW3"/>
      <c r="USX3"/>
      <c r="USY3"/>
      <c r="USZ3"/>
      <c r="UTA3"/>
      <c r="UTB3"/>
      <c r="UTC3"/>
      <c r="UTD3"/>
      <c r="UTE3"/>
      <c r="UTF3"/>
      <c r="UTG3"/>
      <c r="UTH3"/>
      <c r="UTI3"/>
      <c r="UTJ3"/>
      <c r="UTK3"/>
      <c r="UTL3"/>
      <c r="UTM3"/>
      <c r="UTN3"/>
      <c r="UTO3"/>
      <c r="UTP3"/>
      <c r="UTQ3"/>
      <c r="UTR3"/>
      <c r="UTS3"/>
      <c r="UTT3"/>
      <c r="UTU3"/>
      <c r="UTV3"/>
      <c r="UTW3"/>
      <c r="UTX3"/>
      <c r="UTY3"/>
      <c r="UTZ3"/>
      <c r="UUA3"/>
      <c r="UUB3"/>
      <c r="UUC3"/>
      <c r="UUD3"/>
      <c r="UUE3"/>
      <c r="UUF3"/>
      <c r="UUG3"/>
      <c r="UUH3"/>
      <c r="UUI3"/>
      <c r="UUJ3"/>
      <c r="UUK3"/>
      <c r="UUL3"/>
      <c r="UUM3"/>
      <c r="UUN3"/>
      <c r="UUO3"/>
      <c r="UUP3"/>
      <c r="UUQ3"/>
      <c r="UUR3"/>
      <c r="UUS3"/>
      <c r="UUT3"/>
      <c r="UUU3"/>
      <c r="UUV3"/>
      <c r="UUW3"/>
      <c r="UUX3"/>
      <c r="UUY3"/>
      <c r="UUZ3"/>
      <c r="UVA3"/>
      <c r="UVB3"/>
      <c r="UVC3"/>
      <c r="UVD3"/>
      <c r="UVE3"/>
      <c r="UVF3"/>
      <c r="UVG3"/>
      <c r="UVH3"/>
      <c r="UVI3"/>
      <c r="UVJ3"/>
      <c r="UVK3"/>
      <c r="UVL3"/>
      <c r="UVM3"/>
      <c r="UVN3"/>
      <c r="UVO3"/>
      <c r="UVP3"/>
      <c r="UVQ3"/>
      <c r="UVR3"/>
      <c r="UVS3"/>
      <c r="UVT3"/>
      <c r="UVU3"/>
      <c r="UVV3"/>
      <c r="UVW3"/>
      <c r="UVX3"/>
      <c r="UVY3"/>
      <c r="UVZ3"/>
      <c r="UWA3"/>
      <c r="UWB3"/>
      <c r="UWC3"/>
      <c r="UWD3"/>
      <c r="UWE3"/>
      <c r="UWF3"/>
      <c r="UWG3"/>
      <c r="UWH3"/>
      <c r="UWI3"/>
      <c r="UWJ3"/>
      <c r="UWK3"/>
      <c r="UWL3"/>
      <c r="UWM3"/>
      <c r="UWN3"/>
      <c r="UWO3"/>
      <c r="UWP3"/>
      <c r="UWQ3"/>
      <c r="UWR3"/>
      <c r="UWS3"/>
      <c r="UWT3"/>
      <c r="UWU3"/>
      <c r="UWV3"/>
      <c r="UWW3"/>
      <c r="UWX3"/>
      <c r="UWY3"/>
      <c r="UWZ3"/>
      <c r="UXA3"/>
      <c r="UXB3"/>
      <c r="UXC3"/>
      <c r="UXD3"/>
      <c r="UXE3"/>
      <c r="UXF3"/>
      <c r="UXG3"/>
      <c r="UXH3"/>
      <c r="UXI3"/>
      <c r="UXJ3"/>
      <c r="UXK3"/>
      <c r="UXL3"/>
      <c r="UXM3"/>
      <c r="UXN3"/>
      <c r="UXO3"/>
      <c r="UXP3"/>
      <c r="UXQ3"/>
      <c r="UXR3"/>
      <c r="UXS3"/>
      <c r="UXT3"/>
      <c r="UXU3"/>
      <c r="UXV3"/>
      <c r="UXW3"/>
      <c r="UXX3"/>
      <c r="UXY3"/>
      <c r="UXZ3"/>
      <c r="UYA3"/>
      <c r="UYB3"/>
      <c r="UYC3"/>
      <c r="UYD3"/>
      <c r="UYE3"/>
      <c r="UYF3"/>
      <c r="UYG3"/>
      <c r="UYH3"/>
      <c r="UYI3"/>
      <c r="UYJ3"/>
      <c r="UYK3"/>
      <c r="UYL3"/>
      <c r="UYM3"/>
      <c r="UYN3"/>
      <c r="UYO3"/>
      <c r="UYP3"/>
      <c r="UYQ3"/>
      <c r="UYR3"/>
      <c r="UYS3"/>
      <c r="UYT3"/>
      <c r="UYU3"/>
      <c r="UYV3"/>
      <c r="UYW3"/>
      <c r="UYX3"/>
      <c r="UYY3"/>
      <c r="UYZ3"/>
      <c r="UZA3"/>
      <c r="UZB3"/>
      <c r="UZC3"/>
      <c r="UZD3"/>
      <c r="UZE3"/>
      <c r="UZF3"/>
      <c r="UZG3"/>
      <c r="UZH3"/>
      <c r="UZI3"/>
      <c r="UZJ3"/>
      <c r="UZK3"/>
      <c r="UZL3"/>
      <c r="UZM3"/>
      <c r="UZN3"/>
      <c r="UZO3"/>
      <c r="UZP3"/>
      <c r="UZQ3"/>
      <c r="UZR3"/>
      <c r="UZS3"/>
      <c r="UZT3"/>
      <c r="UZU3"/>
      <c r="UZV3"/>
      <c r="UZW3"/>
      <c r="UZX3"/>
      <c r="UZY3"/>
      <c r="UZZ3"/>
      <c r="VAA3"/>
      <c r="VAB3"/>
      <c r="VAC3"/>
      <c r="VAD3"/>
      <c r="VAE3"/>
      <c r="VAF3"/>
      <c r="VAG3"/>
      <c r="VAH3"/>
      <c r="VAI3"/>
      <c r="VAJ3"/>
      <c r="VAK3"/>
      <c r="VAL3"/>
      <c r="VAM3"/>
      <c r="VAN3"/>
      <c r="VAO3"/>
      <c r="VAP3"/>
      <c r="VAQ3"/>
      <c r="VAR3"/>
      <c r="VAS3"/>
      <c r="VAT3"/>
      <c r="VAU3"/>
      <c r="VAV3"/>
      <c r="VAW3"/>
      <c r="VAX3"/>
      <c r="VAY3"/>
      <c r="VAZ3"/>
      <c r="VBA3"/>
      <c r="VBB3"/>
      <c r="VBC3"/>
      <c r="VBD3"/>
      <c r="VBE3"/>
      <c r="VBF3"/>
      <c r="VBG3"/>
      <c r="VBH3"/>
      <c r="VBI3"/>
      <c r="VBJ3"/>
      <c r="VBK3"/>
      <c r="VBL3"/>
      <c r="VBM3"/>
      <c r="VBN3"/>
      <c r="VBO3"/>
      <c r="VBP3"/>
      <c r="VBQ3"/>
      <c r="VBR3"/>
      <c r="VBS3"/>
      <c r="VBT3"/>
      <c r="VBU3"/>
      <c r="VBV3"/>
      <c r="VBW3"/>
      <c r="VBX3"/>
      <c r="VBY3"/>
      <c r="VBZ3"/>
      <c r="VCA3"/>
      <c r="VCB3"/>
      <c r="VCC3"/>
      <c r="VCD3"/>
      <c r="VCE3"/>
      <c r="VCF3"/>
      <c r="VCG3"/>
      <c r="VCH3"/>
      <c r="VCI3"/>
      <c r="VCJ3"/>
      <c r="VCK3"/>
      <c r="VCL3"/>
      <c r="VCM3"/>
      <c r="VCN3"/>
      <c r="VCO3"/>
      <c r="VCP3"/>
      <c r="VCQ3"/>
      <c r="VCR3"/>
      <c r="VCS3"/>
      <c r="VCT3"/>
      <c r="VCU3"/>
      <c r="VCV3"/>
      <c r="VCW3"/>
      <c r="VCX3"/>
      <c r="VCY3"/>
      <c r="VCZ3"/>
      <c r="VDA3"/>
      <c r="VDB3"/>
      <c r="VDC3"/>
      <c r="VDD3"/>
      <c r="VDE3"/>
      <c r="VDF3"/>
      <c r="VDG3"/>
      <c r="VDH3"/>
      <c r="VDI3"/>
      <c r="VDJ3"/>
      <c r="VDK3"/>
      <c r="VDL3"/>
      <c r="VDM3"/>
      <c r="VDN3"/>
      <c r="VDO3"/>
      <c r="VDP3"/>
      <c r="VDQ3"/>
      <c r="VDR3"/>
      <c r="VDS3"/>
      <c r="VDT3"/>
      <c r="VDU3"/>
      <c r="VDV3"/>
      <c r="VDW3"/>
      <c r="VDX3"/>
      <c r="VDY3"/>
      <c r="VDZ3"/>
      <c r="VEA3"/>
      <c r="VEB3"/>
      <c r="VEC3"/>
      <c r="VED3"/>
      <c r="VEE3"/>
      <c r="VEF3"/>
      <c r="VEG3"/>
      <c r="VEH3"/>
      <c r="VEI3"/>
      <c r="VEJ3"/>
      <c r="VEK3"/>
      <c r="VEL3"/>
      <c r="VEM3"/>
      <c r="VEN3"/>
      <c r="VEO3"/>
      <c r="VEP3"/>
      <c r="VEQ3"/>
      <c r="VER3"/>
      <c r="VES3"/>
      <c r="VET3"/>
      <c r="VEU3"/>
      <c r="VEV3"/>
      <c r="VEW3"/>
      <c r="VEX3"/>
      <c r="VEY3"/>
      <c r="VEZ3"/>
      <c r="VFA3"/>
      <c r="VFB3"/>
      <c r="VFC3"/>
      <c r="VFD3"/>
      <c r="VFE3"/>
      <c r="VFF3"/>
      <c r="VFG3"/>
      <c r="VFH3"/>
      <c r="VFI3"/>
      <c r="VFJ3"/>
      <c r="VFK3"/>
      <c r="VFL3"/>
      <c r="VFM3"/>
      <c r="VFN3"/>
      <c r="VFO3"/>
      <c r="VFP3"/>
      <c r="VFQ3"/>
      <c r="VFR3"/>
      <c r="VFS3"/>
      <c r="VFT3"/>
      <c r="VFU3"/>
      <c r="VFV3"/>
      <c r="VFW3"/>
      <c r="VFX3"/>
      <c r="VFY3"/>
      <c r="VFZ3"/>
      <c r="VGA3"/>
      <c r="VGB3"/>
      <c r="VGC3"/>
      <c r="VGD3"/>
      <c r="VGE3"/>
      <c r="VGF3"/>
      <c r="VGG3"/>
      <c r="VGH3"/>
      <c r="VGI3"/>
      <c r="VGJ3"/>
      <c r="VGK3"/>
      <c r="VGL3"/>
      <c r="VGM3"/>
      <c r="VGN3"/>
      <c r="VGO3"/>
      <c r="VGP3"/>
      <c r="VGQ3"/>
      <c r="VGR3"/>
      <c r="VGS3"/>
      <c r="VGT3"/>
      <c r="VGU3"/>
      <c r="VGV3"/>
      <c r="VGW3"/>
      <c r="VGX3"/>
      <c r="VGY3"/>
      <c r="VGZ3"/>
      <c r="VHA3"/>
      <c r="VHB3"/>
      <c r="VHC3"/>
      <c r="VHD3"/>
      <c r="VHE3"/>
      <c r="VHF3"/>
      <c r="VHG3"/>
      <c r="VHH3"/>
      <c r="VHI3"/>
      <c r="VHJ3"/>
      <c r="VHK3"/>
      <c r="VHL3"/>
      <c r="VHM3"/>
      <c r="VHN3"/>
      <c r="VHO3"/>
      <c r="VHP3"/>
      <c r="VHQ3"/>
      <c r="VHR3"/>
      <c r="VHS3"/>
      <c r="VHT3"/>
      <c r="VHU3"/>
      <c r="VHV3"/>
      <c r="VHW3"/>
      <c r="VHX3"/>
      <c r="VHY3"/>
      <c r="VHZ3"/>
      <c r="VIA3"/>
      <c r="VIB3"/>
      <c r="VIC3"/>
      <c r="VID3"/>
      <c r="VIE3"/>
      <c r="VIF3"/>
      <c r="VIG3"/>
      <c r="VIH3"/>
      <c r="VII3"/>
      <c r="VIJ3"/>
      <c r="VIK3"/>
      <c r="VIL3"/>
      <c r="VIM3"/>
      <c r="VIN3"/>
      <c r="VIO3"/>
      <c r="VIP3"/>
      <c r="VIQ3"/>
      <c r="VIR3"/>
      <c r="VIS3"/>
      <c r="VIT3"/>
      <c r="VIU3"/>
      <c r="VIV3"/>
      <c r="VIW3"/>
      <c r="VIX3"/>
      <c r="VIY3"/>
      <c r="VIZ3"/>
      <c r="VJA3"/>
      <c r="VJB3"/>
      <c r="VJC3"/>
      <c r="VJD3"/>
      <c r="VJE3"/>
      <c r="VJF3"/>
      <c r="VJG3"/>
      <c r="VJH3"/>
      <c r="VJI3"/>
      <c r="VJJ3"/>
      <c r="VJK3"/>
      <c r="VJL3"/>
      <c r="VJM3"/>
      <c r="VJN3"/>
      <c r="VJO3"/>
      <c r="VJP3"/>
      <c r="VJQ3"/>
      <c r="VJR3"/>
      <c r="VJS3"/>
      <c r="VJT3"/>
      <c r="VJU3"/>
      <c r="VJV3"/>
      <c r="VJW3"/>
      <c r="VJX3"/>
      <c r="VJY3"/>
      <c r="VJZ3"/>
      <c r="VKA3"/>
      <c r="VKB3"/>
      <c r="VKC3"/>
      <c r="VKD3"/>
      <c r="VKE3"/>
      <c r="VKF3"/>
      <c r="VKG3"/>
      <c r="VKH3"/>
      <c r="VKI3"/>
      <c r="VKJ3"/>
      <c r="VKK3"/>
      <c r="VKL3"/>
      <c r="VKM3"/>
      <c r="VKN3"/>
      <c r="VKO3"/>
      <c r="VKP3"/>
      <c r="VKQ3"/>
      <c r="VKR3"/>
      <c r="VKS3"/>
      <c r="VKT3"/>
      <c r="VKU3"/>
      <c r="VKV3"/>
      <c r="VKW3"/>
      <c r="VKX3"/>
      <c r="VKY3"/>
      <c r="VKZ3"/>
      <c r="VLA3"/>
      <c r="VLB3"/>
      <c r="VLC3"/>
      <c r="VLD3"/>
      <c r="VLE3"/>
      <c r="VLF3"/>
      <c r="VLG3"/>
      <c r="VLH3"/>
      <c r="VLI3"/>
      <c r="VLJ3"/>
      <c r="VLK3"/>
      <c r="VLL3"/>
      <c r="VLM3"/>
      <c r="VLN3"/>
      <c r="VLO3"/>
      <c r="VLP3"/>
      <c r="VLQ3"/>
      <c r="VLR3"/>
      <c r="VLS3"/>
      <c r="VLT3"/>
      <c r="VLU3"/>
      <c r="VLV3"/>
      <c r="VLW3"/>
      <c r="VLX3"/>
      <c r="VLY3"/>
      <c r="VLZ3"/>
      <c r="VMA3"/>
      <c r="VMB3"/>
      <c r="VMC3"/>
      <c r="VMD3"/>
      <c r="VME3"/>
      <c r="VMF3"/>
      <c r="VMG3"/>
      <c r="VMH3"/>
      <c r="VMI3"/>
      <c r="VMJ3"/>
      <c r="VMK3"/>
      <c r="VML3"/>
      <c r="VMM3"/>
      <c r="VMN3"/>
      <c r="VMO3"/>
      <c r="VMP3"/>
      <c r="VMQ3"/>
      <c r="VMR3"/>
      <c r="VMS3"/>
      <c r="VMT3"/>
      <c r="VMU3"/>
      <c r="VMV3"/>
      <c r="VMW3"/>
      <c r="VMX3"/>
      <c r="VMY3"/>
      <c r="VMZ3"/>
      <c r="VNA3"/>
      <c r="VNB3"/>
      <c r="VNC3"/>
      <c r="VND3"/>
      <c r="VNE3"/>
      <c r="VNF3"/>
      <c r="VNG3"/>
      <c r="VNH3"/>
      <c r="VNI3"/>
      <c r="VNJ3"/>
      <c r="VNK3"/>
      <c r="VNL3"/>
      <c r="VNM3"/>
      <c r="VNN3"/>
      <c r="VNO3"/>
      <c r="VNP3"/>
      <c r="VNQ3"/>
      <c r="VNR3"/>
      <c r="VNS3"/>
      <c r="VNT3"/>
      <c r="VNU3"/>
      <c r="VNV3"/>
      <c r="VNW3"/>
      <c r="VNX3"/>
      <c r="VNY3"/>
      <c r="VNZ3"/>
      <c r="VOA3"/>
      <c r="VOB3"/>
      <c r="VOC3"/>
      <c r="VOD3"/>
      <c r="VOE3"/>
      <c r="VOF3"/>
      <c r="VOG3"/>
      <c r="VOH3"/>
      <c r="VOI3"/>
      <c r="VOJ3"/>
      <c r="VOK3"/>
      <c r="VOL3"/>
      <c r="VOM3"/>
      <c r="VON3"/>
      <c r="VOO3"/>
      <c r="VOP3"/>
      <c r="VOQ3"/>
      <c r="VOR3"/>
      <c r="VOS3"/>
      <c r="VOT3"/>
      <c r="VOU3"/>
      <c r="VOV3"/>
      <c r="VOW3"/>
      <c r="VOX3"/>
      <c r="VOY3"/>
      <c r="VOZ3"/>
      <c r="VPA3"/>
      <c r="VPB3"/>
      <c r="VPC3"/>
      <c r="VPD3"/>
      <c r="VPE3"/>
      <c r="VPF3"/>
      <c r="VPG3"/>
      <c r="VPH3"/>
      <c r="VPI3"/>
      <c r="VPJ3"/>
      <c r="VPK3"/>
      <c r="VPL3"/>
      <c r="VPM3"/>
      <c r="VPN3"/>
      <c r="VPO3"/>
      <c r="VPP3"/>
      <c r="VPQ3"/>
      <c r="VPR3"/>
      <c r="VPS3"/>
      <c r="VPT3"/>
      <c r="VPU3"/>
      <c r="VPV3"/>
      <c r="VPW3"/>
      <c r="VPX3"/>
      <c r="VPY3"/>
      <c r="VPZ3"/>
      <c r="VQA3"/>
      <c r="VQB3"/>
      <c r="VQC3"/>
      <c r="VQD3"/>
      <c r="VQE3"/>
      <c r="VQF3"/>
      <c r="VQG3"/>
      <c r="VQH3"/>
      <c r="VQI3"/>
      <c r="VQJ3"/>
      <c r="VQK3"/>
      <c r="VQL3"/>
      <c r="VQM3"/>
      <c r="VQN3"/>
      <c r="VQO3"/>
      <c r="VQP3"/>
      <c r="VQQ3"/>
      <c r="VQR3"/>
      <c r="VQS3"/>
      <c r="VQT3"/>
      <c r="VQU3"/>
      <c r="VQV3"/>
      <c r="VQW3"/>
      <c r="VQX3"/>
      <c r="VQY3"/>
      <c r="VQZ3"/>
      <c r="VRA3"/>
      <c r="VRB3"/>
      <c r="VRC3"/>
      <c r="VRD3"/>
      <c r="VRE3"/>
      <c r="VRF3"/>
      <c r="VRG3"/>
      <c r="VRH3"/>
      <c r="VRI3"/>
      <c r="VRJ3"/>
      <c r="VRK3"/>
      <c r="VRL3"/>
      <c r="VRM3"/>
      <c r="VRN3"/>
      <c r="VRO3"/>
      <c r="VRP3"/>
      <c r="VRQ3"/>
      <c r="VRR3"/>
      <c r="VRS3"/>
      <c r="VRT3"/>
      <c r="VRU3"/>
      <c r="VRV3"/>
      <c r="VRW3"/>
      <c r="VRX3"/>
      <c r="VRY3"/>
      <c r="VRZ3"/>
      <c r="VSA3"/>
      <c r="VSB3"/>
      <c r="VSC3"/>
      <c r="VSD3"/>
      <c r="VSE3"/>
      <c r="VSF3"/>
      <c r="VSG3"/>
      <c r="VSH3"/>
      <c r="VSI3"/>
      <c r="VSJ3"/>
      <c r="VSK3"/>
      <c r="VSL3"/>
      <c r="VSM3"/>
      <c r="VSN3"/>
      <c r="VSO3"/>
      <c r="VSP3"/>
      <c r="VSQ3"/>
      <c r="VSR3"/>
      <c r="VSS3"/>
      <c r="VST3"/>
      <c r="VSU3"/>
      <c r="VSV3"/>
      <c r="VSW3"/>
      <c r="VSX3"/>
      <c r="VSY3"/>
      <c r="VSZ3"/>
      <c r="VTA3"/>
      <c r="VTB3"/>
      <c r="VTC3"/>
      <c r="VTD3"/>
      <c r="VTE3"/>
      <c r="VTF3"/>
      <c r="VTG3"/>
      <c r="VTH3"/>
      <c r="VTI3"/>
      <c r="VTJ3"/>
      <c r="VTK3"/>
      <c r="VTL3"/>
      <c r="VTM3"/>
      <c r="VTN3"/>
      <c r="VTO3"/>
      <c r="VTP3"/>
      <c r="VTQ3"/>
      <c r="VTR3"/>
      <c r="VTS3"/>
      <c r="VTT3"/>
      <c r="VTU3"/>
      <c r="VTV3"/>
      <c r="VTW3"/>
      <c r="VTX3"/>
      <c r="VTY3"/>
      <c r="VTZ3"/>
      <c r="VUA3"/>
      <c r="VUB3"/>
      <c r="VUC3"/>
      <c r="VUD3"/>
      <c r="VUE3"/>
      <c r="VUF3"/>
      <c r="VUG3"/>
      <c r="VUH3"/>
      <c r="VUI3"/>
      <c r="VUJ3"/>
      <c r="VUK3"/>
      <c r="VUL3"/>
      <c r="VUM3"/>
      <c r="VUN3"/>
      <c r="VUO3"/>
      <c r="VUP3"/>
      <c r="VUQ3"/>
      <c r="VUR3"/>
      <c r="VUS3"/>
      <c r="VUT3"/>
      <c r="VUU3"/>
      <c r="VUV3"/>
      <c r="VUW3"/>
      <c r="VUX3"/>
      <c r="VUY3"/>
      <c r="VUZ3"/>
      <c r="VVA3"/>
      <c r="VVB3"/>
      <c r="VVC3"/>
      <c r="VVD3"/>
      <c r="VVE3"/>
      <c r="VVF3"/>
      <c r="VVG3"/>
      <c r="VVH3"/>
      <c r="VVI3"/>
      <c r="VVJ3"/>
      <c r="VVK3"/>
      <c r="VVL3"/>
      <c r="VVM3"/>
      <c r="VVN3"/>
      <c r="VVO3"/>
      <c r="VVP3"/>
      <c r="VVQ3"/>
      <c r="VVR3"/>
      <c r="VVS3"/>
      <c r="VVT3"/>
      <c r="VVU3"/>
      <c r="VVV3"/>
      <c r="VVW3"/>
      <c r="VVX3"/>
      <c r="VVY3"/>
      <c r="VVZ3"/>
      <c r="VWA3"/>
      <c r="VWB3"/>
      <c r="VWC3"/>
      <c r="VWD3"/>
      <c r="VWE3"/>
      <c r="VWF3"/>
      <c r="VWG3"/>
      <c r="VWH3"/>
      <c r="VWI3"/>
      <c r="VWJ3"/>
      <c r="VWK3"/>
      <c r="VWL3"/>
      <c r="VWM3"/>
      <c r="VWN3"/>
      <c r="VWO3"/>
      <c r="VWP3"/>
      <c r="VWQ3"/>
      <c r="VWR3"/>
      <c r="VWS3"/>
      <c r="VWT3"/>
      <c r="VWU3"/>
      <c r="VWV3"/>
      <c r="VWW3"/>
      <c r="VWX3"/>
      <c r="VWY3"/>
      <c r="VWZ3"/>
      <c r="VXA3"/>
      <c r="VXB3"/>
      <c r="VXC3"/>
      <c r="VXD3"/>
      <c r="VXE3"/>
      <c r="VXF3"/>
      <c r="VXG3"/>
      <c r="VXH3"/>
      <c r="VXI3"/>
      <c r="VXJ3"/>
      <c r="VXK3"/>
      <c r="VXL3"/>
      <c r="VXM3"/>
      <c r="VXN3"/>
      <c r="VXO3"/>
      <c r="VXP3"/>
      <c r="VXQ3"/>
      <c r="VXR3"/>
      <c r="VXS3"/>
      <c r="VXT3"/>
      <c r="VXU3"/>
      <c r="VXV3"/>
      <c r="VXW3"/>
      <c r="VXX3"/>
      <c r="VXY3"/>
      <c r="VXZ3"/>
      <c r="VYA3"/>
      <c r="VYB3"/>
      <c r="VYC3"/>
      <c r="VYD3"/>
      <c r="VYE3"/>
      <c r="VYF3"/>
      <c r="VYG3"/>
      <c r="VYH3"/>
      <c r="VYI3"/>
      <c r="VYJ3"/>
      <c r="VYK3"/>
      <c r="VYL3"/>
      <c r="VYM3"/>
      <c r="VYN3"/>
      <c r="VYO3"/>
      <c r="VYP3"/>
      <c r="VYQ3"/>
      <c r="VYR3"/>
      <c r="VYS3"/>
      <c r="VYT3"/>
      <c r="VYU3"/>
      <c r="VYV3"/>
      <c r="VYW3"/>
      <c r="VYX3"/>
      <c r="VYY3"/>
      <c r="VYZ3"/>
      <c r="VZA3"/>
      <c r="VZB3"/>
      <c r="VZC3"/>
      <c r="VZD3"/>
      <c r="VZE3"/>
      <c r="VZF3"/>
      <c r="VZG3"/>
      <c r="VZH3"/>
      <c r="VZI3"/>
      <c r="VZJ3"/>
      <c r="VZK3"/>
      <c r="VZL3"/>
      <c r="VZM3"/>
      <c r="VZN3"/>
      <c r="VZO3"/>
      <c r="VZP3"/>
      <c r="VZQ3"/>
      <c r="VZR3"/>
      <c r="VZS3"/>
      <c r="VZT3"/>
      <c r="VZU3"/>
      <c r="VZV3"/>
      <c r="VZW3"/>
      <c r="VZX3"/>
      <c r="VZY3"/>
      <c r="VZZ3"/>
      <c r="WAA3"/>
      <c r="WAB3"/>
      <c r="WAC3"/>
      <c r="WAD3"/>
      <c r="WAE3"/>
      <c r="WAF3"/>
      <c r="WAG3"/>
      <c r="WAH3"/>
      <c r="WAI3"/>
      <c r="WAJ3"/>
      <c r="WAK3"/>
      <c r="WAL3"/>
      <c r="WAM3"/>
      <c r="WAN3"/>
      <c r="WAO3"/>
      <c r="WAP3"/>
      <c r="WAQ3"/>
      <c r="WAR3"/>
      <c r="WAS3"/>
      <c r="WAT3"/>
      <c r="WAU3"/>
      <c r="WAV3"/>
      <c r="WAW3"/>
      <c r="WAX3"/>
      <c r="WAY3"/>
      <c r="WAZ3"/>
      <c r="WBA3"/>
      <c r="WBB3"/>
      <c r="WBC3"/>
      <c r="WBD3"/>
      <c r="WBE3"/>
      <c r="WBF3"/>
      <c r="WBG3"/>
      <c r="WBH3"/>
      <c r="WBI3"/>
      <c r="WBJ3"/>
      <c r="WBK3"/>
      <c r="WBL3"/>
      <c r="WBM3"/>
      <c r="WBN3"/>
      <c r="WBO3"/>
      <c r="WBP3"/>
      <c r="WBQ3"/>
      <c r="WBR3"/>
      <c r="WBS3"/>
      <c r="WBT3"/>
      <c r="WBU3"/>
      <c r="WBV3"/>
      <c r="WBW3"/>
      <c r="WBX3"/>
      <c r="WBY3"/>
      <c r="WBZ3"/>
      <c r="WCA3"/>
      <c r="WCB3"/>
      <c r="WCC3"/>
      <c r="WCD3"/>
      <c r="WCE3"/>
      <c r="WCF3"/>
      <c r="WCG3"/>
      <c r="WCH3"/>
      <c r="WCI3"/>
      <c r="WCJ3"/>
      <c r="WCK3"/>
      <c r="WCL3"/>
      <c r="WCM3"/>
      <c r="WCN3"/>
      <c r="WCO3"/>
      <c r="WCP3"/>
      <c r="WCQ3"/>
      <c r="WCR3"/>
      <c r="WCS3"/>
      <c r="WCT3"/>
      <c r="WCU3"/>
      <c r="WCV3"/>
      <c r="WCW3"/>
      <c r="WCX3"/>
      <c r="WCY3"/>
      <c r="WCZ3"/>
      <c r="WDA3"/>
      <c r="WDB3"/>
      <c r="WDC3"/>
      <c r="WDD3"/>
      <c r="WDE3"/>
      <c r="WDF3"/>
      <c r="WDG3"/>
      <c r="WDH3"/>
      <c r="WDI3"/>
      <c r="WDJ3"/>
      <c r="WDK3"/>
      <c r="WDL3"/>
      <c r="WDM3"/>
      <c r="WDN3"/>
      <c r="WDO3"/>
      <c r="WDP3"/>
      <c r="WDQ3"/>
      <c r="WDR3"/>
      <c r="WDS3"/>
      <c r="WDT3"/>
      <c r="WDU3"/>
      <c r="WDV3"/>
      <c r="WDW3"/>
      <c r="WDX3"/>
      <c r="WDY3"/>
      <c r="WDZ3"/>
      <c r="WEA3"/>
      <c r="WEB3"/>
      <c r="WEC3"/>
      <c r="WED3"/>
      <c r="WEE3"/>
      <c r="WEF3"/>
      <c r="WEG3"/>
      <c r="WEH3"/>
      <c r="WEI3"/>
      <c r="WEJ3"/>
      <c r="WEK3"/>
      <c r="WEL3"/>
      <c r="WEM3"/>
      <c r="WEN3"/>
      <c r="WEO3"/>
      <c r="WEP3"/>
      <c r="WEQ3"/>
      <c r="WER3"/>
      <c r="WES3"/>
      <c r="WET3"/>
      <c r="WEU3"/>
      <c r="WEV3"/>
      <c r="WEW3"/>
      <c r="WEX3"/>
      <c r="WEY3"/>
      <c r="WEZ3"/>
      <c r="WFA3"/>
      <c r="WFB3"/>
      <c r="WFC3"/>
      <c r="WFD3"/>
      <c r="WFE3"/>
      <c r="WFF3"/>
      <c r="WFG3"/>
      <c r="WFH3"/>
      <c r="WFI3"/>
      <c r="WFJ3"/>
      <c r="WFK3"/>
      <c r="WFL3"/>
      <c r="WFM3"/>
      <c r="WFN3"/>
      <c r="WFO3"/>
      <c r="WFP3"/>
      <c r="WFQ3"/>
      <c r="WFR3"/>
      <c r="WFS3"/>
      <c r="WFT3"/>
      <c r="WFU3"/>
      <c r="WFV3"/>
      <c r="WFW3"/>
      <c r="WFX3"/>
      <c r="WFY3"/>
      <c r="WFZ3"/>
      <c r="WGA3"/>
      <c r="WGB3"/>
      <c r="WGC3"/>
      <c r="WGD3"/>
      <c r="WGE3"/>
      <c r="WGF3"/>
      <c r="WGG3"/>
      <c r="WGH3"/>
      <c r="WGI3"/>
      <c r="WGJ3"/>
      <c r="WGK3"/>
      <c r="WGL3"/>
      <c r="WGM3"/>
      <c r="WGN3"/>
      <c r="WGO3"/>
      <c r="WGP3"/>
      <c r="WGQ3"/>
      <c r="WGR3"/>
      <c r="WGS3"/>
      <c r="WGT3"/>
      <c r="WGU3"/>
      <c r="WGV3"/>
      <c r="WGW3"/>
      <c r="WGX3"/>
      <c r="WGY3"/>
      <c r="WGZ3"/>
      <c r="WHA3"/>
      <c r="WHB3"/>
      <c r="WHC3"/>
      <c r="WHD3"/>
      <c r="WHE3"/>
      <c r="WHF3"/>
      <c r="WHG3"/>
      <c r="WHH3"/>
      <c r="WHI3"/>
      <c r="WHJ3"/>
      <c r="WHK3"/>
      <c r="WHL3"/>
      <c r="WHM3"/>
      <c r="WHN3"/>
      <c r="WHO3"/>
      <c r="WHP3"/>
      <c r="WHQ3"/>
      <c r="WHR3"/>
      <c r="WHS3"/>
      <c r="WHT3"/>
      <c r="WHU3"/>
      <c r="WHV3"/>
      <c r="WHW3"/>
      <c r="WHX3"/>
      <c r="WHY3"/>
      <c r="WHZ3"/>
      <c r="WIA3"/>
      <c r="WIB3"/>
      <c r="WIC3"/>
      <c r="WID3"/>
      <c r="WIE3"/>
      <c r="WIF3"/>
      <c r="WIG3"/>
      <c r="WIH3"/>
      <c r="WII3"/>
      <c r="WIJ3"/>
      <c r="WIK3"/>
      <c r="WIL3"/>
      <c r="WIM3"/>
      <c r="WIN3"/>
      <c r="WIO3"/>
      <c r="WIP3"/>
      <c r="WIQ3"/>
      <c r="WIR3"/>
      <c r="WIS3"/>
      <c r="WIT3"/>
      <c r="WIU3"/>
      <c r="WIV3"/>
      <c r="WIW3"/>
      <c r="WIX3"/>
      <c r="WIY3"/>
      <c r="WIZ3"/>
      <c r="WJA3"/>
      <c r="WJB3"/>
      <c r="WJC3"/>
      <c r="WJD3"/>
      <c r="WJE3"/>
      <c r="WJF3"/>
      <c r="WJG3"/>
      <c r="WJH3"/>
      <c r="WJI3"/>
      <c r="WJJ3"/>
      <c r="WJK3"/>
      <c r="WJL3"/>
      <c r="WJM3"/>
      <c r="WJN3"/>
      <c r="WJO3"/>
      <c r="WJP3"/>
      <c r="WJQ3"/>
      <c r="WJR3"/>
      <c r="WJS3"/>
      <c r="WJT3"/>
      <c r="WJU3"/>
      <c r="WJV3"/>
      <c r="WJW3"/>
      <c r="WJX3"/>
      <c r="WJY3"/>
      <c r="WJZ3"/>
      <c r="WKA3"/>
      <c r="WKB3"/>
      <c r="WKC3"/>
      <c r="WKD3"/>
      <c r="WKE3"/>
      <c r="WKF3"/>
      <c r="WKG3"/>
      <c r="WKH3"/>
      <c r="WKI3"/>
      <c r="WKJ3"/>
      <c r="WKK3"/>
      <c r="WKL3"/>
      <c r="WKM3"/>
      <c r="WKN3"/>
      <c r="WKO3"/>
      <c r="WKP3"/>
      <c r="WKQ3"/>
      <c r="WKR3"/>
      <c r="WKS3"/>
      <c r="WKT3"/>
      <c r="WKU3"/>
      <c r="WKV3"/>
      <c r="WKW3"/>
      <c r="WKX3"/>
      <c r="WKY3"/>
      <c r="WKZ3"/>
      <c r="WLA3"/>
      <c r="WLB3"/>
      <c r="WLC3"/>
      <c r="WLD3"/>
      <c r="WLE3"/>
      <c r="WLF3"/>
      <c r="WLG3"/>
      <c r="WLH3"/>
      <c r="WLI3"/>
      <c r="WLJ3"/>
      <c r="WLK3"/>
      <c r="WLL3"/>
      <c r="WLM3"/>
      <c r="WLN3"/>
      <c r="WLO3"/>
      <c r="WLP3"/>
      <c r="WLQ3"/>
      <c r="WLR3"/>
      <c r="WLS3"/>
      <c r="WLT3"/>
      <c r="WLU3"/>
      <c r="WLV3"/>
      <c r="WLW3"/>
      <c r="WLX3"/>
      <c r="WLY3"/>
      <c r="WLZ3"/>
      <c r="WMA3"/>
      <c r="WMB3"/>
      <c r="WMC3"/>
      <c r="WMD3"/>
      <c r="WME3"/>
      <c r="WMF3"/>
      <c r="WMG3"/>
      <c r="WMH3"/>
      <c r="WMI3"/>
      <c r="WMJ3"/>
      <c r="WMK3"/>
      <c r="WML3"/>
      <c r="WMM3"/>
      <c r="WMN3"/>
      <c r="WMO3"/>
      <c r="WMP3"/>
      <c r="WMQ3"/>
      <c r="WMR3"/>
      <c r="WMS3"/>
      <c r="WMT3"/>
      <c r="WMU3"/>
      <c r="WMV3"/>
      <c r="WMW3"/>
      <c r="WMX3"/>
      <c r="WMY3"/>
      <c r="WMZ3"/>
      <c r="WNA3"/>
      <c r="WNB3"/>
      <c r="WNC3"/>
      <c r="WND3"/>
      <c r="WNE3"/>
      <c r="WNF3"/>
      <c r="WNG3"/>
      <c r="WNH3"/>
      <c r="WNI3"/>
      <c r="WNJ3"/>
      <c r="WNK3"/>
      <c r="WNL3"/>
      <c r="WNM3"/>
      <c r="WNN3"/>
      <c r="WNO3"/>
      <c r="WNP3"/>
      <c r="WNQ3"/>
      <c r="WNR3"/>
      <c r="WNS3"/>
      <c r="WNT3"/>
      <c r="WNU3"/>
      <c r="WNV3"/>
      <c r="WNW3"/>
      <c r="WNX3"/>
      <c r="WNY3"/>
      <c r="WNZ3"/>
      <c r="WOA3"/>
      <c r="WOB3"/>
      <c r="WOC3"/>
      <c r="WOD3"/>
      <c r="WOE3"/>
      <c r="WOF3"/>
      <c r="WOG3"/>
      <c r="WOH3"/>
      <c r="WOI3"/>
      <c r="WOJ3"/>
      <c r="WOK3"/>
      <c r="WOL3"/>
      <c r="WOM3"/>
      <c r="WON3"/>
      <c r="WOO3"/>
      <c r="WOP3"/>
      <c r="WOQ3"/>
      <c r="WOR3"/>
      <c r="WOS3"/>
      <c r="WOT3"/>
      <c r="WOU3"/>
      <c r="WOV3"/>
      <c r="WOW3"/>
      <c r="WOX3"/>
      <c r="WOY3"/>
      <c r="WOZ3"/>
      <c r="WPA3"/>
      <c r="WPB3"/>
      <c r="WPC3"/>
      <c r="WPD3"/>
      <c r="WPE3"/>
      <c r="WPF3"/>
      <c r="WPG3"/>
      <c r="WPH3"/>
      <c r="WPI3"/>
      <c r="WPJ3"/>
      <c r="WPK3"/>
      <c r="WPL3"/>
      <c r="WPM3"/>
      <c r="WPN3"/>
      <c r="WPO3"/>
      <c r="WPP3"/>
      <c r="WPQ3"/>
      <c r="WPR3"/>
      <c r="WPS3"/>
      <c r="WPT3"/>
      <c r="WPU3"/>
      <c r="WPV3"/>
      <c r="WPW3"/>
      <c r="WPX3"/>
      <c r="WPY3"/>
      <c r="WPZ3"/>
      <c r="WQA3"/>
      <c r="WQB3"/>
      <c r="WQC3"/>
      <c r="WQD3"/>
      <c r="WQE3"/>
      <c r="WQF3"/>
      <c r="WQG3"/>
      <c r="WQH3"/>
      <c r="WQI3"/>
      <c r="WQJ3"/>
      <c r="WQK3"/>
      <c r="WQL3"/>
      <c r="WQM3"/>
      <c r="WQN3"/>
      <c r="WQO3"/>
      <c r="WQP3"/>
      <c r="WQQ3"/>
      <c r="WQR3"/>
      <c r="WQS3"/>
      <c r="WQT3"/>
      <c r="WQU3"/>
      <c r="WQV3"/>
      <c r="WQW3"/>
      <c r="WQX3"/>
      <c r="WQY3"/>
      <c r="WQZ3"/>
      <c r="WRA3"/>
      <c r="WRB3"/>
      <c r="WRC3"/>
      <c r="WRD3"/>
      <c r="WRE3"/>
      <c r="WRF3"/>
      <c r="WRG3"/>
      <c r="WRH3"/>
      <c r="WRI3"/>
      <c r="WRJ3"/>
      <c r="WRK3"/>
      <c r="WRL3"/>
      <c r="WRM3"/>
      <c r="WRN3"/>
      <c r="WRO3"/>
      <c r="WRP3"/>
      <c r="WRQ3"/>
      <c r="WRR3"/>
      <c r="WRS3"/>
      <c r="WRT3"/>
      <c r="WRU3"/>
      <c r="WRV3"/>
      <c r="WRW3"/>
      <c r="WRX3"/>
      <c r="WRY3"/>
      <c r="WRZ3"/>
      <c r="WSA3"/>
      <c r="WSB3"/>
      <c r="WSC3"/>
      <c r="WSD3"/>
      <c r="WSE3"/>
      <c r="WSF3"/>
      <c r="WSG3"/>
      <c r="WSH3"/>
      <c r="WSI3"/>
      <c r="WSJ3"/>
      <c r="WSK3"/>
      <c r="WSL3"/>
      <c r="WSM3"/>
      <c r="WSN3"/>
      <c r="WSO3"/>
      <c r="WSP3"/>
      <c r="WSQ3"/>
      <c r="WSR3"/>
      <c r="WSS3"/>
      <c r="WST3"/>
      <c r="WSU3"/>
      <c r="WSV3"/>
      <c r="WSW3"/>
      <c r="WSX3"/>
      <c r="WSY3"/>
      <c r="WSZ3"/>
      <c r="WTA3"/>
      <c r="WTB3"/>
      <c r="WTC3"/>
      <c r="WTD3"/>
      <c r="WTE3"/>
      <c r="WTF3"/>
      <c r="WTG3"/>
      <c r="WTH3"/>
      <c r="WTI3"/>
      <c r="WTJ3"/>
      <c r="WTK3"/>
      <c r="WTL3"/>
      <c r="WTM3"/>
      <c r="WTN3"/>
      <c r="WTO3"/>
      <c r="WTP3"/>
      <c r="WTQ3"/>
      <c r="WTR3"/>
      <c r="WTS3"/>
      <c r="WTT3"/>
      <c r="WTU3"/>
      <c r="WTV3"/>
      <c r="WTW3"/>
      <c r="WTX3"/>
      <c r="WTY3"/>
      <c r="WTZ3"/>
      <c r="WUA3"/>
      <c r="WUB3"/>
      <c r="WUC3"/>
      <c r="WUD3"/>
      <c r="WUE3"/>
      <c r="WUF3"/>
      <c r="WUG3"/>
      <c r="WUH3"/>
      <c r="WUI3"/>
      <c r="WUJ3"/>
      <c r="WUK3"/>
      <c r="WUL3"/>
      <c r="WUM3"/>
      <c r="WUN3"/>
      <c r="WUO3"/>
      <c r="WUP3"/>
      <c r="WUQ3"/>
      <c r="WUR3"/>
      <c r="WUS3"/>
      <c r="WUT3"/>
      <c r="WUU3"/>
      <c r="WUV3"/>
      <c r="WUW3"/>
      <c r="WUX3"/>
      <c r="WUY3"/>
      <c r="WUZ3"/>
      <c r="WVA3"/>
      <c r="WVB3"/>
      <c r="WVC3"/>
      <c r="WVD3"/>
      <c r="WVE3"/>
      <c r="WVF3"/>
      <c r="WVG3"/>
      <c r="WVH3"/>
      <c r="WVI3"/>
      <c r="WVJ3"/>
      <c r="WVK3"/>
      <c r="WVL3"/>
      <c r="WVM3"/>
      <c r="WVN3"/>
      <c r="WVO3"/>
      <c r="WVP3"/>
      <c r="WVQ3"/>
      <c r="WVR3"/>
      <c r="WVS3"/>
      <c r="WVT3"/>
      <c r="WVU3"/>
      <c r="WVV3"/>
      <c r="WVW3"/>
      <c r="WVX3"/>
      <c r="WVY3"/>
      <c r="WVZ3"/>
      <c r="WWA3"/>
      <c r="WWB3"/>
      <c r="WWC3"/>
      <c r="WWD3"/>
      <c r="WWE3"/>
      <c r="WWF3"/>
      <c r="WWG3"/>
      <c r="WWH3"/>
      <c r="WWI3"/>
      <c r="WWJ3"/>
      <c r="WWK3"/>
      <c r="WWL3"/>
      <c r="WWM3"/>
      <c r="WWN3"/>
      <c r="WWO3"/>
      <c r="WWP3"/>
      <c r="WWQ3"/>
      <c r="WWR3"/>
      <c r="WWS3"/>
      <c r="WWT3"/>
      <c r="WWU3"/>
      <c r="WWV3"/>
      <c r="WWW3"/>
      <c r="WWX3"/>
      <c r="WWY3"/>
      <c r="WWZ3"/>
      <c r="WXA3"/>
      <c r="WXB3"/>
      <c r="WXC3"/>
      <c r="WXD3"/>
      <c r="WXE3"/>
      <c r="WXF3"/>
      <c r="WXG3"/>
      <c r="WXH3"/>
      <c r="WXI3"/>
      <c r="WXJ3"/>
      <c r="WXK3"/>
      <c r="WXL3"/>
      <c r="WXM3"/>
      <c r="WXN3"/>
      <c r="WXO3"/>
      <c r="WXP3"/>
      <c r="WXQ3"/>
      <c r="WXR3"/>
      <c r="WXS3"/>
      <c r="WXT3"/>
      <c r="WXU3"/>
      <c r="WXV3"/>
      <c r="WXW3"/>
      <c r="WXX3"/>
      <c r="WXY3"/>
      <c r="WXZ3"/>
      <c r="WYA3"/>
      <c r="WYB3"/>
      <c r="WYC3"/>
      <c r="WYD3"/>
      <c r="WYE3"/>
      <c r="WYF3"/>
      <c r="WYG3"/>
      <c r="WYH3"/>
      <c r="WYI3"/>
      <c r="WYJ3"/>
      <c r="WYK3"/>
      <c r="WYL3"/>
      <c r="WYM3"/>
      <c r="WYN3"/>
      <c r="WYO3"/>
      <c r="WYP3"/>
      <c r="WYQ3"/>
      <c r="WYR3"/>
      <c r="WYS3"/>
      <c r="WYT3"/>
      <c r="WYU3"/>
      <c r="WYV3"/>
      <c r="WYW3"/>
      <c r="WYX3"/>
      <c r="WYY3"/>
      <c r="WYZ3"/>
      <c r="WZA3"/>
      <c r="WZB3"/>
      <c r="WZC3"/>
      <c r="WZD3"/>
      <c r="WZE3"/>
      <c r="WZF3"/>
      <c r="WZG3"/>
      <c r="WZH3"/>
      <c r="WZI3"/>
      <c r="WZJ3"/>
      <c r="WZK3"/>
      <c r="WZL3"/>
      <c r="WZM3"/>
      <c r="WZN3"/>
      <c r="WZO3"/>
      <c r="WZP3"/>
      <c r="WZQ3"/>
      <c r="WZR3"/>
      <c r="WZS3"/>
      <c r="WZT3"/>
      <c r="WZU3"/>
      <c r="WZV3"/>
      <c r="WZW3"/>
      <c r="WZX3"/>
      <c r="WZY3"/>
      <c r="WZZ3"/>
      <c r="XAA3"/>
      <c r="XAB3"/>
      <c r="XAC3"/>
      <c r="XAD3"/>
      <c r="XAE3"/>
      <c r="XAF3"/>
      <c r="XAG3"/>
      <c r="XAH3"/>
      <c r="XAI3"/>
      <c r="XAJ3"/>
      <c r="XAK3"/>
      <c r="XAL3"/>
      <c r="XAM3"/>
      <c r="XAN3"/>
      <c r="XAO3"/>
      <c r="XAP3"/>
      <c r="XAQ3"/>
      <c r="XAR3"/>
      <c r="XAS3"/>
      <c r="XAT3"/>
      <c r="XAU3"/>
      <c r="XAV3"/>
      <c r="XAW3"/>
      <c r="XAX3"/>
      <c r="XAY3"/>
      <c r="XAZ3"/>
      <c r="XBA3"/>
      <c r="XBB3"/>
      <c r="XBC3"/>
      <c r="XBD3"/>
      <c r="XBE3"/>
      <c r="XBF3"/>
      <c r="XBG3"/>
      <c r="XBH3"/>
      <c r="XBI3"/>
      <c r="XBJ3"/>
      <c r="XBK3"/>
      <c r="XBL3"/>
      <c r="XBM3"/>
      <c r="XBN3"/>
      <c r="XBO3"/>
      <c r="XBP3"/>
      <c r="XBQ3"/>
      <c r="XBR3"/>
      <c r="XBS3"/>
      <c r="XBT3"/>
      <c r="XBU3"/>
      <c r="XBV3"/>
      <c r="XBW3"/>
      <c r="XBX3"/>
      <c r="XBY3"/>
      <c r="XBZ3"/>
      <c r="XCA3"/>
      <c r="XCB3"/>
      <c r="XCC3"/>
      <c r="XCD3"/>
      <c r="XCE3"/>
      <c r="XCF3"/>
      <c r="XCG3"/>
      <c r="XCH3"/>
      <c r="XCI3"/>
      <c r="XCJ3"/>
      <c r="XCK3"/>
      <c r="XCL3"/>
      <c r="XCM3"/>
      <c r="XCN3"/>
      <c r="XCO3"/>
      <c r="XCP3"/>
      <c r="XCQ3"/>
      <c r="XCR3"/>
      <c r="XCS3"/>
      <c r="XCT3"/>
      <c r="XCU3"/>
      <c r="XCV3"/>
      <c r="XCW3"/>
      <c r="XCX3"/>
      <c r="XCY3"/>
      <c r="XCZ3"/>
      <c r="XDA3"/>
      <c r="XDB3"/>
      <c r="XDC3"/>
      <c r="XDD3"/>
      <c r="XDE3"/>
      <c r="XDF3"/>
      <c r="XDG3"/>
      <c r="XDH3"/>
      <c r="XDI3"/>
      <c r="XDJ3"/>
      <c r="XDK3"/>
      <c r="XDL3"/>
      <c r="XDM3"/>
      <c r="XDN3"/>
      <c r="XDO3"/>
      <c r="XDP3"/>
      <c r="XDQ3"/>
      <c r="XDR3"/>
      <c r="XDS3"/>
      <c r="XDT3"/>
      <c r="XDU3"/>
      <c r="XDV3"/>
      <c r="XDW3"/>
      <c r="XDX3"/>
      <c r="XDY3"/>
      <c r="XDZ3"/>
      <c r="XEA3"/>
      <c r="XEB3"/>
      <c r="XEC3"/>
      <c r="XED3"/>
      <c r="XEE3"/>
      <c r="XEF3"/>
      <c r="XEG3"/>
      <c r="XEH3"/>
      <c r="XEI3"/>
      <c r="XEJ3"/>
      <c r="XEK3"/>
      <c r="XEL3"/>
      <c r="XEM3"/>
      <c r="XEN3"/>
      <c r="XEO3"/>
      <c r="XEP3"/>
      <c r="XEQ3"/>
      <c r="XER3"/>
      <c r="XES3"/>
      <c r="XET3"/>
      <c r="XEU3"/>
      <c r="XEV3"/>
      <c r="XEW3"/>
      <c r="XEX3"/>
      <c r="XEY3"/>
      <c r="XEZ3"/>
      <c r="XFA3"/>
      <c r="XFB3"/>
    </row>
    <row r="4" spans="1:31 11519:16382" ht="13.5" customHeight="1"/>
    <row r="5" spans="1:31 11519:16382" ht="22.5" customHeight="1">
      <c r="A5" s="127" t="s">
        <v>21</v>
      </c>
      <c r="B5" s="127" t="s">
        <v>1</v>
      </c>
      <c r="C5" s="127" t="s">
        <v>2</v>
      </c>
      <c r="D5" s="127" t="s">
        <v>22</v>
      </c>
      <c r="E5" s="127"/>
      <c r="F5" s="142" t="s">
        <v>56</v>
      </c>
      <c r="G5" s="133" t="s">
        <v>45</v>
      </c>
      <c r="H5" s="140"/>
      <c r="I5" s="140"/>
      <c r="J5" s="140"/>
      <c r="K5" s="140"/>
      <c r="L5" s="134"/>
      <c r="M5" s="126"/>
      <c r="N5" s="136" t="s">
        <v>47</v>
      </c>
      <c r="O5" s="137"/>
      <c r="P5" s="137"/>
      <c r="Q5" s="137"/>
      <c r="R5" s="137"/>
      <c r="S5" s="137"/>
      <c r="T5" s="138"/>
      <c r="U5" s="127" t="s">
        <v>24</v>
      </c>
      <c r="V5" s="133" t="s">
        <v>25</v>
      </c>
      <c r="W5" s="134"/>
      <c r="X5" s="135" t="s">
        <v>26</v>
      </c>
      <c r="Y5" s="165" t="s">
        <v>27</v>
      </c>
      <c r="Z5" s="128" t="s">
        <v>60</v>
      </c>
      <c r="AA5" s="129" t="s">
        <v>61</v>
      </c>
      <c r="AB5" s="158" t="s">
        <v>58</v>
      </c>
      <c r="AC5" s="161" t="s">
        <v>62</v>
      </c>
      <c r="AD5" s="158" t="s">
        <v>35</v>
      </c>
      <c r="AE5" s="154" t="s">
        <v>39</v>
      </c>
    </row>
    <row r="6" spans="1:31 11519:16382" ht="34.5" customHeight="1">
      <c r="A6" s="127"/>
      <c r="B6" s="127"/>
      <c r="C6" s="127"/>
      <c r="D6" s="127"/>
      <c r="E6" s="127"/>
      <c r="F6" s="143"/>
      <c r="G6" s="142" t="s">
        <v>46</v>
      </c>
      <c r="H6" s="142" t="s">
        <v>8</v>
      </c>
      <c r="I6" s="142" t="s">
        <v>5</v>
      </c>
      <c r="J6" s="142" t="s">
        <v>16</v>
      </c>
      <c r="K6" s="142" t="s">
        <v>28</v>
      </c>
      <c r="L6" s="142" t="s">
        <v>29</v>
      </c>
      <c r="M6" s="142" t="s">
        <v>64</v>
      </c>
      <c r="N6" s="127" t="s">
        <v>17</v>
      </c>
      <c r="O6" s="132" t="s">
        <v>48</v>
      </c>
      <c r="P6" s="132" t="s">
        <v>54</v>
      </c>
      <c r="Q6" s="130" t="s">
        <v>10</v>
      </c>
      <c r="R6" s="132" t="s">
        <v>38</v>
      </c>
      <c r="S6" s="141" t="s">
        <v>23</v>
      </c>
      <c r="T6" s="139" t="s">
        <v>49</v>
      </c>
      <c r="U6" s="127"/>
      <c r="V6" s="127" t="s">
        <v>30</v>
      </c>
      <c r="W6" s="127" t="s">
        <v>42</v>
      </c>
      <c r="X6" s="135"/>
      <c r="Y6" s="165"/>
      <c r="Z6" s="128"/>
      <c r="AA6" s="129"/>
      <c r="AB6" s="159"/>
      <c r="AC6" s="162"/>
      <c r="AD6" s="159"/>
      <c r="AE6" s="155"/>
    </row>
    <row r="7" spans="1:31 11519:16382" ht="34.5" customHeight="1">
      <c r="A7" s="127"/>
      <c r="B7" s="127"/>
      <c r="C7" s="127"/>
      <c r="D7" s="127"/>
      <c r="E7" s="127"/>
      <c r="F7" s="132"/>
      <c r="G7" s="132"/>
      <c r="H7" s="132"/>
      <c r="I7" s="132"/>
      <c r="J7" s="132"/>
      <c r="K7" s="132"/>
      <c r="L7" s="132"/>
      <c r="M7" s="132"/>
      <c r="N7" s="127"/>
      <c r="O7" s="127"/>
      <c r="P7" s="127"/>
      <c r="Q7" s="131"/>
      <c r="R7" s="127"/>
      <c r="S7" s="130"/>
      <c r="T7" s="130"/>
      <c r="U7" s="127"/>
      <c r="V7" s="127"/>
      <c r="W7" s="127"/>
      <c r="X7" s="135"/>
      <c r="Y7" s="165"/>
      <c r="Z7" s="128"/>
      <c r="AA7" s="129"/>
      <c r="AB7" s="160"/>
      <c r="AC7" s="163"/>
      <c r="AD7" s="160"/>
      <c r="AE7" s="156"/>
    </row>
    <row r="8" spans="1:31 11519:16382" ht="15.75" customHeight="1">
      <c r="A8" s="58">
        <v>1</v>
      </c>
      <c r="B8" s="58">
        <v>2</v>
      </c>
      <c r="C8" s="58">
        <v>3</v>
      </c>
      <c r="D8" s="150">
        <v>4</v>
      </c>
      <c r="E8" s="150"/>
      <c r="F8" s="69"/>
      <c r="G8" s="69">
        <v>5</v>
      </c>
      <c r="H8" s="69">
        <v>6</v>
      </c>
      <c r="I8" s="69">
        <v>7</v>
      </c>
      <c r="J8" s="69">
        <v>8</v>
      </c>
      <c r="K8" s="69">
        <v>9</v>
      </c>
      <c r="L8" s="69">
        <v>10</v>
      </c>
      <c r="M8" s="69"/>
      <c r="N8" s="69">
        <v>11</v>
      </c>
      <c r="O8" s="69">
        <v>12</v>
      </c>
      <c r="P8" s="69">
        <v>13</v>
      </c>
      <c r="Q8" s="83">
        <v>14</v>
      </c>
      <c r="R8" s="69">
        <v>15</v>
      </c>
      <c r="S8" s="83">
        <v>16</v>
      </c>
      <c r="T8" s="83">
        <v>17</v>
      </c>
      <c r="U8" s="83">
        <v>18</v>
      </c>
      <c r="V8" s="83">
        <v>19</v>
      </c>
      <c r="W8" s="83">
        <v>20</v>
      </c>
      <c r="X8" s="83">
        <v>21</v>
      </c>
      <c r="Y8" s="84">
        <v>22</v>
      </c>
      <c r="Z8" s="102">
        <v>23</v>
      </c>
      <c r="AA8" s="71">
        <v>24</v>
      </c>
      <c r="AB8" s="70" t="s">
        <v>50</v>
      </c>
      <c r="AC8" s="71" t="s">
        <v>52</v>
      </c>
      <c r="AD8" s="94" t="s">
        <v>51</v>
      </c>
      <c r="AE8" s="99" t="s">
        <v>53</v>
      </c>
    </row>
    <row r="9" spans="1:31 11519:16382" ht="15.6" customHeight="1">
      <c r="A9" s="144">
        <v>1</v>
      </c>
      <c r="B9" s="145">
        <f>'Bang TH nop'!B9</f>
        <v>0</v>
      </c>
      <c r="C9" s="146">
        <f>'Bang TH nop'!C9</f>
        <v>0</v>
      </c>
      <c r="D9" s="147"/>
      <c r="E9" s="148"/>
      <c r="F9" s="110"/>
      <c r="G9" s="77">
        <f>'Bang TH nop'!F9</f>
        <v>0</v>
      </c>
      <c r="H9" s="88">
        <f>'Bang TH nop'!K9</f>
        <v>0</v>
      </c>
      <c r="I9" s="80">
        <f>+'Bang TH nop'!G9</f>
        <v>0</v>
      </c>
      <c r="J9" s="82">
        <f>+'Bang TH nop'!H9</f>
        <v>0</v>
      </c>
      <c r="K9" s="80">
        <f>+'Bang TH nop'!R9</f>
        <v>0</v>
      </c>
      <c r="L9" s="85">
        <f>+'Bang TH nop'!J9</f>
        <v>0</v>
      </c>
      <c r="M9" s="85"/>
      <c r="N9" s="85"/>
      <c r="O9" s="85"/>
      <c r="P9" s="85"/>
      <c r="Q9" s="86"/>
      <c r="R9" s="85"/>
      <c r="S9" s="86">
        <f>'Bang TH nop'!L9</f>
        <v>0</v>
      </c>
      <c r="T9" s="86"/>
      <c r="U9" s="86"/>
      <c r="V9" s="86"/>
      <c r="W9" s="86"/>
      <c r="X9" s="86"/>
      <c r="Y9" s="104"/>
      <c r="Z9" s="103"/>
      <c r="AA9" s="72"/>
      <c r="AB9" s="73"/>
      <c r="AC9" s="74"/>
      <c r="AD9" s="73"/>
      <c r="AE9" s="93"/>
    </row>
    <row r="10" spans="1:31 11519:16382" ht="15.6" customHeight="1">
      <c r="A10" s="144"/>
      <c r="B10" s="145"/>
      <c r="C10" s="146"/>
      <c r="D10" s="149">
        <f>+'Bang TH nop'!D9</f>
        <v>0</v>
      </c>
      <c r="E10" s="148"/>
      <c r="F10" s="111">
        <f>+'Bang TH nop'!E9</f>
        <v>0</v>
      </c>
      <c r="G10" s="78">
        <f>F10/26*G9</f>
        <v>0</v>
      </c>
      <c r="H10" s="60">
        <f>+(F10/26/8*150%)*H9</f>
        <v>0</v>
      </c>
      <c r="I10" s="81">
        <f>ROUND(D10/26*I9,)</f>
        <v>0</v>
      </c>
      <c r="J10" s="81">
        <f>ROUND(F10/26*J9,)*4</f>
        <v>0</v>
      </c>
      <c r="K10" s="81">
        <f>+F10/26*K9*2</f>
        <v>0</v>
      </c>
      <c r="L10" s="79">
        <f>F10*L9/(26)*30%</f>
        <v>0</v>
      </c>
      <c r="M10" s="79">
        <f>+F10/26*M9*60%</f>
        <v>0</v>
      </c>
      <c r="N10" s="79">
        <f>'Bang TH nop'!O9</f>
        <v>0</v>
      </c>
      <c r="O10" s="76">
        <f>'Bang TH nop'!N9</f>
        <v>0</v>
      </c>
      <c r="P10" s="76">
        <f>+'Bang TH nop'!S9</f>
        <v>0</v>
      </c>
      <c r="Q10" s="87">
        <f>'Bang TH nop'!M9</f>
        <v>0</v>
      </c>
      <c r="R10" s="87">
        <f>+'Bang TH nop'!Q9+'Bang TH nop'!P9</f>
        <v>0</v>
      </c>
      <c r="S10" s="59">
        <f>+S9*15000</f>
        <v>0</v>
      </c>
      <c r="T10" s="59"/>
      <c r="U10" s="59">
        <f>SUM(G10:S10)</f>
        <v>0</v>
      </c>
      <c r="V10" s="76"/>
      <c r="W10" s="76">
        <f>+ROUND(D10*0.5%,-3)</f>
        <v>0</v>
      </c>
      <c r="X10" s="59">
        <f>ROUND(U10-V10-W10,-2)</f>
        <v>0</v>
      </c>
      <c r="Y10" s="105">
        <f>+'Bang TH nop'!F9+'Bang TH nop'!H9+'Bang TH nop'!R9</f>
        <v>0</v>
      </c>
      <c r="Z10" s="103"/>
      <c r="AA10" s="75"/>
      <c r="AB10" s="95" t="e">
        <f>+AA10/Z10</f>
        <v>#DIV/0!</v>
      </c>
      <c r="AC10" s="95" t="e">
        <f>AE10/Y10</f>
        <v>#DIV/0!</v>
      </c>
      <c r="AD10" s="96" t="e">
        <f>+AC10/AB10</f>
        <v>#DIV/0!</v>
      </c>
      <c r="AE10" s="93">
        <f>+U10-J10</f>
        <v>0</v>
      </c>
    </row>
    <row r="11" spans="1:31 11519:16382" ht="15.6" customHeight="1">
      <c r="A11" s="144">
        <v>2</v>
      </c>
      <c r="B11" s="145">
        <f>'Bang TH nop'!B11</f>
        <v>0</v>
      </c>
      <c r="C11" s="146">
        <f>'Bang TH nop'!C11</f>
        <v>0</v>
      </c>
      <c r="D11" s="147"/>
      <c r="E11" s="148"/>
      <c r="F11" s="110"/>
      <c r="G11" s="77">
        <f>'Bang TH nop'!F11</f>
        <v>0</v>
      </c>
      <c r="H11" s="88">
        <f>'Bang TH nop'!K11</f>
        <v>0</v>
      </c>
      <c r="I11" s="80">
        <f>+'Bang TH nop'!G11</f>
        <v>0</v>
      </c>
      <c r="J11" s="82">
        <f>+'Bang TH nop'!H11</f>
        <v>0</v>
      </c>
      <c r="K11" s="80">
        <f>+'Bang TH nop'!R11</f>
        <v>0</v>
      </c>
      <c r="L11" s="85">
        <f>+'Bang TH nop'!J11</f>
        <v>0</v>
      </c>
      <c r="M11" s="85"/>
      <c r="N11" s="85"/>
      <c r="O11" s="85"/>
      <c r="P11" s="85"/>
      <c r="Q11" s="86"/>
      <c r="R11" s="85"/>
      <c r="S11" s="86">
        <f>'Bang TH nop'!L11</f>
        <v>0</v>
      </c>
      <c r="T11" s="86"/>
      <c r="U11" s="86"/>
      <c r="V11" s="86"/>
      <c r="W11" s="86"/>
      <c r="X11" s="86"/>
      <c r="Y11" s="104"/>
      <c r="Z11" s="103"/>
      <c r="AA11" s="72"/>
      <c r="AB11" s="73"/>
      <c r="AC11" s="74"/>
      <c r="AD11" s="73"/>
      <c r="AE11" s="93"/>
    </row>
    <row r="12" spans="1:31 11519:16382" ht="15.6" customHeight="1">
      <c r="A12" s="144"/>
      <c r="B12" s="145"/>
      <c r="C12" s="146"/>
      <c r="D12" s="149">
        <f>+'Bang TH nop'!D11</f>
        <v>0</v>
      </c>
      <c r="E12" s="148"/>
      <c r="F12" s="111">
        <f>+'Bang TH nop'!E11</f>
        <v>0</v>
      </c>
      <c r="G12" s="78">
        <f t="shared" ref="G12" si="0">F12/26*G11</f>
        <v>0</v>
      </c>
      <c r="H12" s="60">
        <f t="shared" ref="H12" si="1">+(F12/26/8*150%)*H11</f>
        <v>0</v>
      </c>
      <c r="I12" s="81">
        <f t="shared" ref="I12" si="2">ROUND(D12/26*I11,)</f>
        <v>0</v>
      </c>
      <c r="J12" s="81">
        <f t="shared" ref="J12" si="3">ROUND(F12/26*J11,)*4</f>
        <v>0</v>
      </c>
      <c r="K12" s="81">
        <f t="shared" ref="K12" si="4">+F12/26*K11*2</f>
        <v>0</v>
      </c>
      <c r="L12" s="79">
        <f>F12*L11/(26)*30%</f>
        <v>0</v>
      </c>
      <c r="M12" s="79">
        <f>+F12/26*M11*60%</f>
        <v>0</v>
      </c>
      <c r="N12" s="79">
        <f>'Bang TH nop'!O11</f>
        <v>0</v>
      </c>
      <c r="O12" s="76">
        <f>'Bang TH nop'!N11</f>
        <v>0</v>
      </c>
      <c r="P12" s="76">
        <f>+'Bang TH nop'!S11</f>
        <v>0</v>
      </c>
      <c r="Q12" s="87">
        <f>'Bang TH nop'!M11</f>
        <v>0</v>
      </c>
      <c r="R12" s="87">
        <f>+'Bang TH nop'!Q11+'Bang TH nop'!P11</f>
        <v>0</v>
      </c>
      <c r="S12" s="59">
        <f t="shared" ref="S12" si="5">+S11*15000</f>
        <v>0</v>
      </c>
      <c r="T12" s="59"/>
      <c r="U12" s="59">
        <f>SUM(G12:S12)</f>
        <v>0</v>
      </c>
      <c r="V12" s="76"/>
      <c r="W12" s="76">
        <f>+ROUND(D12*0.5%,-3)</f>
        <v>0</v>
      </c>
      <c r="X12" s="59">
        <f t="shared" ref="X12" si="6">ROUND(U12-V12-W12,-2)</f>
        <v>0</v>
      </c>
      <c r="Y12" s="105">
        <f>+'Bang TH nop'!F11+'Bang TH nop'!H11+'Bang TH nop'!R11</f>
        <v>0</v>
      </c>
      <c r="Z12" s="103"/>
      <c r="AA12" s="75"/>
      <c r="AB12" s="95" t="e">
        <f t="shared" ref="AB12" si="7">+AA12/Z12</f>
        <v>#DIV/0!</v>
      </c>
      <c r="AC12" s="95" t="e">
        <f t="shared" ref="AC12" si="8">AE12/Y12</f>
        <v>#DIV/0!</v>
      </c>
      <c r="AD12" s="96" t="e">
        <f t="shared" ref="AD12" si="9">+AC12/AB12</f>
        <v>#DIV/0!</v>
      </c>
      <c r="AE12" s="115">
        <f>+U12-J12</f>
        <v>0</v>
      </c>
    </row>
    <row r="13" spans="1:31 11519:16382" ht="15.6" customHeight="1">
      <c r="A13" s="144">
        <v>3</v>
      </c>
      <c r="B13" s="145">
        <f>'Bang TH nop'!B13</f>
        <v>0</v>
      </c>
      <c r="C13" s="146">
        <f>'Bang TH nop'!C13</f>
        <v>0</v>
      </c>
      <c r="D13" s="147"/>
      <c r="E13" s="148"/>
      <c r="F13" s="110"/>
      <c r="G13" s="77">
        <f>'Bang TH nop'!F13</f>
        <v>0</v>
      </c>
      <c r="H13" s="88">
        <f>'Bang TH nop'!K13</f>
        <v>0</v>
      </c>
      <c r="I13" s="80">
        <f>+'Bang TH nop'!G13</f>
        <v>0</v>
      </c>
      <c r="J13" s="82">
        <f>+'Bang TH nop'!H13</f>
        <v>0</v>
      </c>
      <c r="K13" s="80">
        <f>+'Bang TH nop'!R13</f>
        <v>0</v>
      </c>
      <c r="L13" s="85">
        <f>+'Bang TH nop'!J13</f>
        <v>0</v>
      </c>
      <c r="M13" s="85"/>
      <c r="N13" s="85"/>
      <c r="O13" s="85"/>
      <c r="P13" s="85"/>
      <c r="Q13" s="86"/>
      <c r="R13" s="85"/>
      <c r="S13" s="86">
        <f>'Bang TH nop'!L13</f>
        <v>0</v>
      </c>
      <c r="T13" s="86"/>
      <c r="U13" s="86"/>
      <c r="V13" s="86"/>
      <c r="W13" s="86"/>
      <c r="X13" s="86"/>
      <c r="Y13" s="104"/>
      <c r="Z13" s="103"/>
      <c r="AA13" s="72"/>
      <c r="AB13" s="73"/>
      <c r="AC13" s="74"/>
      <c r="AD13" s="73"/>
      <c r="AE13" s="93"/>
    </row>
    <row r="14" spans="1:31 11519:16382" ht="15.6" customHeight="1">
      <c r="A14" s="144"/>
      <c r="B14" s="145"/>
      <c r="C14" s="146"/>
      <c r="D14" s="149">
        <f>+'Bang TH nop'!D13</f>
        <v>0</v>
      </c>
      <c r="E14" s="148"/>
      <c r="F14" s="111">
        <f>+'Bang TH nop'!E13</f>
        <v>0</v>
      </c>
      <c r="G14" s="78">
        <f t="shared" ref="G14" si="10">F14/26*G13</f>
        <v>0</v>
      </c>
      <c r="H14" s="60">
        <f t="shared" ref="H14" si="11">+(F14/26/8*150%)*H13</f>
        <v>0</v>
      </c>
      <c r="I14" s="81">
        <f t="shared" ref="I14" si="12">ROUND(D14/26*I13,)</f>
        <v>0</v>
      </c>
      <c r="J14" s="81">
        <f t="shared" ref="J14" si="13">ROUND(F14/26*J13,)*4</f>
        <v>0</v>
      </c>
      <c r="K14" s="81">
        <f t="shared" ref="K14" si="14">+F14/26*K13*2</f>
        <v>0</v>
      </c>
      <c r="L14" s="79">
        <f>F14*L13/(26)*30%</f>
        <v>0</v>
      </c>
      <c r="M14" s="79">
        <f>+F14/26*M13*60%</f>
        <v>0</v>
      </c>
      <c r="N14" s="79">
        <f>'Bang TH nop'!O13</f>
        <v>0</v>
      </c>
      <c r="O14" s="76">
        <f>'Bang TH nop'!N13</f>
        <v>0</v>
      </c>
      <c r="P14" s="76">
        <f>+'Bang TH nop'!S13</f>
        <v>0</v>
      </c>
      <c r="Q14" s="87">
        <f>'Bang TH nop'!M13</f>
        <v>0</v>
      </c>
      <c r="R14" s="87">
        <f>+'Bang TH nop'!Q13+'Bang TH nop'!P13</f>
        <v>0</v>
      </c>
      <c r="S14" s="59">
        <f t="shared" ref="S14" si="15">+S13*15000</f>
        <v>0</v>
      </c>
      <c r="T14" s="59"/>
      <c r="U14" s="59">
        <f>SUM(G14:S14)</f>
        <v>0</v>
      </c>
      <c r="V14" s="76"/>
      <c r="W14" s="76">
        <f>+ROUND(D14*0.5%,-3)</f>
        <v>0</v>
      </c>
      <c r="X14" s="59">
        <f t="shared" ref="X14" si="16">ROUND(U14-V14-W14,-2)</f>
        <v>0</v>
      </c>
      <c r="Y14" s="105">
        <f>+'Bang TH nop'!F13+'Bang TH nop'!H13+'Bang TH nop'!R13</f>
        <v>0</v>
      </c>
      <c r="Z14" s="103"/>
      <c r="AA14" s="75"/>
      <c r="AB14" s="95" t="e">
        <f t="shared" ref="AB14" si="17">+AA14/Z14</f>
        <v>#DIV/0!</v>
      </c>
      <c r="AC14" s="95" t="e">
        <f t="shared" ref="AC14" si="18">AE14/Y14</f>
        <v>#DIV/0!</v>
      </c>
      <c r="AD14" s="96" t="e">
        <f t="shared" ref="AD14" si="19">+AC14/AB14</f>
        <v>#DIV/0!</v>
      </c>
      <c r="AE14" s="93">
        <f>+U14-J14</f>
        <v>0</v>
      </c>
    </row>
    <row r="15" spans="1:31 11519:16382" ht="15.6" customHeight="1">
      <c r="A15" s="144">
        <v>4</v>
      </c>
      <c r="B15" s="145">
        <f>'Bang TH nop'!B15</f>
        <v>0</v>
      </c>
      <c r="C15" s="146">
        <f>'Bang TH nop'!C15</f>
        <v>0</v>
      </c>
      <c r="D15" s="147"/>
      <c r="E15" s="148"/>
      <c r="F15" s="110"/>
      <c r="G15" s="77">
        <f>'Bang TH nop'!F15</f>
        <v>0</v>
      </c>
      <c r="H15" s="88">
        <f>'Bang TH nop'!K15</f>
        <v>0</v>
      </c>
      <c r="I15" s="80">
        <f>+'Bang TH nop'!G15</f>
        <v>0</v>
      </c>
      <c r="J15" s="82">
        <f>+'Bang TH nop'!H15</f>
        <v>0</v>
      </c>
      <c r="K15" s="80">
        <f>+'Bang TH nop'!R15</f>
        <v>0</v>
      </c>
      <c r="L15" s="85">
        <f>+'Bang TH nop'!J15</f>
        <v>0</v>
      </c>
      <c r="M15" s="85"/>
      <c r="N15" s="85"/>
      <c r="O15" s="85"/>
      <c r="P15" s="85"/>
      <c r="Q15" s="86"/>
      <c r="R15" s="85"/>
      <c r="S15" s="86">
        <f>'Bang TH nop'!L15</f>
        <v>0</v>
      </c>
      <c r="T15" s="86"/>
      <c r="U15" s="86"/>
      <c r="V15" s="86"/>
      <c r="W15" s="86"/>
      <c r="X15" s="86"/>
      <c r="Y15" s="104"/>
      <c r="Z15" s="103"/>
      <c r="AA15" s="72"/>
      <c r="AB15" s="73"/>
      <c r="AC15" s="74"/>
      <c r="AD15" s="73"/>
      <c r="AE15" s="93"/>
    </row>
    <row r="16" spans="1:31 11519:16382" ht="15.6" customHeight="1">
      <c r="A16" s="144"/>
      <c r="B16" s="145"/>
      <c r="C16" s="146"/>
      <c r="D16" s="149">
        <f>+'Bang TH nop'!D15</f>
        <v>0</v>
      </c>
      <c r="E16" s="148"/>
      <c r="F16" s="111">
        <f>+'Bang TH nop'!E15</f>
        <v>0</v>
      </c>
      <c r="G16" s="78">
        <f t="shared" ref="G16" si="20">F16/26*G15</f>
        <v>0</v>
      </c>
      <c r="H16" s="60">
        <f t="shared" ref="H16" si="21">+(F16/26/8*150%)*H15</f>
        <v>0</v>
      </c>
      <c r="I16" s="81">
        <f t="shared" ref="I16" si="22">ROUND(D16/26*I15,)</f>
        <v>0</v>
      </c>
      <c r="J16" s="81">
        <f t="shared" ref="J16" si="23">ROUND(F16/26*J15,)*4</f>
        <v>0</v>
      </c>
      <c r="K16" s="81">
        <f t="shared" ref="K16" si="24">+F16/26*K15*2</f>
        <v>0</v>
      </c>
      <c r="L16" s="79">
        <f>F16*L15/(26)*30%</f>
        <v>0</v>
      </c>
      <c r="M16" s="79">
        <f>+F16/26*M15*60%</f>
        <v>0</v>
      </c>
      <c r="N16" s="79">
        <f>'Bang TH nop'!O15</f>
        <v>0</v>
      </c>
      <c r="O16" s="76">
        <f>'Bang TH nop'!N15</f>
        <v>0</v>
      </c>
      <c r="P16" s="76">
        <f>+'Bang TH nop'!S15</f>
        <v>0</v>
      </c>
      <c r="Q16" s="87">
        <f>'Bang TH nop'!M15</f>
        <v>0</v>
      </c>
      <c r="R16" s="87">
        <f>+'Bang TH nop'!Q15+'Bang TH nop'!P15</f>
        <v>0</v>
      </c>
      <c r="S16" s="59">
        <f t="shared" ref="S16" si="25">+S15*15000</f>
        <v>0</v>
      </c>
      <c r="T16" s="59"/>
      <c r="U16" s="59">
        <f>SUM(G16:S16)</f>
        <v>0</v>
      </c>
      <c r="V16" s="76"/>
      <c r="W16" s="76">
        <f>+ROUND(D16*0.5%,-3)</f>
        <v>0</v>
      </c>
      <c r="X16" s="59">
        <f t="shared" ref="X16" si="26">ROUND(U16-V16-W16,-2)</f>
        <v>0</v>
      </c>
      <c r="Y16" s="105">
        <f>+'Bang TH nop'!F15+'Bang TH nop'!H15+'Bang TH nop'!R15</f>
        <v>0</v>
      </c>
      <c r="Z16" s="103"/>
      <c r="AA16" s="75"/>
      <c r="AB16" s="95" t="e">
        <f t="shared" ref="AB16" si="27">+AA16/Z16</f>
        <v>#DIV/0!</v>
      </c>
      <c r="AC16" s="95" t="e">
        <f t="shared" ref="AC16" si="28">AE16/Y16</f>
        <v>#DIV/0!</v>
      </c>
      <c r="AD16" s="96" t="e">
        <f t="shared" ref="AD16" si="29">+AC16/AB16</f>
        <v>#DIV/0!</v>
      </c>
      <c r="AE16" s="93">
        <f>+U16-J16</f>
        <v>0</v>
      </c>
    </row>
    <row r="17" spans="1:31" ht="15.6" customHeight="1">
      <c r="A17" s="144">
        <v>5</v>
      </c>
      <c r="B17" s="145">
        <f>'Bang TH nop'!B17</f>
        <v>0</v>
      </c>
      <c r="C17" s="146">
        <f>'Bang TH nop'!C17</f>
        <v>0</v>
      </c>
      <c r="D17" s="147"/>
      <c r="E17" s="148"/>
      <c r="F17" s="110"/>
      <c r="G17" s="77">
        <f>'Bang TH nop'!F17</f>
        <v>0</v>
      </c>
      <c r="H17" s="88">
        <f>'Bang TH nop'!K17</f>
        <v>0</v>
      </c>
      <c r="I17" s="80">
        <f>+'Bang TH nop'!G17</f>
        <v>0</v>
      </c>
      <c r="J17" s="82">
        <f>+'Bang TH nop'!H17</f>
        <v>0</v>
      </c>
      <c r="K17" s="80">
        <f>+'Bang TH nop'!R17</f>
        <v>0</v>
      </c>
      <c r="L17" s="85">
        <f>+'Bang TH nop'!J17</f>
        <v>0</v>
      </c>
      <c r="M17" s="85"/>
      <c r="N17" s="85"/>
      <c r="O17" s="85"/>
      <c r="P17" s="85"/>
      <c r="Q17" s="86"/>
      <c r="R17" s="85"/>
      <c r="S17" s="86">
        <f>'Bang TH nop'!L17</f>
        <v>0</v>
      </c>
      <c r="T17" s="86"/>
      <c r="U17" s="86"/>
      <c r="V17" s="86"/>
      <c r="W17" s="86"/>
      <c r="X17" s="86"/>
      <c r="Y17" s="104"/>
      <c r="Z17" s="103"/>
      <c r="AA17" s="72"/>
      <c r="AB17" s="73"/>
      <c r="AC17" s="74"/>
      <c r="AD17" s="73"/>
      <c r="AE17" s="93"/>
    </row>
    <row r="18" spans="1:31" ht="15.6" customHeight="1">
      <c r="A18" s="144"/>
      <c r="B18" s="145"/>
      <c r="C18" s="146"/>
      <c r="D18" s="149">
        <f>+'Bang TH nop'!D17</f>
        <v>0</v>
      </c>
      <c r="E18" s="148"/>
      <c r="F18" s="111">
        <f>+'Bang TH nop'!E17</f>
        <v>0</v>
      </c>
      <c r="G18" s="78">
        <f t="shared" ref="G18" si="30">F18/26*G17</f>
        <v>0</v>
      </c>
      <c r="H18" s="60">
        <f t="shared" ref="H18" si="31">+(F18/26/8*150%)*H17</f>
        <v>0</v>
      </c>
      <c r="I18" s="81">
        <f t="shared" ref="I18" si="32">ROUND(D18/26*I17,)</f>
        <v>0</v>
      </c>
      <c r="J18" s="81">
        <f t="shared" ref="J18" si="33">ROUND(F18/26*J17,)*4</f>
        <v>0</v>
      </c>
      <c r="K18" s="81">
        <f t="shared" ref="K18" si="34">+F18/26*K17*2</f>
        <v>0</v>
      </c>
      <c r="L18" s="79">
        <f>F18*L17/(26)*30%</f>
        <v>0</v>
      </c>
      <c r="M18" s="79">
        <f>+F18/26*M17*60%</f>
        <v>0</v>
      </c>
      <c r="N18" s="79">
        <f>'Bang TH nop'!O17</f>
        <v>0</v>
      </c>
      <c r="O18" s="76">
        <f>'Bang TH nop'!N17</f>
        <v>0</v>
      </c>
      <c r="P18" s="76">
        <f>+'Bang TH nop'!S17</f>
        <v>0</v>
      </c>
      <c r="Q18" s="87">
        <f>'Bang TH nop'!M17</f>
        <v>0</v>
      </c>
      <c r="R18" s="87">
        <f>+'Bang TH nop'!Q17+'Bang TH nop'!P17</f>
        <v>0</v>
      </c>
      <c r="S18" s="59">
        <f t="shared" ref="S18" si="35">+S17*15000</f>
        <v>0</v>
      </c>
      <c r="T18" s="59"/>
      <c r="U18" s="59">
        <f>SUM(G18:S18)</f>
        <v>0</v>
      </c>
      <c r="V18" s="76"/>
      <c r="W18" s="76">
        <f>+ROUND(D18*0.5%,-3)</f>
        <v>0</v>
      </c>
      <c r="X18" s="59">
        <f t="shared" ref="X18" si="36">ROUND(U18-V18-W18,-2)</f>
        <v>0</v>
      </c>
      <c r="Y18" s="105">
        <f>+'Bang TH nop'!F17+'Bang TH nop'!H17+'Bang TH nop'!R17</f>
        <v>0</v>
      </c>
      <c r="Z18" s="103"/>
      <c r="AA18" s="75"/>
      <c r="AB18" s="95" t="e">
        <f t="shared" ref="AB18" si="37">+AA18/Z18</f>
        <v>#DIV/0!</v>
      </c>
      <c r="AC18" s="95" t="e">
        <f t="shared" ref="AC18" si="38">AE18/Y18</f>
        <v>#DIV/0!</v>
      </c>
      <c r="AD18" s="96" t="e">
        <f t="shared" ref="AD18" si="39">+AC18/AB18</f>
        <v>#DIV/0!</v>
      </c>
      <c r="AE18" s="93">
        <f>+U18-J18</f>
        <v>0</v>
      </c>
    </row>
    <row r="19" spans="1:31" ht="15.6" customHeight="1">
      <c r="A19" s="144">
        <v>6</v>
      </c>
      <c r="B19" s="145">
        <f>'Bang TH nop'!B19</f>
        <v>0</v>
      </c>
      <c r="C19" s="146">
        <f>'Bang TH nop'!C19</f>
        <v>0</v>
      </c>
      <c r="D19" s="147"/>
      <c r="E19" s="148"/>
      <c r="F19" s="110"/>
      <c r="G19" s="77">
        <f>'Bang TH nop'!F19</f>
        <v>0</v>
      </c>
      <c r="H19" s="88">
        <f>'Bang TH nop'!K19</f>
        <v>0</v>
      </c>
      <c r="I19" s="80">
        <f>+'Bang TH nop'!G19</f>
        <v>0</v>
      </c>
      <c r="J19" s="82">
        <f>+'Bang TH nop'!H19</f>
        <v>0</v>
      </c>
      <c r="K19" s="80">
        <f>+'Bang TH nop'!R19</f>
        <v>0</v>
      </c>
      <c r="L19" s="85">
        <f>+'Bang TH nop'!J19</f>
        <v>0</v>
      </c>
      <c r="M19" s="85"/>
      <c r="N19" s="85"/>
      <c r="O19" s="85"/>
      <c r="P19" s="85"/>
      <c r="Q19" s="86"/>
      <c r="R19" s="85"/>
      <c r="S19" s="86">
        <f>'Bang TH nop'!L19</f>
        <v>0</v>
      </c>
      <c r="T19" s="86"/>
      <c r="U19" s="86"/>
      <c r="V19" s="86"/>
      <c r="W19" s="86"/>
      <c r="X19" s="86"/>
      <c r="Y19" s="104"/>
      <c r="Z19" s="103"/>
      <c r="AA19" s="72"/>
      <c r="AB19" s="73"/>
      <c r="AC19" s="74"/>
      <c r="AD19" s="73"/>
      <c r="AE19" s="93"/>
    </row>
    <row r="20" spans="1:31" ht="15.6" customHeight="1">
      <c r="A20" s="144"/>
      <c r="B20" s="145"/>
      <c r="C20" s="146"/>
      <c r="D20" s="149">
        <f>+'Bang TH nop'!D19</f>
        <v>0</v>
      </c>
      <c r="E20" s="148"/>
      <c r="F20" s="111">
        <f>+'Bang TH nop'!E19</f>
        <v>0</v>
      </c>
      <c r="G20" s="78">
        <f t="shared" ref="G20" si="40">F20/26*G19</f>
        <v>0</v>
      </c>
      <c r="H20" s="60">
        <f t="shared" ref="H20" si="41">+(F20/26/8*150%)*H19</f>
        <v>0</v>
      </c>
      <c r="I20" s="81">
        <f t="shared" ref="I20" si="42">ROUND(D20/26*I19,)</f>
        <v>0</v>
      </c>
      <c r="J20" s="81">
        <f t="shared" ref="J20" si="43">ROUND(F20/26*J19,)*4</f>
        <v>0</v>
      </c>
      <c r="K20" s="81">
        <f t="shared" ref="K20" si="44">+F20/26*K19*2</f>
        <v>0</v>
      </c>
      <c r="L20" s="79">
        <f>F20*L19/(26)*30%</f>
        <v>0</v>
      </c>
      <c r="M20" s="79">
        <f>+F20/26*M19*60%</f>
        <v>0</v>
      </c>
      <c r="N20" s="79">
        <f>'Bang TH nop'!O19</f>
        <v>0</v>
      </c>
      <c r="O20" s="76">
        <f>'Bang TH nop'!N19</f>
        <v>0</v>
      </c>
      <c r="P20" s="76">
        <f>+'Bang TH nop'!S19</f>
        <v>0</v>
      </c>
      <c r="Q20" s="87">
        <f>'Bang TH nop'!M19</f>
        <v>0</v>
      </c>
      <c r="R20" s="87">
        <f>+'Bang TH nop'!Q19+'Bang TH nop'!P19</f>
        <v>0</v>
      </c>
      <c r="S20" s="59">
        <f t="shared" ref="S20" si="45">+S19*15000</f>
        <v>0</v>
      </c>
      <c r="T20" s="59"/>
      <c r="U20" s="59">
        <f>SUM(G20:S20)</f>
        <v>0</v>
      </c>
      <c r="V20" s="76"/>
      <c r="W20" s="76">
        <f>+ROUND(D20*0.5%,-3)</f>
        <v>0</v>
      </c>
      <c r="X20" s="59">
        <f t="shared" ref="X20" si="46">ROUND(U20-V20-W20,-2)</f>
        <v>0</v>
      </c>
      <c r="Y20" s="105">
        <f>+'Bang TH nop'!F19+'Bang TH nop'!H19+'Bang TH nop'!R19</f>
        <v>0</v>
      </c>
      <c r="Z20" s="103"/>
      <c r="AA20" s="75"/>
      <c r="AB20" s="95" t="e">
        <f t="shared" ref="AB20" si="47">+AA20/Z20</f>
        <v>#DIV/0!</v>
      </c>
      <c r="AC20" s="95" t="e">
        <f t="shared" ref="AC20" si="48">AE20/Y20</f>
        <v>#DIV/0!</v>
      </c>
      <c r="AD20" s="96" t="e">
        <f t="shared" ref="AD20" si="49">+AC20/AB20</f>
        <v>#DIV/0!</v>
      </c>
      <c r="AE20" s="93">
        <f>+U20-J20</f>
        <v>0</v>
      </c>
    </row>
    <row r="21" spans="1:31" ht="15.6" customHeight="1">
      <c r="A21" s="144">
        <v>7</v>
      </c>
      <c r="B21" s="145">
        <f>'Bang TH nop'!B21</f>
        <v>0</v>
      </c>
      <c r="C21" s="146">
        <f>'Bang TH nop'!C21</f>
        <v>0</v>
      </c>
      <c r="D21" s="147"/>
      <c r="E21" s="148"/>
      <c r="F21" s="110"/>
      <c r="G21" s="77">
        <f>'Bang TH nop'!F21</f>
        <v>0</v>
      </c>
      <c r="H21" s="88">
        <f>'Bang TH nop'!K21</f>
        <v>0</v>
      </c>
      <c r="I21" s="80">
        <f>+'Bang TH nop'!G21</f>
        <v>0</v>
      </c>
      <c r="J21" s="82">
        <f>+'Bang TH nop'!H21</f>
        <v>0</v>
      </c>
      <c r="K21" s="80">
        <f>+'Bang TH nop'!R21</f>
        <v>0</v>
      </c>
      <c r="L21" s="85">
        <f>+'Bang TH nop'!J21</f>
        <v>0</v>
      </c>
      <c r="M21" s="85"/>
      <c r="N21" s="85"/>
      <c r="O21" s="85"/>
      <c r="P21" s="85"/>
      <c r="Q21" s="86"/>
      <c r="R21" s="85"/>
      <c r="S21" s="86">
        <f>'Bang TH nop'!L21</f>
        <v>0</v>
      </c>
      <c r="T21" s="86"/>
      <c r="U21" s="86"/>
      <c r="V21" s="86"/>
      <c r="W21" s="86"/>
      <c r="X21" s="86"/>
      <c r="Y21" s="104"/>
      <c r="Z21" s="103"/>
      <c r="AA21" s="72"/>
      <c r="AB21" s="73"/>
      <c r="AC21" s="74"/>
      <c r="AD21" s="73"/>
      <c r="AE21" s="93"/>
    </row>
    <row r="22" spans="1:31" ht="15.6" customHeight="1">
      <c r="A22" s="144"/>
      <c r="B22" s="145"/>
      <c r="C22" s="146"/>
      <c r="D22" s="149">
        <f>+'Bang TH nop'!D21</f>
        <v>0</v>
      </c>
      <c r="E22" s="148"/>
      <c r="F22" s="111">
        <f>+'Bang TH nop'!E21</f>
        <v>0</v>
      </c>
      <c r="G22" s="78">
        <f t="shared" ref="G22" si="50">F22/26*G21</f>
        <v>0</v>
      </c>
      <c r="H22" s="60">
        <f t="shared" ref="H22" si="51">+(F22/26/8*150%)*H21</f>
        <v>0</v>
      </c>
      <c r="I22" s="81">
        <f t="shared" ref="I22" si="52">ROUND(D22/26*I21,)</f>
        <v>0</v>
      </c>
      <c r="J22" s="81">
        <f t="shared" ref="J22" si="53">ROUND(F22/26*J21,)*4</f>
        <v>0</v>
      </c>
      <c r="K22" s="81">
        <f t="shared" ref="K22" si="54">+F22/26*K21*2</f>
        <v>0</v>
      </c>
      <c r="L22" s="79">
        <f>F22*L21/(26)*30%</f>
        <v>0</v>
      </c>
      <c r="M22" s="79">
        <f>+F22/26*M21*60%</f>
        <v>0</v>
      </c>
      <c r="N22" s="79">
        <f>'Bang TH nop'!O21</f>
        <v>0</v>
      </c>
      <c r="O22" s="76">
        <f>'Bang TH nop'!N21</f>
        <v>0</v>
      </c>
      <c r="P22" s="76">
        <f>+'Bang TH nop'!S21</f>
        <v>0</v>
      </c>
      <c r="Q22" s="87">
        <f>'Bang TH nop'!M21</f>
        <v>0</v>
      </c>
      <c r="R22" s="87">
        <f>+'Bang TH nop'!Q21+'Bang TH nop'!P21</f>
        <v>0</v>
      </c>
      <c r="S22" s="59">
        <f t="shared" ref="S22" si="55">+S21*15000</f>
        <v>0</v>
      </c>
      <c r="T22" s="59"/>
      <c r="U22" s="59">
        <f>SUM(G22:S22)</f>
        <v>0</v>
      </c>
      <c r="V22" s="76"/>
      <c r="W22" s="76">
        <f>+ROUND(D22*0.5%,-3)</f>
        <v>0</v>
      </c>
      <c r="X22" s="59">
        <f t="shared" ref="X22" si="56">ROUND(U22-V22-W22,-2)</f>
        <v>0</v>
      </c>
      <c r="Y22" s="105">
        <f>+'Bang TH nop'!F21+'Bang TH nop'!H21+'Bang TH nop'!R21</f>
        <v>0</v>
      </c>
      <c r="Z22" s="103"/>
      <c r="AA22" s="75"/>
      <c r="AB22" s="95" t="e">
        <f t="shared" ref="AB22" si="57">+AA22/Z22</f>
        <v>#DIV/0!</v>
      </c>
      <c r="AC22" s="95" t="e">
        <f t="shared" ref="AC22" si="58">AE22/Y22</f>
        <v>#DIV/0!</v>
      </c>
      <c r="AD22" s="96" t="e">
        <f t="shared" ref="AD22" si="59">+AC22/AB22</f>
        <v>#DIV/0!</v>
      </c>
      <c r="AE22" s="93">
        <f>+U22-J22</f>
        <v>0</v>
      </c>
    </row>
    <row r="23" spans="1:31" ht="15.6" hidden="1" customHeight="1">
      <c r="A23" s="144"/>
      <c r="B23" s="145"/>
      <c r="C23" s="151"/>
      <c r="D23" s="147"/>
      <c r="E23" s="149"/>
      <c r="F23" s="109"/>
      <c r="G23" s="34"/>
      <c r="H23" s="38"/>
      <c r="I23" s="35"/>
      <c r="J23" s="36"/>
      <c r="K23" s="80">
        <f>+'Bang TH nop'!R23</f>
        <v>0</v>
      </c>
      <c r="L23" s="85">
        <f>+'Bang TH nop'!J23</f>
        <v>0</v>
      </c>
      <c r="M23" s="85"/>
      <c r="N23" s="33"/>
      <c r="O23" s="33"/>
      <c r="P23" s="33"/>
      <c r="Q23" s="37"/>
      <c r="R23" s="33"/>
      <c r="S23" s="37"/>
      <c r="T23" s="37"/>
      <c r="U23" s="37"/>
      <c r="V23" s="59"/>
      <c r="W23" s="37"/>
      <c r="X23" s="37"/>
      <c r="Y23" s="106"/>
      <c r="Z23" s="103"/>
      <c r="AA23" s="72"/>
    </row>
    <row r="24" spans="1:31" ht="15.6" hidden="1" customHeight="1">
      <c r="A24" s="144"/>
      <c r="B24" s="145"/>
      <c r="C24" s="151"/>
      <c r="D24" s="149"/>
      <c r="E24" s="149"/>
      <c r="F24" s="109"/>
      <c r="G24" s="39"/>
      <c r="H24" s="38"/>
      <c r="I24" s="40"/>
      <c r="J24" s="40"/>
      <c r="K24" s="81">
        <f t="shared" ref="K24" si="60">+F24/26*K23*2</f>
        <v>0</v>
      </c>
      <c r="L24" s="79">
        <f>F24*L23/(26)*30%</f>
        <v>0</v>
      </c>
      <c r="M24" s="79"/>
      <c r="N24" s="40"/>
      <c r="O24" s="39"/>
      <c r="P24" s="39"/>
      <c r="Q24" s="41"/>
      <c r="R24" s="41"/>
      <c r="S24" s="37"/>
      <c r="T24" s="37"/>
      <c r="U24" s="37"/>
      <c r="V24" s="39"/>
      <c r="W24" s="37"/>
      <c r="X24" s="37"/>
      <c r="Y24" s="106"/>
      <c r="Z24" s="103">
        <f>+IFERROR(VLOOKUP(C23,'[1]Bản gốc T10'!$C$1:$J$1000,8,0),0)</f>
        <v>0</v>
      </c>
      <c r="AA24" s="75">
        <f>+IFERROR(VLOOKUP(C23,'[1]Bản gốc T10'!$C$1:$F$1000,4,0),0)</f>
        <v>0</v>
      </c>
    </row>
    <row r="25" spans="1:31" ht="15.6" hidden="1" customHeight="1">
      <c r="A25" s="144"/>
      <c r="B25" s="145"/>
      <c r="C25" s="151"/>
      <c r="D25" s="147"/>
      <c r="E25" s="149"/>
      <c r="F25" s="109"/>
      <c r="G25" s="34"/>
      <c r="H25" s="38"/>
      <c r="I25" s="35"/>
      <c r="J25" s="36"/>
      <c r="K25" s="80">
        <f>+'Bang TH nop'!R25</f>
        <v>0</v>
      </c>
      <c r="L25" s="85">
        <f>+'Bang TH nop'!J25</f>
        <v>0</v>
      </c>
      <c r="M25" s="85"/>
      <c r="N25" s="33"/>
      <c r="O25" s="33"/>
      <c r="P25" s="33"/>
      <c r="Q25" s="37"/>
      <c r="R25" s="33"/>
      <c r="S25" s="37"/>
      <c r="T25" s="37"/>
      <c r="U25" s="37"/>
      <c r="V25" s="59"/>
      <c r="W25" s="37"/>
      <c r="X25" s="37"/>
      <c r="Y25" s="106"/>
      <c r="Z25" s="103"/>
      <c r="AA25" s="72"/>
    </row>
    <row r="26" spans="1:31" ht="15.6" hidden="1" customHeight="1">
      <c r="A26" s="144"/>
      <c r="B26" s="145"/>
      <c r="C26" s="151"/>
      <c r="D26" s="149"/>
      <c r="E26" s="149"/>
      <c r="F26" s="109"/>
      <c r="G26" s="39"/>
      <c r="H26" s="38"/>
      <c r="I26" s="40"/>
      <c r="J26" s="40"/>
      <c r="K26" s="81">
        <f t="shared" ref="K26" si="61">+F26/26*K25*2</f>
        <v>0</v>
      </c>
      <c r="L26" s="79">
        <f>F26*L25/(26)*30%</f>
        <v>0</v>
      </c>
      <c r="M26" s="79"/>
      <c r="N26" s="40"/>
      <c r="O26" s="39"/>
      <c r="P26" s="39"/>
      <c r="Q26" s="41"/>
      <c r="R26" s="41"/>
      <c r="S26" s="37"/>
      <c r="T26" s="37"/>
      <c r="U26" s="37"/>
      <c r="V26" s="39"/>
      <c r="W26" s="37"/>
      <c r="X26" s="37"/>
      <c r="Y26" s="106"/>
      <c r="Z26" s="103">
        <f>+IFERROR(VLOOKUP(C25,'[1]Bản gốc T10'!$C$1:$J$1000,8,0),0)</f>
        <v>0</v>
      </c>
      <c r="AA26" s="75">
        <f>+IFERROR(VLOOKUP(C25,'[1]Bản gốc T10'!$C$1:$F$1000,4,0),0)</f>
        <v>0</v>
      </c>
    </row>
    <row r="27" spans="1:31" ht="15.6" hidden="1" customHeight="1" outlineLevel="1">
      <c r="A27" s="144"/>
      <c r="B27" s="145"/>
      <c r="C27" s="151"/>
      <c r="D27" s="147"/>
      <c r="E27" s="149"/>
      <c r="F27" s="109"/>
      <c r="G27" s="34"/>
      <c r="H27" s="38"/>
      <c r="I27" s="35"/>
      <c r="J27" s="36"/>
      <c r="K27" s="80">
        <f>+'Bang TH nop'!R27</f>
        <v>0</v>
      </c>
      <c r="L27" s="85">
        <f>+'Bang TH nop'!J27</f>
        <v>0</v>
      </c>
      <c r="M27" s="85"/>
      <c r="N27" s="33"/>
      <c r="O27" s="33"/>
      <c r="P27" s="33"/>
      <c r="Q27" s="37"/>
      <c r="R27" s="33"/>
      <c r="S27" s="37"/>
      <c r="T27" s="37"/>
      <c r="U27" s="37"/>
      <c r="V27" s="59"/>
      <c r="W27" s="37"/>
      <c r="X27" s="37"/>
      <c r="Y27" s="106"/>
      <c r="Z27" s="103"/>
      <c r="AA27" s="72"/>
    </row>
    <row r="28" spans="1:31" ht="15.6" hidden="1" customHeight="1" outlineLevel="1">
      <c r="A28" s="144"/>
      <c r="B28" s="145"/>
      <c r="C28" s="151"/>
      <c r="D28" s="149"/>
      <c r="E28" s="149"/>
      <c r="F28" s="109"/>
      <c r="G28" s="39"/>
      <c r="H28" s="38"/>
      <c r="I28" s="40"/>
      <c r="J28" s="40"/>
      <c r="K28" s="81">
        <f t="shared" ref="K28" si="62">+F28/26*K27*2</f>
        <v>0</v>
      </c>
      <c r="L28" s="79">
        <f>F28*L27/(26)*30%</f>
        <v>0</v>
      </c>
      <c r="M28" s="79"/>
      <c r="N28" s="40"/>
      <c r="O28" s="39"/>
      <c r="P28" s="39"/>
      <c r="Q28" s="41"/>
      <c r="R28" s="41"/>
      <c r="S28" s="37"/>
      <c r="T28" s="37"/>
      <c r="U28" s="37"/>
      <c r="V28" s="39"/>
      <c r="W28" s="37"/>
      <c r="X28" s="37"/>
      <c r="Y28" s="106"/>
      <c r="Z28" s="103">
        <f>+IFERROR(VLOOKUP(C27,'[1]Bản gốc T10'!$C$1:$J$1000,8,0),0)</f>
        <v>0</v>
      </c>
      <c r="AA28" s="75">
        <f>+IFERROR(VLOOKUP(C27,'[1]Bản gốc T10'!$C$1:$F$1000,4,0),0)</f>
        <v>0</v>
      </c>
    </row>
    <row r="29" spans="1:31" ht="15.6" hidden="1" customHeight="1" outlineLevel="1">
      <c r="A29" s="144"/>
      <c r="B29" s="145"/>
      <c r="C29" s="151"/>
      <c r="D29" s="147"/>
      <c r="E29" s="149"/>
      <c r="F29" s="109"/>
      <c r="G29" s="34"/>
      <c r="H29" s="38"/>
      <c r="I29" s="35"/>
      <c r="J29" s="36"/>
      <c r="K29" s="80">
        <f>+'Bang TH nop'!R29</f>
        <v>0</v>
      </c>
      <c r="L29" s="85">
        <f>+'Bang TH nop'!J29</f>
        <v>0</v>
      </c>
      <c r="M29" s="85"/>
      <c r="N29" s="33"/>
      <c r="O29" s="33"/>
      <c r="P29" s="33"/>
      <c r="Q29" s="37"/>
      <c r="R29" s="33"/>
      <c r="S29" s="37"/>
      <c r="T29" s="37"/>
      <c r="U29" s="37"/>
      <c r="V29" s="59"/>
      <c r="W29" s="37"/>
      <c r="X29" s="37"/>
      <c r="Y29" s="106"/>
      <c r="Z29" s="103"/>
      <c r="AA29" s="72"/>
    </row>
    <row r="30" spans="1:31" ht="15.6" hidden="1" customHeight="1" outlineLevel="1">
      <c r="A30" s="144"/>
      <c r="B30" s="145"/>
      <c r="C30" s="151"/>
      <c r="D30" s="149"/>
      <c r="E30" s="149"/>
      <c r="F30" s="109"/>
      <c r="G30" s="39"/>
      <c r="H30" s="38"/>
      <c r="I30" s="40"/>
      <c r="J30" s="40"/>
      <c r="K30" s="81">
        <f t="shared" ref="K30" si="63">+F30/26*K29*2</f>
        <v>0</v>
      </c>
      <c r="L30" s="79">
        <f>F30*L29/(26)*30%</f>
        <v>0</v>
      </c>
      <c r="M30" s="79"/>
      <c r="N30" s="40"/>
      <c r="O30" s="39"/>
      <c r="P30" s="39"/>
      <c r="Q30" s="41"/>
      <c r="R30" s="41"/>
      <c r="S30" s="37"/>
      <c r="T30" s="37"/>
      <c r="U30" s="37"/>
      <c r="V30" s="39"/>
      <c r="W30" s="37"/>
      <c r="X30" s="37"/>
      <c r="Y30" s="106"/>
      <c r="Z30" s="103">
        <f>+IFERROR(VLOOKUP(C29,'[1]Bản gốc T10'!$C$1:$J$1000,8,0),0)</f>
        <v>0</v>
      </c>
      <c r="AA30" s="75">
        <f>+IFERROR(VLOOKUP(C29,'[1]Bản gốc T10'!$C$1:$F$1000,4,0),0)</f>
        <v>0</v>
      </c>
    </row>
    <row r="31" spans="1:31" ht="15.6" hidden="1" customHeight="1" outlineLevel="1">
      <c r="A31" s="144"/>
      <c r="B31" s="145"/>
      <c r="C31" s="151"/>
      <c r="D31" s="147"/>
      <c r="E31" s="149"/>
      <c r="F31" s="109"/>
      <c r="G31" s="34"/>
      <c r="H31" s="38"/>
      <c r="I31" s="35"/>
      <c r="J31" s="36"/>
      <c r="K31" s="80">
        <f>+'Bang TH nop'!R31</f>
        <v>0</v>
      </c>
      <c r="L31" s="85">
        <f>+'Bang TH nop'!J31</f>
        <v>0</v>
      </c>
      <c r="M31" s="85"/>
      <c r="N31" s="33"/>
      <c r="O31" s="33"/>
      <c r="P31" s="33"/>
      <c r="Q31" s="37"/>
      <c r="R31" s="33"/>
      <c r="S31" s="37"/>
      <c r="T31" s="37"/>
      <c r="U31" s="37"/>
      <c r="V31" s="59"/>
      <c r="W31" s="37"/>
      <c r="X31" s="37"/>
      <c r="Y31" s="106"/>
      <c r="Z31" s="103"/>
      <c r="AA31" s="72"/>
    </row>
    <row r="32" spans="1:31" ht="15.6" hidden="1" customHeight="1" outlineLevel="1">
      <c r="A32" s="144"/>
      <c r="B32" s="145"/>
      <c r="C32" s="151"/>
      <c r="D32" s="149"/>
      <c r="E32" s="149"/>
      <c r="F32" s="109"/>
      <c r="G32" s="39"/>
      <c r="H32" s="38"/>
      <c r="I32" s="40"/>
      <c r="J32" s="40"/>
      <c r="K32" s="81">
        <f t="shared" ref="K32" si="64">+F32/26*K31*2</f>
        <v>0</v>
      </c>
      <c r="L32" s="79">
        <f>F32*L31/(26)*30%</f>
        <v>0</v>
      </c>
      <c r="M32" s="79"/>
      <c r="N32" s="40"/>
      <c r="O32" s="39"/>
      <c r="P32" s="39"/>
      <c r="Q32" s="41"/>
      <c r="R32" s="41"/>
      <c r="S32" s="37"/>
      <c r="T32" s="37"/>
      <c r="U32" s="37"/>
      <c r="V32" s="39"/>
      <c r="W32" s="37"/>
      <c r="X32" s="37"/>
      <c r="Y32" s="106"/>
      <c r="Z32" s="103">
        <f>+IFERROR(VLOOKUP(C31,'[1]Bản gốc T10'!$C$1:$J$1000,8,0),0)</f>
        <v>0</v>
      </c>
      <c r="AA32" s="75">
        <f>+IFERROR(VLOOKUP(C31,'[1]Bản gốc T10'!$C$1:$F$1000,4,0),0)</f>
        <v>0</v>
      </c>
    </row>
    <row r="33" spans="1:27" ht="15.6" hidden="1" customHeight="1" outlineLevel="1">
      <c r="A33" s="144"/>
      <c r="B33" s="145"/>
      <c r="C33" s="151"/>
      <c r="D33" s="147"/>
      <c r="E33" s="149"/>
      <c r="F33" s="109"/>
      <c r="G33" s="34"/>
      <c r="H33" s="38"/>
      <c r="I33" s="35"/>
      <c r="J33" s="36"/>
      <c r="K33" s="80">
        <f>+'Bang TH nop'!R33</f>
        <v>0</v>
      </c>
      <c r="L33" s="85">
        <f>+'Bang TH nop'!J33</f>
        <v>0</v>
      </c>
      <c r="M33" s="85"/>
      <c r="N33" s="33"/>
      <c r="O33" s="33"/>
      <c r="P33" s="33"/>
      <c r="Q33" s="37"/>
      <c r="R33" s="33"/>
      <c r="S33" s="37"/>
      <c r="T33" s="37"/>
      <c r="U33" s="37"/>
      <c r="V33" s="59"/>
      <c r="W33" s="37"/>
      <c r="X33" s="37"/>
      <c r="Y33" s="106"/>
      <c r="Z33" s="103"/>
      <c r="AA33" s="72"/>
    </row>
    <row r="34" spans="1:27" ht="15.6" hidden="1" customHeight="1" outlineLevel="1">
      <c r="A34" s="144"/>
      <c r="B34" s="145"/>
      <c r="C34" s="151"/>
      <c r="D34" s="149"/>
      <c r="E34" s="149"/>
      <c r="F34" s="109"/>
      <c r="G34" s="39"/>
      <c r="H34" s="38"/>
      <c r="I34" s="40"/>
      <c r="J34" s="40"/>
      <c r="K34" s="81">
        <f t="shared" ref="K34" si="65">+F34/26*K33*2</f>
        <v>0</v>
      </c>
      <c r="L34" s="79">
        <f>F34*L33/(26)*30%</f>
        <v>0</v>
      </c>
      <c r="M34" s="79"/>
      <c r="N34" s="40"/>
      <c r="O34" s="39"/>
      <c r="P34" s="39"/>
      <c r="Q34" s="41"/>
      <c r="R34" s="41"/>
      <c r="S34" s="37"/>
      <c r="T34" s="37"/>
      <c r="U34" s="37"/>
      <c r="V34" s="39"/>
      <c r="W34" s="37"/>
      <c r="X34" s="37"/>
      <c r="Y34" s="106"/>
      <c r="Z34" s="103">
        <f>+IFERROR(VLOOKUP(C33,'[1]Bản gốc T10'!$C$1:$J$1000,8,0),0)</f>
        <v>0</v>
      </c>
      <c r="AA34" s="75">
        <f>+IFERROR(VLOOKUP(C33,'[1]Bản gốc T10'!$C$1:$F$1000,4,0),0)</f>
        <v>0</v>
      </c>
    </row>
    <row r="35" spans="1:27" ht="15.6" hidden="1" customHeight="1" outlineLevel="1">
      <c r="A35" s="144"/>
      <c r="B35" s="145"/>
      <c r="C35" s="151"/>
      <c r="D35" s="147"/>
      <c r="E35" s="149"/>
      <c r="F35" s="109"/>
      <c r="G35" s="34"/>
      <c r="H35" s="38"/>
      <c r="I35" s="35"/>
      <c r="J35" s="36"/>
      <c r="K35" s="80">
        <f>+'Bang TH nop'!R35</f>
        <v>0</v>
      </c>
      <c r="L35" s="85">
        <f>+'Bang TH nop'!J35</f>
        <v>0</v>
      </c>
      <c r="M35" s="85"/>
      <c r="N35" s="33"/>
      <c r="O35" s="33"/>
      <c r="P35" s="33"/>
      <c r="Q35" s="37"/>
      <c r="R35" s="33"/>
      <c r="S35" s="37"/>
      <c r="T35" s="37"/>
      <c r="U35" s="37"/>
      <c r="V35" s="59"/>
      <c r="W35" s="37"/>
      <c r="X35" s="37"/>
      <c r="Y35" s="106"/>
      <c r="Z35" s="103"/>
      <c r="AA35" s="72"/>
    </row>
    <row r="36" spans="1:27" ht="15.6" hidden="1" customHeight="1" outlineLevel="1">
      <c r="A36" s="144"/>
      <c r="B36" s="145"/>
      <c r="C36" s="151"/>
      <c r="D36" s="149"/>
      <c r="E36" s="149"/>
      <c r="F36" s="109"/>
      <c r="G36" s="39"/>
      <c r="H36" s="38"/>
      <c r="I36" s="40"/>
      <c r="J36" s="40"/>
      <c r="K36" s="81">
        <f t="shared" ref="K36" si="66">+F36/26*K35*2</f>
        <v>0</v>
      </c>
      <c r="L36" s="79">
        <f>F36*L35/(26)*30%</f>
        <v>0</v>
      </c>
      <c r="M36" s="79"/>
      <c r="N36" s="40"/>
      <c r="O36" s="39"/>
      <c r="P36" s="39"/>
      <c r="Q36" s="41"/>
      <c r="R36" s="41"/>
      <c r="S36" s="37"/>
      <c r="T36" s="37"/>
      <c r="U36" s="37"/>
      <c r="V36" s="39"/>
      <c r="W36" s="37"/>
      <c r="X36" s="37"/>
      <c r="Y36" s="106"/>
      <c r="Z36" s="103">
        <f>+IFERROR(VLOOKUP(C35,'[1]Bản gốc T10'!$C$1:$J$1000,8,0),0)</f>
        <v>0</v>
      </c>
      <c r="AA36" s="75">
        <f>+IFERROR(VLOOKUP(C35,'[1]Bản gốc T10'!$C$1:$F$1000,4,0),0)</f>
        <v>0</v>
      </c>
    </row>
    <row r="37" spans="1:27" ht="15.6" hidden="1" customHeight="1" outlineLevel="1">
      <c r="A37" s="144"/>
      <c r="B37" s="145"/>
      <c r="C37" s="151"/>
      <c r="D37" s="147"/>
      <c r="E37" s="149"/>
      <c r="F37" s="109"/>
      <c r="G37" s="34"/>
      <c r="H37" s="38"/>
      <c r="I37" s="35"/>
      <c r="J37" s="36"/>
      <c r="K37" s="80">
        <f>+'Bang TH nop'!R37</f>
        <v>0</v>
      </c>
      <c r="L37" s="85">
        <f>+'Bang TH nop'!J37</f>
        <v>0</v>
      </c>
      <c r="M37" s="85"/>
      <c r="N37" s="33"/>
      <c r="O37" s="33"/>
      <c r="P37" s="33"/>
      <c r="Q37" s="37"/>
      <c r="R37" s="33"/>
      <c r="S37" s="37"/>
      <c r="T37" s="37"/>
      <c r="U37" s="37"/>
      <c r="V37" s="59"/>
      <c r="W37" s="37"/>
      <c r="X37" s="37"/>
      <c r="Y37" s="106"/>
      <c r="Z37" s="103"/>
      <c r="AA37" s="72"/>
    </row>
    <row r="38" spans="1:27" ht="15.6" hidden="1" customHeight="1" outlineLevel="1">
      <c r="A38" s="144"/>
      <c r="B38" s="145"/>
      <c r="C38" s="151"/>
      <c r="D38" s="149"/>
      <c r="E38" s="149"/>
      <c r="F38" s="109"/>
      <c r="G38" s="39"/>
      <c r="H38" s="38"/>
      <c r="I38" s="40"/>
      <c r="J38" s="40"/>
      <c r="K38" s="81">
        <f t="shared" ref="K38" si="67">+F38/26*K37*2</f>
        <v>0</v>
      </c>
      <c r="L38" s="79">
        <f>F38*L37/(26)*30%</f>
        <v>0</v>
      </c>
      <c r="M38" s="79"/>
      <c r="N38" s="40"/>
      <c r="O38" s="39"/>
      <c r="P38" s="39"/>
      <c r="Q38" s="41"/>
      <c r="R38" s="41"/>
      <c r="S38" s="37"/>
      <c r="T38" s="37"/>
      <c r="U38" s="37"/>
      <c r="V38" s="39"/>
      <c r="W38" s="37"/>
      <c r="X38" s="37"/>
      <c r="Y38" s="106"/>
      <c r="Z38" s="103">
        <f>+IFERROR(VLOOKUP(C37,'[1]Bản gốc T10'!$C$1:$J$1000,8,0),0)</f>
        <v>0</v>
      </c>
      <c r="AA38" s="75">
        <f>+IFERROR(VLOOKUP(C37,'[1]Bản gốc T10'!$C$1:$F$1000,4,0),0)</f>
        <v>0</v>
      </c>
    </row>
    <row r="39" spans="1:27" ht="15.6" hidden="1" customHeight="1" outlineLevel="1">
      <c r="A39" s="144"/>
      <c r="B39" s="145"/>
      <c r="C39" s="151"/>
      <c r="D39" s="147"/>
      <c r="E39" s="149"/>
      <c r="F39" s="109"/>
      <c r="G39" s="34"/>
      <c r="H39" s="38"/>
      <c r="I39" s="35"/>
      <c r="J39" s="36"/>
      <c r="K39" s="80">
        <f>+'Bang TH nop'!R39</f>
        <v>0</v>
      </c>
      <c r="L39" s="85">
        <f>+'Bang TH nop'!J39</f>
        <v>0</v>
      </c>
      <c r="M39" s="85"/>
      <c r="N39" s="33"/>
      <c r="O39" s="33"/>
      <c r="P39" s="33"/>
      <c r="Q39" s="37"/>
      <c r="R39" s="33"/>
      <c r="S39" s="37"/>
      <c r="T39" s="37"/>
      <c r="U39" s="37"/>
      <c r="V39" s="59"/>
      <c r="W39" s="37"/>
      <c r="X39" s="37"/>
      <c r="Y39" s="106"/>
      <c r="Z39" s="103"/>
      <c r="AA39" s="72"/>
    </row>
    <row r="40" spans="1:27" ht="15.6" hidden="1" customHeight="1" outlineLevel="1">
      <c r="A40" s="144"/>
      <c r="B40" s="145"/>
      <c r="C40" s="151"/>
      <c r="D40" s="149"/>
      <c r="E40" s="149"/>
      <c r="F40" s="109"/>
      <c r="G40" s="39"/>
      <c r="H40" s="38"/>
      <c r="I40" s="40"/>
      <c r="J40" s="40"/>
      <c r="K40" s="81">
        <f t="shared" ref="K40" si="68">+F40/26*K39*2</f>
        <v>0</v>
      </c>
      <c r="L40" s="79">
        <f>F40*L39/(26)*30%</f>
        <v>0</v>
      </c>
      <c r="M40" s="79"/>
      <c r="N40" s="40"/>
      <c r="O40" s="39"/>
      <c r="P40" s="39"/>
      <c r="Q40" s="41"/>
      <c r="R40" s="41"/>
      <c r="S40" s="37"/>
      <c r="T40" s="37"/>
      <c r="U40" s="37"/>
      <c r="V40" s="39"/>
      <c r="W40" s="37"/>
      <c r="X40" s="37"/>
      <c r="Y40" s="106"/>
      <c r="Z40" s="103">
        <f>+IFERROR(VLOOKUP(C39,'[1]Bản gốc T10'!$C$1:$J$1000,8,0),0)</f>
        <v>0</v>
      </c>
      <c r="AA40" s="75">
        <f>+IFERROR(VLOOKUP(C39,'[1]Bản gốc T10'!$C$1:$F$1000,4,0),0)</f>
        <v>0</v>
      </c>
    </row>
    <row r="41" spans="1:27" ht="15.6" hidden="1" customHeight="1" outlineLevel="1">
      <c r="A41" s="144"/>
      <c r="B41" s="145"/>
      <c r="C41" s="151"/>
      <c r="D41" s="147"/>
      <c r="E41" s="149"/>
      <c r="F41" s="109"/>
      <c r="G41" s="34"/>
      <c r="H41" s="38"/>
      <c r="I41" s="35"/>
      <c r="J41" s="36"/>
      <c r="K41" s="80">
        <f>+'Bang TH nop'!R41</f>
        <v>0</v>
      </c>
      <c r="L41" s="85">
        <f>+'Bang TH nop'!J41</f>
        <v>0</v>
      </c>
      <c r="M41" s="85"/>
      <c r="N41" s="33"/>
      <c r="O41" s="33"/>
      <c r="P41" s="33"/>
      <c r="Q41" s="37"/>
      <c r="R41" s="33"/>
      <c r="S41" s="37"/>
      <c r="T41" s="37"/>
      <c r="U41" s="37"/>
      <c r="V41" s="59"/>
      <c r="W41" s="37"/>
      <c r="X41" s="37"/>
      <c r="Y41" s="106"/>
      <c r="Z41" s="103"/>
      <c r="AA41" s="72"/>
    </row>
    <row r="42" spans="1:27" ht="15.6" hidden="1" customHeight="1" outlineLevel="1">
      <c r="A42" s="144"/>
      <c r="B42" s="145"/>
      <c r="C42" s="151"/>
      <c r="D42" s="149"/>
      <c r="E42" s="149"/>
      <c r="F42" s="109"/>
      <c r="G42" s="39"/>
      <c r="H42" s="38"/>
      <c r="I42" s="40"/>
      <c r="J42" s="40"/>
      <c r="K42" s="81">
        <f t="shared" ref="K42" si="69">+F42/26*K41*2</f>
        <v>0</v>
      </c>
      <c r="L42" s="79">
        <f>F42*L41/(26)*30%</f>
        <v>0</v>
      </c>
      <c r="M42" s="79"/>
      <c r="N42" s="40"/>
      <c r="O42" s="39"/>
      <c r="P42" s="39"/>
      <c r="Q42" s="41"/>
      <c r="R42" s="41"/>
      <c r="S42" s="37"/>
      <c r="T42" s="37"/>
      <c r="U42" s="37"/>
      <c r="V42" s="39"/>
      <c r="W42" s="37"/>
      <c r="X42" s="37"/>
      <c r="Y42" s="106"/>
      <c r="Z42" s="103">
        <f>+IFERROR(VLOOKUP(C41,'[1]Bản gốc T10'!$C$1:$J$1000,8,0),0)</f>
        <v>0</v>
      </c>
      <c r="AA42" s="75">
        <f>+IFERROR(VLOOKUP(C41,'[1]Bản gốc T10'!$C$1:$F$1000,4,0),0)</f>
        <v>0</v>
      </c>
    </row>
    <row r="43" spans="1:27" ht="15.6" hidden="1" customHeight="1" outlineLevel="1">
      <c r="A43" s="144"/>
      <c r="B43" s="145"/>
      <c r="C43" s="151"/>
      <c r="D43" s="147"/>
      <c r="E43" s="149"/>
      <c r="F43" s="109"/>
      <c r="G43" s="34"/>
      <c r="H43" s="38"/>
      <c r="I43" s="35"/>
      <c r="J43" s="36"/>
      <c r="K43" s="80">
        <f>+'Bang TH nop'!R43</f>
        <v>0</v>
      </c>
      <c r="L43" s="85">
        <f>+'Bang TH nop'!J43</f>
        <v>0</v>
      </c>
      <c r="M43" s="85"/>
      <c r="N43" s="33"/>
      <c r="O43" s="33"/>
      <c r="P43" s="33"/>
      <c r="Q43" s="37"/>
      <c r="R43" s="33"/>
      <c r="S43" s="37"/>
      <c r="T43" s="37"/>
      <c r="U43" s="37"/>
      <c r="V43" s="59"/>
      <c r="W43" s="37"/>
      <c r="X43" s="37"/>
      <c r="Y43" s="106"/>
      <c r="Z43" s="103"/>
      <c r="AA43" s="72"/>
    </row>
    <row r="44" spans="1:27" ht="15.6" hidden="1" customHeight="1" outlineLevel="1">
      <c r="A44" s="144"/>
      <c r="B44" s="145"/>
      <c r="C44" s="151"/>
      <c r="D44" s="149"/>
      <c r="E44" s="149"/>
      <c r="F44" s="109"/>
      <c r="G44" s="39"/>
      <c r="H44" s="38"/>
      <c r="I44" s="40"/>
      <c r="J44" s="40"/>
      <c r="K44" s="81">
        <f t="shared" ref="K44" si="70">+F44/26*K43*2</f>
        <v>0</v>
      </c>
      <c r="L44" s="79">
        <f>F44*L43/(26)*30%</f>
        <v>0</v>
      </c>
      <c r="M44" s="79"/>
      <c r="N44" s="40"/>
      <c r="O44" s="39"/>
      <c r="P44" s="39"/>
      <c r="Q44" s="41"/>
      <c r="R44" s="41"/>
      <c r="S44" s="37"/>
      <c r="T44" s="37"/>
      <c r="U44" s="37"/>
      <c r="V44" s="39"/>
      <c r="W44" s="37"/>
      <c r="X44" s="37"/>
      <c r="Y44" s="106"/>
      <c r="Z44" s="103">
        <f>+IFERROR(VLOOKUP(C43,'[1]Bản gốc T10'!$C$1:$J$1000,8,0),0)</f>
        <v>0</v>
      </c>
      <c r="AA44" s="75">
        <f>+IFERROR(VLOOKUP(C43,'[1]Bản gốc T10'!$C$1:$F$1000,4,0),0)</f>
        <v>0</v>
      </c>
    </row>
    <row r="45" spans="1:27" ht="15.6" hidden="1" customHeight="1" outlineLevel="1">
      <c r="A45" s="144"/>
      <c r="B45" s="145"/>
      <c r="C45" s="151"/>
      <c r="D45" s="147"/>
      <c r="E45" s="149"/>
      <c r="F45" s="109"/>
      <c r="G45" s="34"/>
      <c r="H45" s="38"/>
      <c r="I45" s="35"/>
      <c r="J45" s="36"/>
      <c r="K45" s="80">
        <f>+'Bang TH nop'!R45</f>
        <v>0</v>
      </c>
      <c r="L45" s="85">
        <f>+'Bang TH nop'!J45</f>
        <v>0</v>
      </c>
      <c r="M45" s="85"/>
      <c r="N45" s="33"/>
      <c r="O45" s="33"/>
      <c r="P45" s="33"/>
      <c r="Q45" s="37"/>
      <c r="R45" s="33"/>
      <c r="S45" s="37"/>
      <c r="T45" s="37"/>
      <c r="U45" s="37"/>
      <c r="V45" s="59"/>
      <c r="W45" s="37"/>
      <c r="X45" s="37"/>
      <c r="Y45" s="106"/>
      <c r="Z45" s="103"/>
      <c r="AA45" s="72"/>
    </row>
    <row r="46" spans="1:27" ht="15.6" hidden="1" customHeight="1" outlineLevel="1">
      <c r="A46" s="144"/>
      <c r="B46" s="145"/>
      <c r="C46" s="151"/>
      <c r="D46" s="149"/>
      <c r="E46" s="149"/>
      <c r="F46" s="109"/>
      <c r="G46" s="39"/>
      <c r="H46" s="38"/>
      <c r="I46" s="40"/>
      <c r="J46" s="40"/>
      <c r="K46" s="81">
        <f t="shared" ref="K46" si="71">+F46/26*K45*2</f>
        <v>0</v>
      </c>
      <c r="L46" s="79">
        <f>F46*L45/(26)*30%</f>
        <v>0</v>
      </c>
      <c r="M46" s="79"/>
      <c r="N46" s="40"/>
      <c r="O46" s="39"/>
      <c r="P46" s="39"/>
      <c r="Q46" s="41"/>
      <c r="R46" s="41"/>
      <c r="S46" s="37"/>
      <c r="T46" s="37"/>
      <c r="U46" s="37"/>
      <c r="V46" s="39"/>
      <c r="W46" s="37"/>
      <c r="X46" s="37"/>
      <c r="Y46" s="106"/>
      <c r="Z46" s="103">
        <f>+IFERROR(VLOOKUP(C45,'[1]Bản gốc T10'!$C$1:$J$1000,8,0),0)</f>
        <v>0</v>
      </c>
      <c r="AA46" s="75">
        <f>+IFERROR(VLOOKUP(C45,'[1]Bản gốc T10'!$C$1:$F$1000,4,0),0)</f>
        <v>0</v>
      </c>
    </row>
    <row r="47" spans="1:27" ht="15.6" hidden="1" customHeight="1" outlineLevel="1">
      <c r="A47" s="144"/>
      <c r="B47" s="145"/>
      <c r="C47" s="151"/>
      <c r="D47" s="147"/>
      <c r="E47" s="149"/>
      <c r="F47" s="109"/>
      <c r="G47" s="34"/>
      <c r="H47" s="38"/>
      <c r="I47" s="35"/>
      <c r="J47" s="36"/>
      <c r="K47" s="80">
        <f>+'Bang TH nop'!R47</f>
        <v>0</v>
      </c>
      <c r="L47" s="85">
        <f>+'Bang TH nop'!J47</f>
        <v>0</v>
      </c>
      <c r="M47" s="85"/>
      <c r="N47" s="33"/>
      <c r="O47" s="33"/>
      <c r="P47" s="33"/>
      <c r="Q47" s="37"/>
      <c r="R47" s="33"/>
      <c r="S47" s="37"/>
      <c r="T47" s="37"/>
      <c r="U47" s="37"/>
      <c r="V47" s="59"/>
      <c r="W47" s="37"/>
      <c r="X47" s="37"/>
      <c r="Y47" s="106"/>
      <c r="Z47" s="103"/>
      <c r="AA47" s="72"/>
    </row>
    <row r="48" spans="1:27" ht="15.6" hidden="1" customHeight="1" outlineLevel="1">
      <c r="A48" s="144"/>
      <c r="B48" s="145"/>
      <c r="C48" s="151"/>
      <c r="D48" s="149"/>
      <c r="E48" s="149"/>
      <c r="F48" s="109"/>
      <c r="G48" s="39"/>
      <c r="H48" s="38"/>
      <c r="I48" s="40"/>
      <c r="J48" s="40"/>
      <c r="K48" s="81">
        <f t="shared" ref="K48" si="72">+F48/26*K47*2</f>
        <v>0</v>
      </c>
      <c r="L48" s="79">
        <f>F48*L47/(26)*30%</f>
        <v>0</v>
      </c>
      <c r="M48" s="79"/>
      <c r="N48" s="40"/>
      <c r="O48" s="39"/>
      <c r="P48" s="39"/>
      <c r="Q48" s="41"/>
      <c r="R48" s="41"/>
      <c r="S48" s="37"/>
      <c r="T48" s="37"/>
      <c r="U48" s="37"/>
      <c r="V48" s="39"/>
      <c r="W48" s="37"/>
      <c r="X48" s="37"/>
      <c r="Y48" s="106"/>
      <c r="Z48" s="103">
        <f>+IFERROR(VLOOKUP(C47,'[1]Bản gốc T10'!$C$1:$J$1000,8,0),0)</f>
        <v>0</v>
      </c>
      <c r="AA48" s="75">
        <f>+IFERROR(VLOOKUP(C47,'[1]Bản gốc T10'!$C$1:$F$1000,4,0),0)</f>
        <v>0</v>
      </c>
    </row>
    <row r="49" spans="1:27" ht="15.6" hidden="1" customHeight="1" outlineLevel="1">
      <c r="A49" s="144"/>
      <c r="B49" s="145"/>
      <c r="C49" s="151"/>
      <c r="D49" s="147"/>
      <c r="E49" s="149"/>
      <c r="F49" s="109"/>
      <c r="G49" s="34"/>
      <c r="H49" s="38"/>
      <c r="I49" s="35"/>
      <c r="J49" s="36"/>
      <c r="K49" s="80">
        <f>+'Bang TH nop'!R49</f>
        <v>0</v>
      </c>
      <c r="L49" s="85">
        <f>+'Bang TH nop'!J49</f>
        <v>0</v>
      </c>
      <c r="M49" s="85"/>
      <c r="N49" s="33"/>
      <c r="O49" s="33"/>
      <c r="P49" s="33"/>
      <c r="Q49" s="37"/>
      <c r="R49" s="33"/>
      <c r="S49" s="37"/>
      <c r="T49" s="37"/>
      <c r="U49" s="37"/>
      <c r="V49" s="59"/>
      <c r="W49" s="37"/>
      <c r="X49" s="37"/>
      <c r="Y49" s="106"/>
      <c r="Z49" s="103"/>
      <c r="AA49" s="72"/>
    </row>
    <row r="50" spans="1:27" ht="15.6" hidden="1" customHeight="1" outlineLevel="1">
      <c r="A50" s="144"/>
      <c r="B50" s="145"/>
      <c r="C50" s="151"/>
      <c r="D50" s="149"/>
      <c r="E50" s="149"/>
      <c r="F50" s="109"/>
      <c r="G50" s="39"/>
      <c r="H50" s="38"/>
      <c r="I50" s="40"/>
      <c r="J50" s="40"/>
      <c r="K50" s="81">
        <f t="shared" ref="K50" si="73">+F50/26*K49*2</f>
        <v>0</v>
      </c>
      <c r="L50" s="79">
        <f>F50*L49/(26)*30%</f>
        <v>0</v>
      </c>
      <c r="M50" s="79"/>
      <c r="N50" s="40"/>
      <c r="O50" s="39"/>
      <c r="P50" s="39"/>
      <c r="Q50" s="41"/>
      <c r="R50" s="41"/>
      <c r="S50" s="37"/>
      <c r="T50" s="37"/>
      <c r="U50" s="37"/>
      <c r="V50" s="39"/>
      <c r="W50" s="37"/>
      <c r="X50" s="37"/>
      <c r="Y50" s="106"/>
      <c r="Z50" s="103">
        <f>+IFERROR(VLOOKUP(C49,'[1]Bản gốc T10'!$C$1:$J$1000,8,0),0)</f>
        <v>0</v>
      </c>
      <c r="AA50" s="75">
        <f>+IFERROR(VLOOKUP(C49,'[1]Bản gốc T10'!$C$1:$F$1000,4,0),0)</f>
        <v>0</v>
      </c>
    </row>
    <row r="51" spans="1:27" ht="15.6" hidden="1" customHeight="1" outlineLevel="1">
      <c r="A51" s="144"/>
      <c r="B51" s="145"/>
      <c r="C51" s="151"/>
      <c r="D51" s="149"/>
      <c r="E51" s="149"/>
      <c r="F51" s="109"/>
      <c r="G51" s="34"/>
      <c r="H51" s="38"/>
      <c r="I51" s="35"/>
      <c r="J51" s="36"/>
      <c r="K51" s="80">
        <f>+'Bang TH nop'!R51</f>
        <v>0</v>
      </c>
      <c r="L51" s="85">
        <f>+'Bang TH nop'!J51</f>
        <v>0</v>
      </c>
      <c r="M51" s="85"/>
      <c r="N51" s="33"/>
      <c r="O51" s="33"/>
      <c r="P51" s="33"/>
      <c r="Q51" s="37"/>
      <c r="R51" s="33"/>
      <c r="S51" s="37"/>
      <c r="T51" s="37"/>
      <c r="U51" s="37"/>
      <c r="V51" s="59"/>
      <c r="W51" s="37"/>
      <c r="X51" s="37"/>
      <c r="Y51" s="106"/>
      <c r="Z51" s="103"/>
      <c r="AA51" s="72"/>
    </row>
    <row r="52" spans="1:27" ht="15.6" hidden="1" customHeight="1" outlineLevel="1">
      <c r="A52" s="144"/>
      <c r="B52" s="145"/>
      <c r="C52" s="151"/>
      <c r="D52" s="149"/>
      <c r="E52" s="149"/>
      <c r="F52" s="109"/>
      <c r="G52" s="39"/>
      <c r="H52" s="38"/>
      <c r="I52" s="40"/>
      <c r="J52" s="40"/>
      <c r="K52" s="81">
        <f t="shared" ref="K52" si="74">+F52/26*K51*2</f>
        <v>0</v>
      </c>
      <c r="L52" s="79">
        <f>F52*L51/(26)*30%</f>
        <v>0</v>
      </c>
      <c r="M52" s="79"/>
      <c r="N52" s="40"/>
      <c r="O52" s="39"/>
      <c r="P52" s="39"/>
      <c r="Q52" s="41"/>
      <c r="R52" s="41"/>
      <c r="S52" s="37"/>
      <c r="T52" s="37"/>
      <c r="U52" s="37"/>
      <c r="V52" s="39"/>
      <c r="W52" s="37"/>
      <c r="X52" s="37"/>
      <c r="Y52" s="106"/>
      <c r="Z52" s="103">
        <f>+IFERROR(VLOOKUP(C51,'[1]Bản gốc T10'!$C$1:$J$1000,8,0),0)</f>
        <v>0</v>
      </c>
      <c r="AA52" s="75">
        <f>+IFERROR(VLOOKUP(C51,'[1]Bản gốc T10'!$C$1:$F$1000,4,0),0)</f>
        <v>0</v>
      </c>
    </row>
    <row r="53" spans="1:27" ht="15" hidden="1" customHeight="1" outlineLevel="1">
      <c r="A53" s="144"/>
      <c r="B53" s="145"/>
      <c r="C53" s="151"/>
      <c r="D53" s="149"/>
      <c r="E53" s="149"/>
      <c r="F53" s="109"/>
      <c r="G53" s="34"/>
      <c r="H53" s="38"/>
      <c r="I53" s="35"/>
      <c r="J53" s="36"/>
      <c r="K53" s="80">
        <f>+'Bang TH nop'!R53</f>
        <v>0</v>
      </c>
      <c r="L53" s="85">
        <f>+'Bang TH nop'!J53</f>
        <v>0</v>
      </c>
      <c r="M53" s="85"/>
      <c r="N53" s="33"/>
      <c r="O53" s="33"/>
      <c r="P53" s="33"/>
      <c r="Q53" s="37"/>
      <c r="R53" s="33"/>
      <c r="S53" s="37"/>
      <c r="T53" s="37"/>
      <c r="U53" s="37"/>
      <c r="V53" s="59"/>
      <c r="W53" s="37"/>
      <c r="X53" s="37"/>
      <c r="Y53" s="106"/>
      <c r="Z53" s="103"/>
      <c r="AA53" s="72"/>
    </row>
    <row r="54" spans="1:27" ht="15" hidden="1" customHeight="1" outlineLevel="1">
      <c r="A54" s="144"/>
      <c r="B54" s="145"/>
      <c r="C54" s="151"/>
      <c r="D54" s="149"/>
      <c r="E54" s="149"/>
      <c r="F54" s="109"/>
      <c r="G54" s="39"/>
      <c r="H54" s="38"/>
      <c r="I54" s="40"/>
      <c r="J54" s="40"/>
      <c r="K54" s="81">
        <f t="shared" ref="K54" si="75">+F54/26*K53*2</f>
        <v>0</v>
      </c>
      <c r="L54" s="79">
        <f>F54*L53/(26)*30%</f>
        <v>0</v>
      </c>
      <c r="M54" s="79"/>
      <c r="N54" s="40"/>
      <c r="O54" s="39"/>
      <c r="P54" s="39"/>
      <c r="Q54" s="41"/>
      <c r="R54" s="41"/>
      <c r="S54" s="37"/>
      <c r="T54" s="37"/>
      <c r="U54" s="37"/>
      <c r="V54" s="39"/>
      <c r="W54" s="37"/>
      <c r="X54" s="37"/>
      <c r="Y54" s="106"/>
      <c r="Z54" s="103">
        <f>+IFERROR(VLOOKUP(C53,'[1]Bản gốc T10'!$C$1:$J$1000,8,0),0)</f>
        <v>0</v>
      </c>
      <c r="AA54" s="75">
        <f>+IFERROR(VLOOKUP(C53,'[1]Bản gốc T10'!$C$1:$F$1000,4,0),0)</f>
        <v>0</v>
      </c>
    </row>
    <row r="55" spans="1:27" ht="15" hidden="1" customHeight="1" outlineLevel="1">
      <c r="A55" s="144"/>
      <c r="B55" s="145"/>
      <c r="C55" s="151"/>
      <c r="D55" s="149"/>
      <c r="E55" s="149"/>
      <c r="F55" s="109"/>
      <c r="G55" s="34"/>
      <c r="H55" s="38"/>
      <c r="I55" s="35"/>
      <c r="J55" s="36"/>
      <c r="K55" s="80">
        <f>+'Bang TH nop'!R55</f>
        <v>0</v>
      </c>
      <c r="L55" s="85">
        <f>+'Bang TH nop'!J55</f>
        <v>0</v>
      </c>
      <c r="M55" s="85"/>
      <c r="N55" s="33"/>
      <c r="O55" s="33"/>
      <c r="P55" s="33"/>
      <c r="Q55" s="37"/>
      <c r="R55" s="33"/>
      <c r="S55" s="37"/>
      <c r="T55" s="37"/>
      <c r="U55" s="37"/>
      <c r="V55" s="59"/>
      <c r="W55" s="37"/>
      <c r="X55" s="37"/>
      <c r="Y55" s="106"/>
      <c r="Z55" s="103"/>
      <c r="AA55" s="72"/>
    </row>
    <row r="56" spans="1:27" ht="15" hidden="1" customHeight="1" outlineLevel="1">
      <c r="A56" s="144"/>
      <c r="B56" s="145"/>
      <c r="C56" s="151"/>
      <c r="D56" s="149"/>
      <c r="E56" s="149"/>
      <c r="F56" s="109"/>
      <c r="G56" s="39"/>
      <c r="H56" s="38"/>
      <c r="I56" s="40"/>
      <c r="J56" s="40"/>
      <c r="K56" s="81">
        <f t="shared" ref="K56" si="76">+F56/26*K55*2</f>
        <v>0</v>
      </c>
      <c r="L56" s="79">
        <f>F56*L55/(26)*30%</f>
        <v>0</v>
      </c>
      <c r="M56" s="79"/>
      <c r="N56" s="40"/>
      <c r="O56" s="39"/>
      <c r="P56" s="39"/>
      <c r="Q56" s="41"/>
      <c r="R56" s="41"/>
      <c r="S56" s="37"/>
      <c r="T56" s="37"/>
      <c r="U56" s="37"/>
      <c r="V56" s="39"/>
      <c r="W56" s="37"/>
      <c r="X56" s="37"/>
      <c r="Y56" s="106"/>
      <c r="Z56" s="103">
        <f>+IFERROR(VLOOKUP(C55,'[1]Bản gốc T10'!$C$1:$J$1000,8,0),0)</f>
        <v>0</v>
      </c>
      <c r="AA56" s="75">
        <f>+IFERROR(VLOOKUP(C55,'[1]Bản gốc T10'!$C$1:$F$1000,4,0),0)</f>
        <v>0</v>
      </c>
    </row>
    <row r="57" spans="1:27" ht="15" hidden="1" customHeight="1" outlineLevel="1">
      <c r="A57" s="144"/>
      <c r="B57" s="145"/>
      <c r="C57" s="151"/>
      <c r="D57" s="149"/>
      <c r="E57" s="149"/>
      <c r="F57" s="109"/>
      <c r="G57" s="34"/>
      <c r="H57" s="38"/>
      <c r="I57" s="35"/>
      <c r="J57" s="36"/>
      <c r="K57" s="80">
        <f>+'Bang TH nop'!R57</f>
        <v>0</v>
      </c>
      <c r="L57" s="85">
        <f>+'Bang TH nop'!J57</f>
        <v>0</v>
      </c>
      <c r="M57" s="85"/>
      <c r="N57" s="33"/>
      <c r="O57" s="33"/>
      <c r="P57" s="33"/>
      <c r="Q57" s="37"/>
      <c r="R57" s="33"/>
      <c r="S57" s="37"/>
      <c r="T57" s="37"/>
      <c r="U57" s="37"/>
      <c r="V57" s="59"/>
      <c r="W57" s="37"/>
      <c r="X57" s="37"/>
      <c r="Y57" s="106"/>
      <c r="Z57" s="103"/>
      <c r="AA57" s="72"/>
    </row>
    <row r="58" spans="1:27" ht="15" hidden="1" customHeight="1" outlineLevel="1">
      <c r="A58" s="144"/>
      <c r="B58" s="145"/>
      <c r="C58" s="151"/>
      <c r="D58" s="149"/>
      <c r="E58" s="149"/>
      <c r="F58" s="109"/>
      <c r="G58" s="39"/>
      <c r="H58" s="38"/>
      <c r="I58" s="40"/>
      <c r="J58" s="40"/>
      <c r="K58" s="81">
        <f t="shared" ref="K58" si="77">+F58/26*K57*2</f>
        <v>0</v>
      </c>
      <c r="L58" s="79">
        <f>F58*L57/(26)*30%</f>
        <v>0</v>
      </c>
      <c r="M58" s="79"/>
      <c r="N58" s="40"/>
      <c r="O58" s="39"/>
      <c r="P58" s="39"/>
      <c r="Q58" s="41"/>
      <c r="R58" s="41"/>
      <c r="S58" s="37"/>
      <c r="T58" s="37"/>
      <c r="U58" s="37"/>
      <c r="V58" s="39"/>
      <c r="W58" s="37"/>
      <c r="X58" s="37"/>
      <c r="Y58" s="106"/>
      <c r="Z58" s="103">
        <f>+IFERROR(VLOOKUP(C57,'[1]Bản gốc T10'!$C$1:$J$1000,8,0),0)</f>
        <v>0</v>
      </c>
      <c r="AA58" s="75">
        <f>+IFERROR(VLOOKUP(C57,'[1]Bản gốc T10'!$C$1:$F$1000,4,0),0)</f>
        <v>0</v>
      </c>
    </row>
    <row r="59" spans="1:27" ht="15" hidden="1" customHeight="1" outlineLevel="1">
      <c r="A59" s="144"/>
      <c r="B59" s="145"/>
      <c r="C59" s="151"/>
      <c r="D59" s="149"/>
      <c r="E59" s="149"/>
      <c r="F59" s="109"/>
      <c r="G59" s="34"/>
      <c r="H59" s="38"/>
      <c r="I59" s="35"/>
      <c r="J59" s="36"/>
      <c r="K59" s="80">
        <f>+'Bang TH nop'!R59</f>
        <v>0</v>
      </c>
      <c r="L59" s="85">
        <f>+'Bang TH nop'!J59</f>
        <v>0</v>
      </c>
      <c r="M59" s="85"/>
      <c r="N59" s="33"/>
      <c r="O59" s="33"/>
      <c r="P59" s="33"/>
      <c r="Q59" s="37"/>
      <c r="R59" s="33"/>
      <c r="S59" s="37"/>
      <c r="T59" s="37"/>
      <c r="U59" s="37"/>
      <c r="V59" s="59"/>
      <c r="W59" s="37"/>
      <c r="X59" s="37"/>
      <c r="Y59" s="106"/>
      <c r="Z59" s="103"/>
      <c r="AA59" s="72"/>
    </row>
    <row r="60" spans="1:27" ht="15" hidden="1" customHeight="1" outlineLevel="1">
      <c r="A60" s="144"/>
      <c r="B60" s="145"/>
      <c r="C60" s="151"/>
      <c r="D60" s="149"/>
      <c r="E60" s="149"/>
      <c r="F60" s="109"/>
      <c r="G60" s="39"/>
      <c r="H60" s="38"/>
      <c r="I60" s="40"/>
      <c r="J60" s="40"/>
      <c r="K60" s="81">
        <f t="shared" ref="K60" si="78">+F60/26*K59*2</f>
        <v>0</v>
      </c>
      <c r="L60" s="79">
        <f>F60*L59/(26)*30%</f>
        <v>0</v>
      </c>
      <c r="M60" s="79"/>
      <c r="N60" s="40"/>
      <c r="O60" s="39"/>
      <c r="P60" s="39"/>
      <c r="Q60" s="41"/>
      <c r="R60" s="41"/>
      <c r="S60" s="37"/>
      <c r="T60" s="37"/>
      <c r="U60" s="37"/>
      <c r="V60" s="39"/>
      <c r="W60" s="37"/>
      <c r="X60" s="37"/>
      <c r="Y60" s="106"/>
      <c r="Z60" s="103">
        <f>+IFERROR(VLOOKUP(C59,'[1]Bản gốc T10'!$C$1:$J$1000,8,0),0)</f>
        <v>0</v>
      </c>
      <c r="AA60" s="75">
        <f>+IFERROR(VLOOKUP(C59,'[1]Bản gốc T10'!$C$1:$F$1000,4,0),0)</f>
        <v>0</v>
      </c>
    </row>
    <row r="61" spans="1:27" ht="15" hidden="1" customHeight="1" outlineLevel="1">
      <c r="A61" s="144"/>
      <c r="B61" s="145"/>
      <c r="C61" s="151"/>
      <c r="D61" s="149"/>
      <c r="E61" s="149"/>
      <c r="F61" s="109"/>
      <c r="G61" s="34"/>
      <c r="H61" s="38"/>
      <c r="I61" s="35"/>
      <c r="J61" s="36"/>
      <c r="K61" s="80">
        <f>+'Bang TH nop'!R61</f>
        <v>0</v>
      </c>
      <c r="L61" s="85">
        <f>+'Bang TH nop'!J61</f>
        <v>0</v>
      </c>
      <c r="M61" s="85"/>
      <c r="N61" s="33"/>
      <c r="O61" s="33"/>
      <c r="P61" s="33"/>
      <c r="Q61" s="37"/>
      <c r="R61" s="33"/>
      <c r="S61" s="37"/>
      <c r="T61" s="37"/>
      <c r="U61" s="37"/>
      <c r="V61" s="59"/>
      <c r="W61" s="37"/>
      <c r="X61" s="37"/>
      <c r="Y61" s="106"/>
      <c r="Z61" s="103"/>
      <c r="AA61" s="72"/>
    </row>
    <row r="62" spans="1:27" ht="15" hidden="1" customHeight="1" outlineLevel="1">
      <c r="A62" s="144"/>
      <c r="B62" s="145"/>
      <c r="C62" s="151"/>
      <c r="D62" s="149"/>
      <c r="E62" s="149"/>
      <c r="F62" s="109"/>
      <c r="G62" s="39"/>
      <c r="H62" s="38"/>
      <c r="I62" s="40"/>
      <c r="J62" s="40"/>
      <c r="K62" s="81">
        <f t="shared" ref="K62" si="79">+F62/26*K61*2</f>
        <v>0</v>
      </c>
      <c r="L62" s="79">
        <f>F62*L61/(26)*30%</f>
        <v>0</v>
      </c>
      <c r="M62" s="79"/>
      <c r="N62" s="40"/>
      <c r="O62" s="39"/>
      <c r="P62" s="39"/>
      <c r="Q62" s="41"/>
      <c r="R62" s="41"/>
      <c r="S62" s="37"/>
      <c r="T62" s="37"/>
      <c r="U62" s="37"/>
      <c r="V62" s="39"/>
      <c r="W62" s="37"/>
      <c r="X62" s="37"/>
      <c r="Y62" s="106"/>
      <c r="Z62" s="103">
        <f>+IFERROR(VLOOKUP(C61,'[1]Bản gốc T10'!$C$1:$J$1000,8,0),0)</f>
        <v>0</v>
      </c>
      <c r="AA62" s="75">
        <f>+IFERROR(VLOOKUP(C61,'[1]Bản gốc T10'!$C$1:$F$1000,4,0),0)</f>
        <v>0</v>
      </c>
    </row>
    <row r="63" spans="1:27" ht="15" hidden="1" customHeight="1" outlineLevel="1">
      <c r="A63" s="144"/>
      <c r="B63" s="145"/>
      <c r="C63" s="144"/>
      <c r="D63" s="149"/>
      <c r="E63" s="149"/>
      <c r="F63" s="109"/>
      <c r="G63" s="34"/>
      <c r="H63" s="38"/>
      <c r="I63" s="35"/>
      <c r="J63" s="36"/>
      <c r="K63" s="80">
        <f>+'Bang TH nop'!R63</f>
        <v>0</v>
      </c>
      <c r="L63" s="85">
        <f>+'Bang TH nop'!J63</f>
        <v>0</v>
      </c>
      <c r="M63" s="85"/>
      <c r="N63" s="33"/>
      <c r="O63" s="33"/>
      <c r="P63" s="33"/>
      <c r="Q63" s="37"/>
      <c r="R63" s="33"/>
      <c r="S63" s="37"/>
      <c r="T63" s="37"/>
      <c r="U63" s="37"/>
      <c r="V63" s="59"/>
      <c r="W63" s="37"/>
      <c r="X63" s="37"/>
      <c r="Y63" s="106"/>
      <c r="Z63" s="103"/>
      <c r="AA63" s="72"/>
    </row>
    <row r="64" spans="1:27" ht="15" hidden="1" customHeight="1" outlineLevel="1">
      <c r="A64" s="144"/>
      <c r="B64" s="145"/>
      <c r="C64" s="144"/>
      <c r="D64" s="149"/>
      <c r="E64" s="149"/>
      <c r="F64" s="109"/>
      <c r="G64" s="39"/>
      <c r="H64" s="38"/>
      <c r="I64" s="40"/>
      <c r="J64" s="40"/>
      <c r="K64" s="81">
        <f t="shared" ref="K64" si="80">+F64/26*K63*2</f>
        <v>0</v>
      </c>
      <c r="L64" s="79">
        <f>F64*L63/(26)*30%</f>
        <v>0</v>
      </c>
      <c r="M64" s="79"/>
      <c r="N64" s="40"/>
      <c r="O64" s="39"/>
      <c r="P64" s="39"/>
      <c r="Q64" s="41"/>
      <c r="R64" s="41"/>
      <c r="S64" s="37"/>
      <c r="T64" s="37"/>
      <c r="U64" s="37"/>
      <c r="V64" s="39"/>
      <c r="W64" s="37"/>
      <c r="X64" s="37"/>
      <c r="Y64" s="106"/>
      <c r="Z64" s="103">
        <f>+IFERROR(VLOOKUP(C63,'[1]Bản gốc T10'!$C$1:$J$1000,8,0),0)</f>
        <v>0</v>
      </c>
      <c r="AA64" s="75">
        <f>+IFERROR(VLOOKUP(C63,'[1]Bản gốc T10'!$C$1:$F$1000,4,0),0)</f>
        <v>0</v>
      </c>
    </row>
    <row r="65" spans="1:31 11519:16382" ht="16.5" hidden="1" customHeight="1" outlineLevel="1">
      <c r="A65" s="144"/>
      <c r="B65" s="145"/>
      <c r="C65" s="144"/>
      <c r="D65" s="149"/>
      <c r="E65" s="149"/>
      <c r="F65" s="109"/>
      <c r="G65" s="34"/>
      <c r="H65" s="38"/>
      <c r="I65" s="35"/>
      <c r="J65" s="36"/>
      <c r="K65" s="80">
        <f>+'Bang TH nop'!R65</f>
        <v>0</v>
      </c>
      <c r="L65" s="85">
        <f>+'Bang TH nop'!J65</f>
        <v>0</v>
      </c>
      <c r="M65" s="85"/>
      <c r="N65" s="33"/>
      <c r="O65" s="33"/>
      <c r="P65" s="33"/>
      <c r="Q65" s="37"/>
      <c r="R65" s="33"/>
      <c r="S65" s="37"/>
      <c r="T65" s="37"/>
      <c r="U65" s="37"/>
      <c r="V65" s="59"/>
      <c r="W65" s="37"/>
      <c r="X65" s="37"/>
      <c r="Y65" s="106"/>
      <c r="Z65" s="103"/>
      <c r="AA65" s="72"/>
    </row>
    <row r="66" spans="1:31 11519:16382" ht="16.5" hidden="1" customHeight="1" outlineLevel="1">
      <c r="A66" s="144"/>
      <c r="B66" s="145"/>
      <c r="C66" s="144"/>
      <c r="D66" s="149"/>
      <c r="E66" s="149"/>
      <c r="F66" s="109"/>
      <c r="G66" s="39"/>
      <c r="H66" s="38"/>
      <c r="I66" s="40"/>
      <c r="J66" s="40"/>
      <c r="K66" s="81">
        <f t="shared" ref="K66" si="81">+F66/26*K65*2</f>
        <v>0</v>
      </c>
      <c r="L66" s="79">
        <f>F66*L65/(26)*30%</f>
        <v>0</v>
      </c>
      <c r="M66" s="79"/>
      <c r="N66" s="40"/>
      <c r="O66" s="39"/>
      <c r="P66" s="39"/>
      <c r="Q66" s="41"/>
      <c r="R66" s="41"/>
      <c r="S66" s="37"/>
      <c r="T66" s="37"/>
      <c r="U66" s="37"/>
      <c r="V66" s="39"/>
      <c r="W66" s="37"/>
      <c r="X66" s="37"/>
      <c r="Y66" s="106"/>
      <c r="Z66" s="103">
        <f>+IFERROR(VLOOKUP(C65,'[1]Bản gốc T10'!$C$1:$J$1000,8,0),0)</f>
        <v>0</v>
      </c>
      <c r="AA66" s="75">
        <f>+IFERROR(VLOOKUP(C65,'[1]Bản gốc T10'!$C$1:$F$1000,4,0),0)</f>
        <v>0</v>
      </c>
    </row>
    <row r="67" spans="1:31 11519:16382" collapsed="1">
      <c r="A67" s="144"/>
      <c r="B67" s="152" t="s">
        <v>31</v>
      </c>
      <c r="C67" s="153"/>
      <c r="D67" s="42"/>
      <c r="E67" s="42"/>
      <c r="F67" s="42"/>
      <c r="G67" s="42">
        <f>G9+G11+G13+G15+G17+G19+G21+G23+G25+G27+G29+G31+G33+G35+G37+G39+G41+G43+G45+G47+G49+G51</f>
        <v>0</v>
      </c>
      <c r="H67" s="42">
        <f>H9+H11+H13+H15+H17+H19+H21+H23+H25+H27+H29+H31+H33+H35+H37+H39+H41+H43+H45+H47+H49+H51</f>
        <v>0</v>
      </c>
      <c r="I67" s="42">
        <f t="shared" ref="G67:X68" si="82">I9+I11+I13+I15+I17+I19+I21+I23+I25+I27+I29+I31+I33+I35+I37+I39+I41+I43+I45+I47+I49+I51</f>
        <v>0</v>
      </c>
      <c r="J67" s="42">
        <f t="shared" si="82"/>
        <v>0</v>
      </c>
      <c r="K67" s="80">
        <f>+'Bang TH nop'!R67</f>
        <v>0</v>
      </c>
      <c r="L67" s="42">
        <f>L9+L11+L13+L15+L17+L19+L21+L23+L25+L27+L29+L31+L33+L35+L37+L39+L41+L43+L45+L47+L49+L51</f>
        <v>0</v>
      </c>
      <c r="M67" s="42">
        <f>M9+M11+M13+M15+M17+M19+M21+M23+M25+M27+M29+M31+M33+M35+M37+M39+M41+M43+M45+M47+M49+M51</f>
        <v>0</v>
      </c>
      <c r="N67" s="42">
        <f t="shared" si="82"/>
        <v>0</v>
      </c>
      <c r="O67" s="42">
        <f t="shared" si="82"/>
        <v>0</v>
      </c>
      <c r="P67" s="42">
        <f t="shared" si="82"/>
        <v>0</v>
      </c>
      <c r="Q67" s="42">
        <f t="shared" si="82"/>
        <v>0</v>
      </c>
      <c r="R67" s="42">
        <f t="shared" si="82"/>
        <v>0</v>
      </c>
      <c r="S67" s="43">
        <f t="shared" si="82"/>
        <v>0</v>
      </c>
      <c r="T67" s="43"/>
      <c r="U67" s="42">
        <f t="shared" si="82"/>
        <v>0</v>
      </c>
      <c r="V67" s="42">
        <f t="shared" si="82"/>
        <v>0</v>
      </c>
      <c r="W67" s="42">
        <f t="shared" si="82"/>
        <v>0</v>
      </c>
      <c r="X67" s="42">
        <f t="shared" si="82"/>
        <v>0</v>
      </c>
      <c r="Y67" s="107"/>
    </row>
    <row r="68" spans="1:31 11519:16382" ht="21.75" customHeight="1">
      <c r="A68" s="144"/>
      <c r="B68" s="152"/>
      <c r="C68" s="153"/>
      <c r="D68" s="42"/>
      <c r="E68" s="42"/>
      <c r="F68" s="42"/>
      <c r="G68" s="42">
        <f t="shared" si="82"/>
        <v>0</v>
      </c>
      <c r="H68" s="42">
        <f>H10+H12+H14+H16+H18+H20+H22+H24+H26+H28+H30+H32+H34+H36+H38+H40+H42+H44+H46+H48+H50+H52</f>
        <v>0</v>
      </c>
      <c r="I68" s="42">
        <f t="shared" si="82"/>
        <v>0</v>
      </c>
      <c r="J68" s="42">
        <f t="shared" si="82"/>
        <v>0</v>
      </c>
      <c r="K68" s="42">
        <f>K10+K12+K14+K16+K18+K20+K22+K24+K26+K28+K30+K32+K34+K36+K38+K40+K42+K44+K46+K48+K50+K52</f>
        <v>0</v>
      </c>
      <c r="L68" s="42">
        <f>L10+L12+L14+L16+L18+L20+L22+L24+L26+L28+L30+L32+L34+L36+L38+L40+L42+L44+L46+L48+L50+L52</f>
        <v>0</v>
      </c>
      <c r="M68" s="42">
        <f>M10+M12+M14+M16+M18+M20+M22+M24+M26+M28+M30+M32+M34+M36+M38+M40+M42+M44+M46+M48+M50+M52</f>
        <v>0</v>
      </c>
      <c r="N68" s="42">
        <f>N10+N12+N14+N16+N18+N20+N22+N24+N26+N28+N30+N32+N34+N36+N38+N40+N42+N44+N46+N48+N50+N52</f>
        <v>0</v>
      </c>
      <c r="O68" s="42">
        <f t="shared" si="82"/>
        <v>0</v>
      </c>
      <c r="P68" s="42">
        <f t="shared" si="82"/>
        <v>0</v>
      </c>
      <c r="Q68" s="42">
        <f t="shared" si="82"/>
        <v>0</v>
      </c>
      <c r="R68" s="42">
        <f t="shared" si="82"/>
        <v>0</v>
      </c>
      <c r="S68" s="43">
        <f t="shared" si="82"/>
        <v>0</v>
      </c>
      <c r="T68" s="43"/>
      <c r="U68" s="42">
        <f t="shared" si="82"/>
        <v>0</v>
      </c>
      <c r="V68" s="42">
        <f t="shared" si="82"/>
        <v>0</v>
      </c>
      <c r="W68" s="42">
        <f t="shared" si="82"/>
        <v>0</v>
      </c>
      <c r="X68" s="42">
        <f t="shared" si="82"/>
        <v>0</v>
      </c>
      <c r="Y68" s="108">
        <f>Y10+Y12+Y14+Y16+Y18+Y20+Y22+Y24+Y26+Y28+Y30+Y32+Y34+Y36+Y38+Y40+Y42+Y44+Y46+Y48+Y50+Y52</f>
        <v>0</v>
      </c>
      <c r="Z68" s="61" t="e">
        <f>+U68/Y68*26</f>
        <v>#DIV/0!</v>
      </c>
      <c r="AA68" s="61" t="e">
        <f>+AE68/Y68*26</f>
        <v>#DIV/0!</v>
      </c>
      <c r="AB68" s="97"/>
      <c r="AC68" s="98"/>
      <c r="AE68" s="42">
        <f t="shared" ref="AE68" si="83">AE10+AE12+AE14+AE16+AE18+AE20+AE22+AE24+AE26+AE28+AE30+AE32+AE34+AE36+AE38+AE40+AE42+AE44+AE46+AE48+AE50+AE52</f>
        <v>0</v>
      </c>
    </row>
    <row r="69" spans="1:31 11519:16382" ht="17.25" hidden="1">
      <c r="D69" s="45">
        <f t="shared" ref="D69:Y70" si="84">D9+D11+D13+D15+D17+D19+D21+D23+D25+D27+D29+D31+D33+D35+D37+D3</f>
        <v>0</v>
      </c>
      <c r="E69" s="45">
        <f t="shared" si="84"/>
        <v>0</v>
      </c>
      <c r="G69" s="45">
        <f t="shared" si="84"/>
        <v>0</v>
      </c>
      <c r="H69" s="45">
        <f>H9+H11+H13+H15+H17+H19+H21+H23+H25+H27+H29+H31+H33+H35+H37+H3</f>
        <v>0</v>
      </c>
      <c r="I69" s="45">
        <f t="shared" si="84"/>
        <v>0</v>
      </c>
      <c r="J69" s="45">
        <f t="shared" si="84"/>
        <v>0</v>
      </c>
      <c r="K69" s="45">
        <f>K9+K11+K13+K15+K17+K19+K21+K23+K25+K27+K29+K31+K33+K35+K37+K3</f>
        <v>0</v>
      </c>
      <c r="L69" s="45">
        <f>L9+L11+L13+L15+L17+L19+L21+L23+L25+L27+L29+L31+L33+L35+L37+L3</f>
        <v>0</v>
      </c>
      <c r="N69" s="45">
        <f t="shared" si="84"/>
        <v>0</v>
      </c>
      <c r="O69" s="45" t="e">
        <f t="shared" si="84"/>
        <v>#VALUE!</v>
      </c>
      <c r="P69" s="45">
        <f t="shared" si="84"/>
        <v>0</v>
      </c>
      <c r="Q69" s="50">
        <f t="shared" si="84"/>
        <v>0</v>
      </c>
      <c r="R69" s="45">
        <f t="shared" si="84"/>
        <v>0</v>
      </c>
      <c r="S69" s="54">
        <f t="shared" si="84"/>
        <v>0</v>
      </c>
      <c r="U69" s="54">
        <f t="shared" si="84"/>
        <v>0</v>
      </c>
      <c r="V69" s="54">
        <f t="shared" si="84"/>
        <v>0</v>
      </c>
      <c r="W69" s="54">
        <f t="shared" si="84"/>
        <v>0</v>
      </c>
      <c r="X69" s="54">
        <f t="shared" si="84"/>
        <v>0</v>
      </c>
      <c r="Y69" s="57">
        <f t="shared" si="84"/>
        <v>0</v>
      </c>
      <c r="Z69" s="62"/>
      <c r="AA69" s="61"/>
      <c r="AB69" s="97"/>
    </row>
    <row r="70" spans="1:31 11519:16382" ht="17.25" hidden="1">
      <c r="D70" s="45">
        <f t="shared" si="84"/>
        <v>0</v>
      </c>
      <c r="E70" s="45">
        <f t="shared" si="84"/>
        <v>0</v>
      </c>
      <c r="G70" s="45">
        <f t="shared" si="84"/>
        <v>0</v>
      </c>
      <c r="H70" s="45">
        <f>H10+H12+H14+H16+H18+H20+H22+H24+H26+H28+H30+H32+H34+H36+H38+H4</f>
        <v>0</v>
      </c>
      <c r="I70" s="45">
        <f t="shared" si="84"/>
        <v>0</v>
      </c>
      <c r="J70" s="45">
        <f t="shared" si="84"/>
        <v>0</v>
      </c>
      <c r="K70" s="45">
        <f>K10+K12+K14+K16+K18+K20+K22+K24+K26+K28+K30+K32+K34+K36+K38+K4</f>
        <v>0</v>
      </c>
      <c r="L70" s="45">
        <f>L10+L12+L14+L16+L18+L20+L22+L24+L26+L28+L30+L32+L34+L36+L38+L4</f>
        <v>0</v>
      </c>
      <c r="N70" s="45">
        <f t="shared" si="84"/>
        <v>0</v>
      </c>
      <c r="O70" s="45">
        <f t="shared" si="84"/>
        <v>0</v>
      </c>
      <c r="P70" s="45">
        <f t="shared" si="84"/>
        <v>0</v>
      </c>
      <c r="Q70" s="50">
        <f t="shared" si="84"/>
        <v>0</v>
      </c>
      <c r="R70" s="45">
        <f t="shared" si="84"/>
        <v>0</v>
      </c>
      <c r="S70" s="54">
        <f t="shared" si="84"/>
        <v>0</v>
      </c>
      <c r="U70" s="54">
        <f t="shared" si="84"/>
        <v>0</v>
      </c>
      <c r="V70" s="54">
        <f t="shared" si="84"/>
        <v>0</v>
      </c>
      <c r="W70" s="54">
        <f t="shared" si="84"/>
        <v>0</v>
      </c>
      <c r="X70" s="54">
        <f t="shared" si="84"/>
        <v>0</v>
      </c>
      <c r="Y70" s="57">
        <f>Y10+Y12+Y14+Y16+Y18+Y20+Y22+Y24+Y26+Y28+Y30+Y32+Y34+Y36+Y38+Y40+Y42+Y44+Y46+Y48+Y50+Y52+Y54+Y56+Y58+Y60+Y62</f>
        <v>0</v>
      </c>
      <c r="Z70" s="62"/>
      <c r="AA70" s="61"/>
      <c r="AB70" s="97"/>
    </row>
    <row r="71" spans="1:31 11519:16382" ht="17.25">
      <c r="Z71" s="61" t="e">
        <f>+Z68/26</f>
        <v>#DIV/0!</v>
      </c>
      <c r="AA71" s="61" t="e">
        <f>+AA68/26</f>
        <v>#DIV/0!</v>
      </c>
      <c r="AB71" s="97"/>
    </row>
    <row r="72" spans="1:31 11519:16382" hidden="1"/>
    <row r="73" spans="1:31 11519:16382" hidden="1"/>
    <row r="74" spans="1:31 11519:16382" s="89" customFormat="1" ht="15.75">
      <c r="D74" s="157" t="s">
        <v>36</v>
      </c>
      <c r="E74" s="157"/>
      <c r="F74" s="157"/>
      <c r="G74" s="157"/>
      <c r="K74" s="90" t="e" cm="1">
        <f t="array" aca="1" ref="K74" ca="1">+_xll.VND(X68)</f>
        <v>#NAME?</v>
      </c>
      <c r="Q74" s="91"/>
      <c r="S74" s="117"/>
      <c r="T74" s="117"/>
      <c r="U74" s="117"/>
      <c r="V74" s="117"/>
      <c r="W74" s="117"/>
      <c r="X74" s="117"/>
      <c r="Y74" s="92"/>
      <c r="QAA74"/>
      <c r="QAB74"/>
      <c r="QAC74"/>
      <c r="QAD74"/>
      <c r="QAE74"/>
      <c r="QAF74"/>
      <c r="QAG74"/>
      <c r="QAH74"/>
      <c r="QAI74"/>
      <c r="QAJ74"/>
      <c r="QAK74"/>
      <c r="QAL74"/>
      <c r="QAM74"/>
      <c r="QAN74"/>
      <c r="QAO74"/>
      <c r="QAP74"/>
      <c r="QAQ74"/>
      <c r="QAR74"/>
      <c r="QAS74"/>
      <c r="QAT74"/>
      <c r="QAU74"/>
      <c r="QAV74"/>
      <c r="QAW74"/>
      <c r="QAX74"/>
      <c r="QAY74"/>
      <c r="QAZ74"/>
      <c r="QBA74"/>
      <c r="QBB74"/>
      <c r="QBC74"/>
      <c r="QBD74"/>
      <c r="QBE74"/>
      <c r="QBF74"/>
      <c r="QBG74"/>
      <c r="QBH74"/>
      <c r="QBI74"/>
      <c r="QBJ74"/>
      <c r="QBK74"/>
      <c r="QBL74"/>
      <c r="QBM74"/>
      <c r="QBN74"/>
      <c r="QBO74"/>
      <c r="QBP74"/>
      <c r="QBQ74"/>
      <c r="QBR74"/>
      <c r="QBS74"/>
      <c r="QBT74"/>
      <c r="QBU74"/>
      <c r="QBV74"/>
      <c r="QBW74"/>
      <c r="QBX74"/>
      <c r="QBY74"/>
      <c r="QBZ74"/>
      <c r="QCA74"/>
      <c r="QCB74"/>
      <c r="QCC74"/>
      <c r="QCD74"/>
      <c r="QCE74"/>
      <c r="QCF74"/>
      <c r="QCG74"/>
      <c r="QCH74"/>
      <c r="QCI74"/>
      <c r="QCJ74"/>
      <c r="QCK74"/>
      <c r="QCL74"/>
      <c r="QCM74"/>
      <c r="QCN74"/>
      <c r="QCO74"/>
      <c r="QCP74"/>
      <c r="QCQ74"/>
      <c r="QCR74"/>
      <c r="QCS74"/>
      <c r="QCT74"/>
      <c r="QCU74"/>
      <c r="QCV74"/>
      <c r="QCW74"/>
      <c r="QCX74"/>
      <c r="QCY74"/>
      <c r="QCZ74"/>
      <c r="QDA74"/>
      <c r="QDB74"/>
      <c r="QDC74"/>
      <c r="QDD74"/>
      <c r="QDE74"/>
      <c r="QDF74"/>
      <c r="QDG74"/>
      <c r="QDH74"/>
      <c r="QDI74"/>
      <c r="QDJ74"/>
      <c r="QDK74"/>
      <c r="QDL74"/>
      <c r="QDM74"/>
      <c r="QDN74"/>
      <c r="QDO74"/>
      <c r="QDP74"/>
      <c r="QDQ74"/>
      <c r="QDR74"/>
      <c r="QDS74"/>
      <c r="QDT74"/>
      <c r="QDU74"/>
      <c r="QDV74"/>
      <c r="QDW74"/>
      <c r="QDX74"/>
      <c r="QDY74"/>
      <c r="QDZ74"/>
      <c r="QEA74"/>
      <c r="QEB74"/>
      <c r="QEC74"/>
      <c r="QED74"/>
      <c r="QEE74"/>
      <c r="QEF74"/>
      <c r="QEG74"/>
      <c r="QEH74"/>
      <c r="QEI74"/>
      <c r="QEJ74"/>
      <c r="QEK74"/>
      <c r="QEL74"/>
      <c r="QEM74"/>
      <c r="QEN74"/>
      <c r="QEO74"/>
      <c r="QEP74"/>
      <c r="QEQ74"/>
      <c r="QER74"/>
      <c r="QES74"/>
      <c r="QET74"/>
      <c r="QEU74"/>
      <c r="QEV74"/>
      <c r="QEW74"/>
      <c r="QEX74"/>
      <c r="QEY74"/>
      <c r="QEZ74"/>
      <c r="QFA74"/>
      <c r="QFB74"/>
      <c r="QFC74"/>
      <c r="QFD74"/>
      <c r="QFE74"/>
      <c r="QFF74"/>
      <c r="QFG74"/>
      <c r="QFH74"/>
      <c r="QFI74"/>
      <c r="QFJ74"/>
      <c r="QFK74"/>
      <c r="QFL74"/>
      <c r="QFM74"/>
      <c r="QFN74"/>
      <c r="QFO74"/>
      <c r="QFP74"/>
      <c r="QFQ74"/>
      <c r="QFR74"/>
      <c r="QFS74"/>
      <c r="QFT74"/>
      <c r="QFU74"/>
      <c r="QFV74"/>
      <c r="QFW74"/>
      <c r="QFX74"/>
      <c r="QFY74"/>
      <c r="QFZ74"/>
      <c r="QGA74"/>
      <c r="QGB74"/>
      <c r="QGC74"/>
      <c r="QGD74"/>
      <c r="QGE74"/>
      <c r="QGF74"/>
      <c r="QGG74"/>
      <c r="QGH74"/>
      <c r="QGI74"/>
      <c r="QGJ74"/>
      <c r="QGK74"/>
      <c r="QGL74"/>
      <c r="QGM74"/>
      <c r="QGN74"/>
      <c r="QGO74"/>
      <c r="QGP74"/>
      <c r="QGQ74"/>
      <c r="QGR74"/>
      <c r="QGS74"/>
      <c r="QGT74"/>
      <c r="QGU74"/>
      <c r="QGV74"/>
      <c r="QGW74"/>
      <c r="QGX74"/>
      <c r="QGY74"/>
      <c r="QGZ74"/>
      <c r="QHA74"/>
      <c r="QHB74"/>
      <c r="QHC74"/>
      <c r="QHD74"/>
      <c r="QHE74"/>
      <c r="QHF74"/>
      <c r="QHG74"/>
      <c r="QHH74"/>
      <c r="QHI74"/>
      <c r="QHJ74"/>
      <c r="QHK74"/>
      <c r="QHL74"/>
      <c r="QHM74"/>
      <c r="QHN74"/>
      <c r="QHO74"/>
      <c r="QHP74"/>
      <c r="QHQ74"/>
      <c r="QHR74"/>
      <c r="QHS74"/>
      <c r="QHT74"/>
      <c r="QHU74"/>
      <c r="QHV74"/>
      <c r="QHW74"/>
      <c r="QHX74"/>
      <c r="QHY74"/>
      <c r="QHZ74"/>
      <c r="QIA74"/>
      <c r="QIB74"/>
      <c r="QIC74"/>
      <c r="QID74"/>
      <c r="QIE74"/>
      <c r="QIF74"/>
      <c r="QIG74"/>
      <c r="QIH74"/>
      <c r="QII74"/>
      <c r="QIJ74"/>
      <c r="QIK74"/>
      <c r="QIL74"/>
      <c r="QIM74"/>
      <c r="QIN74"/>
      <c r="QIO74"/>
      <c r="QIP74"/>
      <c r="QIQ74"/>
      <c r="QIR74"/>
      <c r="QIS74"/>
      <c r="QIT74"/>
      <c r="QIU74"/>
      <c r="QIV74"/>
      <c r="QIW74"/>
      <c r="QIX74"/>
      <c r="QIY74"/>
      <c r="QIZ74"/>
      <c r="QJA74"/>
      <c r="QJB74"/>
      <c r="QJC74"/>
      <c r="QJD74"/>
      <c r="QJE74"/>
      <c r="QJF74"/>
      <c r="QJG74"/>
      <c r="QJH74"/>
      <c r="QJI74"/>
      <c r="QJJ74"/>
      <c r="QJK74"/>
      <c r="QJL74"/>
      <c r="QJM74"/>
      <c r="QJN74"/>
      <c r="QJO74"/>
      <c r="QJP74"/>
      <c r="QJQ74"/>
      <c r="QJR74"/>
      <c r="QJS74"/>
      <c r="QJT74"/>
      <c r="QJU74"/>
      <c r="QJV74"/>
      <c r="QJW74"/>
      <c r="QJX74"/>
      <c r="QJY74"/>
      <c r="QJZ74"/>
      <c r="QKA74"/>
      <c r="QKB74"/>
      <c r="QKC74"/>
      <c r="QKD74"/>
      <c r="QKE74"/>
      <c r="QKF74"/>
      <c r="QKG74"/>
      <c r="QKH74"/>
      <c r="QKI74"/>
      <c r="QKJ74"/>
      <c r="QKK74"/>
      <c r="QKL74"/>
      <c r="QKM74"/>
      <c r="QKN74"/>
      <c r="QKO74"/>
      <c r="QKP74"/>
      <c r="QKQ74"/>
      <c r="QKR74"/>
      <c r="QKS74"/>
      <c r="QKT74"/>
      <c r="QKU74"/>
      <c r="QKV74"/>
      <c r="QKW74"/>
      <c r="QKX74"/>
      <c r="QKY74"/>
      <c r="QKZ74"/>
      <c r="QLA74"/>
      <c r="QLB74"/>
      <c r="QLC74"/>
      <c r="QLD74"/>
      <c r="QLE74"/>
      <c r="QLF74"/>
      <c r="QLG74"/>
      <c r="QLH74"/>
      <c r="QLI74"/>
      <c r="QLJ74"/>
      <c r="QLK74"/>
      <c r="QLL74"/>
      <c r="QLM74"/>
      <c r="QLN74"/>
      <c r="QLO74"/>
      <c r="QLP74"/>
      <c r="QLQ74"/>
      <c r="QLR74"/>
      <c r="QLS74"/>
      <c r="QLT74"/>
      <c r="QLU74"/>
      <c r="QLV74"/>
      <c r="QLW74"/>
      <c r="QLX74"/>
      <c r="QLY74"/>
      <c r="QLZ74"/>
      <c r="QMA74"/>
      <c r="QMB74"/>
      <c r="QMC74"/>
      <c r="QMD74"/>
      <c r="QME74"/>
      <c r="QMF74"/>
      <c r="QMG74"/>
      <c r="QMH74"/>
      <c r="QMI74"/>
      <c r="QMJ74"/>
      <c r="QMK74"/>
      <c r="QML74"/>
      <c r="QMM74"/>
      <c r="QMN74"/>
      <c r="QMO74"/>
      <c r="QMP74"/>
      <c r="QMQ74"/>
      <c r="QMR74"/>
      <c r="QMS74"/>
      <c r="QMT74"/>
      <c r="QMU74"/>
      <c r="QMV74"/>
      <c r="QMW74"/>
      <c r="QMX74"/>
      <c r="QMY74"/>
      <c r="QMZ74"/>
      <c r="QNA74"/>
      <c r="QNB74"/>
      <c r="QNC74"/>
      <c r="QND74"/>
      <c r="QNE74"/>
      <c r="QNF74"/>
      <c r="QNG74"/>
      <c r="QNH74"/>
      <c r="QNI74"/>
      <c r="QNJ74"/>
      <c r="QNK74"/>
      <c r="QNL74"/>
      <c r="QNM74"/>
      <c r="QNN74"/>
      <c r="QNO74"/>
      <c r="QNP74"/>
      <c r="QNQ74"/>
      <c r="QNR74"/>
      <c r="QNS74"/>
      <c r="QNT74"/>
      <c r="QNU74"/>
      <c r="QNV74"/>
      <c r="QNW74"/>
      <c r="QNX74"/>
      <c r="QNY74"/>
      <c r="QNZ74"/>
      <c r="QOA74"/>
      <c r="QOB74"/>
      <c r="QOC74"/>
      <c r="QOD74"/>
      <c r="QOE74"/>
      <c r="QOF74"/>
      <c r="QOG74"/>
      <c r="QOH74"/>
      <c r="QOI74"/>
      <c r="QOJ74"/>
      <c r="QOK74"/>
      <c r="QOL74"/>
      <c r="QOM74"/>
      <c r="QON74"/>
      <c r="QOO74"/>
      <c r="QOP74"/>
      <c r="QOQ74"/>
      <c r="QOR74"/>
      <c r="QOS74"/>
      <c r="QOT74"/>
      <c r="QOU74"/>
      <c r="QOV74"/>
      <c r="QOW74"/>
      <c r="QOX74"/>
      <c r="QOY74"/>
      <c r="QOZ74"/>
      <c r="QPA74"/>
      <c r="QPB74"/>
      <c r="QPC74"/>
      <c r="QPD74"/>
      <c r="QPE74"/>
      <c r="QPF74"/>
      <c r="QPG74"/>
      <c r="QPH74"/>
      <c r="QPI74"/>
      <c r="QPJ74"/>
      <c r="QPK74"/>
      <c r="QPL74"/>
      <c r="QPM74"/>
      <c r="QPN74"/>
      <c r="QPO74"/>
      <c r="QPP74"/>
      <c r="QPQ74"/>
      <c r="QPR74"/>
      <c r="QPS74"/>
      <c r="QPT74"/>
      <c r="QPU74"/>
      <c r="QPV74"/>
      <c r="QPW74"/>
      <c r="QPX74"/>
      <c r="QPY74"/>
      <c r="QPZ74"/>
      <c r="QQA74"/>
      <c r="QQB74"/>
      <c r="QQC74"/>
      <c r="QQD74"/>
      <c r="QQE74"/>
      <c r="QQF74"/>
      <c r="QQG74"/>
      <c r="QQH74"/>
      <c r="QQI74"/>
      <c r="QQJ74"/>
      <c r="QQK74"/>
      <c r="QQL74"/>
      <c r="QQM74"/>
      <c r="QQN74"/>
      <c r="QQO74"/>
      <c r="QQP74"/>
      <c r="QQQ74"/>
      <c r="QQR74"/>
      <c r="QQS74"/>
      <c r="QQT74"/>
      <c r="QQU74"/>
      <c r="QQV74"/>
      <c r="QQW74"/>
      <c r="QQX74"/>
      <c r="QQY74"/>
      <c r="QQZ74"/>
      <c r="QRA74"/>
      <c r="QRB74"/>
      <c r="QRC74"/>
      <c r="QRD74"/>
      <c r="QRE74"/>
      <c r="QRF74"/>
      <c r="QRG74"/>
      <c r="QRH74"/>
      <c r="QRI74"/>
      <c r="QRJ74"/>
      <c r="QRK74"/>
      <c r="QRL74"/>
      <c r="QRM74"/>
      <c r="QRN74"/>
      <c r="QRO74"/>
      <c r="QRP74"/>
      <c r="QRQ74"/>
      <c r="QRR74"/>
      <c r="QRS74"/>
      <c r="QRT74"/>
      <c r="QRU74"/>
      <c r="QRV74"/>
      <c r="QRW74"/>
      <c r="QRX74"/>
      <c r="QRY74"/>
      <c r="QRZ74"/>
      <c r="QSA74"/>
      <c r="QSB74"/>
      <c r="QSC74"/>
      <c r="QSD74"/>
      <c r="QSE74"/>
      <c r="QSF74"/>
      <c r="QSG74"/>
      <c r="QSH74"/>
      <c r="QSI74"/>
      <c r="QSJ74"/>
      <c r="QSK74"/>
      <c r="QSL74"/>
      <c r="QSM74"/>
      <c r="QSN74"/>
      <c r="QSO74"/>
      <c r="QSP74"/>
      <c r="QSQ74"/>
      <c r="QSR74"/>
      <c r="QSS74"/>
      <c r="QST74"/>
      <c r="QSU74"/>
      <c r="QSV74"/>
      <c r="QSW74"/>
      <c r="QSX74"/>
      <c r="QSY74"/>
      <c r="QSZ74"/>
      <c r="QTA74"/>
      <c r="QTB74"/>
      <c r="QTC74"/>
      <c r="QTD74"/>
      <c r="QTE74"/>
      <c r="QTF74"/>
      <c r="QTG74"/>
      <c r="QTH74"/>
      <c r="QTI74"/>
      <c r="QTJ74"/>
      <c r="QTK74"/>
      <c r="QTL74"/>
      <c r="QTM74"/>
      <c r="QTN74"/>
      <c r="QTO74"/>
      <c r="QTP74"/>
      <c r="QTQ74"/>
      <c r="QTR74"/>
      <c r="QTS74"/>
      <c r="QTT74"/>
      <c r="QTU74"/>
      <c r="QTV74"/>
      <c r="QTW74"/>
      <c r="QTX74"/>
      <c r="QTY74"/>
      <c r="QTZ74"/>
      <c r="QUA74"/>
      <c r="QUB74"/>
      <c r="QUC74"/>
      <c r="QUD74"/>
      <c r="QUE74"/>
      <c r="QUF74"/>
      <c r="QUG74"/>
      <c r="QUH74"/>
      <c r="QUI74"/>
      <c r="QUJ74"/>
      <c r="QUK74"/>
      <c r="QUL74"/>
      <c r="QUM74"/>
      <c r="QUN74"/>
      <c r="QUO74"/>
      <c r="QUP74"/>
      <c r="QUQ74"/>
      <c r="QUR74"/>
      <c r="QUS74"/>
      <c r="QUT74"/>
      <c r="QUU74"/>
      <c r="QUV74"/>
      <c r="QUW74"/>
      <c r="QUX74"/>
      <c r="QUY74"/>
      <c r="QUZ74"/>
      <c r="QVA74"/>
      <c r="QVB74"/>
      <c r="QVC74"/>
      <c r="QVD74"/>
      <c r="QVE74"/>
      <c r="QVF74"/>
      <c r="QVG74"/>
      <c r="QVH74"/>
      <c r="QVI74"/>
      <c r="QVJ74"/>
      <c r="QVK74"/>
      <c r="QVL74"/>
      <c r="QVM74"/>
      <c r="QVN74"/>
      <c r="QVO74"/>
      <c r="QVP74"/>
      <c r="QVQ74"/>
      <c r="QVR74"/>
      <c r="QVS74"/>
      <c r="QVT74"/>
      <c r="QVU74"/>
      <c r="QVV74"/>
      <c r="QVW74"/>
      <c r="QVX74"/>
      <c r="QVY74"/>
      <c r="QVZ74"/>
      <c r="QWA74"/>
      <c r="QWB74"/>
      <c r="QWC74"/>
      <c r="QWD74"/>
      <c r="QWE74"/>
      <c r="QWF74"/>
      <c r="QWG74"/>
      <c r="QWH74"/>
      <c r="QWI74"/>
      <c r="QWJ74"/>
      <c r="QWK74"/>
      <c r="QWL74"/>
      <c r="QWM74"/>
      <c r="QWN74"/>
      <c r="QWO74"/>
      <c r="QWP74"/>
      <c r="QWQ74"/>
      <c r="QWR74"/>
      <c r="QWS74"/>
      <c r="QWT74"/>
      <c r="QWU74"/>
      <c r="QWV74"/>
      <c r="QWW74"/>
      <c r="QWX74"/>
      <c r="QWY74"/>
      <c r="QWZ74"/>
      <c r="QXA74"/>
      <c r="QXB74"/>
      <c r="QXC74"/>
      <c r="QXD74"/>
      <c r="QXE74"/>
      <c r="QXF74"/>
      <c r="QXG74"/>
      <c r="QXH74"/>
      <c r="QXI74"/>
      <c r="QXJ74"/>
      <c r="QXK74"/>
      <c r="QXL74"/>
      <c r="QXM74"/>
      <c r="QXN74"/>
      <c r="QXO74"/>
      <c r="QXP74"/>
      <c r="QXQ74"/>
      <c r="QXR74"/>
      <c r="QXS74"/>
      <c r="QXT74"/>
      <c r="QXU74"/>
      <c r="QXV74"/>
      <c r="QXW74"/>
      <c r="QXX74"/>
      <c r="QXY74"/>
      <c r="QXZ74"/>
      <c r="QYA74"/>
      <c r="QYB74"/>
      <c r="QYC74"/>
      <c r="QYD74"/>
      <c r="QYE74"/>
      <c r="QYF74"/>
      <c r="QYG74"/>
      <c r="QYH74"/>
      <c r="QYI74"/>
      <c r="QYJ74"/>
      <c r="QYK74"/>
      <c r="QYL74"/>
      <c r="QYM74"/>
      <c r="QYN74"/>
      <c r="QYO74"/>
      <c r="QYP74"/>
      <c r="QYQ74"/>
      <c r="QYR74"/>
      <c r="QYS74"/>
      <c r="QYT74"/>
      <c r="QYU74"/>
      <c r="QYV74"/>
      <c r="QYW74"/>
      <c r="QYX74"/>
      <c r="QYY74"/>
      <c r="QYZ74"/>
      <c r="QZA74"/>
      <c r="QZB74"/>
      <c r="QZC74"/>
      <c r="QZD74"/>
      <c r="QZE74"/>
      <c r="QZF74"/>
      <c r="QZG74"/>
      <c r="QZH74"/>
      <c r="QZI74"/>
      <c r="QZJ74"/>
      <c r="QZK74"/>
      <c r="QZL74"/>
      <c r="QZM74"/>
      <c r="QZN74"/>
      <c r="QZO74"/>
      <c r="QZP74"/>
      <c r="QZQ74"/>
      <c r="QZR74"/>
      <c r="QZS74"/>
      <c r="QZT74"/>
      <c r="QZU74"/>
      <c r="QZV74"/>
      <c r="QZW74"/>
      <c r="QZX74"/>
      <c r="QZY74"/>
      <c r="QZZ74"/>
      <c r="RAA74"/>
      <c r="RAB74"/>
      <c r="RAC74"/>
      <c r="RAD74"/>
      <c r="RAE74"/>
      <c r="RAF74"/>
      <c r="RAG74"/>
      <c r="RAH74"/>
      <c r="RAI74"/>
      <c r="RAJ74"/>
      <c r="RAK74"/>
      <c r="RAL74"/>
      <c r="RAM74"/>
      <c r="RAN74"/>
      <c r="RAO74"/>
      <c r="RAP74"/>
      <c r="RAQ74"/>
      <c r="RAR74"/>
      <c r="RAS74"/>
      <c r="RAT74"/>
      <c r="RAU74"/>
      <c r="RAV74"/>
      <c r="RAW74"/>
      <c r="RAX74"/>
      <c r="RAY74"/>
      <c r="RAZ74"/>
      <c r="RBA74"/>
      <c r="RBB74"/>
      <c r="RBC74"/>
      <c r="RBD74"/>
      <c r="RBE74"/>
      <c r="RBF74"/>
      <c r="RBG74"/>
      <c r="RBH74"/>
      <c r="RBI74"/>
      <c r="RBJ74"/>
      <c r="RBK74"/>
      <c r="RBL74"/>
      <c r="RBM74"/>
      <c r="RBN74"/>
      <c r="RBO74"/>
      <c r="RBP74"/>
      <c r="RBQ74"/>
      <c r="RBR74"/>
      <c r="RBS74"/>
      <c r="RBT74"/>
      <c r="RBU74"/>
      <c r="RBV74"/>
      <c r="RBW74"/>
      <c r="RBX74"/>
      <c r="RBY74"/>
      <c r="RBZ74"/>
      <c r="RCA74"/>
      <c r="RCB74"/>
      <c r="RCC74"/>
      <c r="RCD74"/>
      <c r="RCE74"/>
      <c r="RCF74"/>
      <c r="RCG74"/>
      <c r="RCH74"/>
      <c r="RCI74"/>
      <c r="RCJ74"/>
      <c r="RCK74"/>
      <c r="RCL74"/>
      <c r="RCM74"/>
      <c r="RCN74"/>
      <c r="RCO74"/>
      <c r="RCP74"/>
      <c r="RCQ74"/>
      <c r="RCR74"/>
      <c r="RCS74"/>
      <c r="RCT74"/>
      <c r="RCU74"/>
      <c r="RCV74"/>
      <c r="RCW74"/>
      <c r="RCX74"/>
      <c r="RCY74"/>
      <c r="RCZ74"/>
      <c r="RDA74"/>
      <c r="RDB74"/>
      <c r="RDC74"/>
      <c r="RDD74"/>
      <c r="RDE74"/>
      <c r="RDF74"/>
      <c r="RDG74"/>
      <c r="RDH74"/>
      <c r="RDI74"/>
      <c r="RDJ74"/>
      <c r="RDK74"/>
      <c r="RDL74"/>
      <c r="RDM74"/>
      <c r="RDN74"/>
      <c r="RDO74"/>
      <c r="RDP74"/>
      <c r="RDQ74"/>
      <c r="RDR74"/>
      <c r="RDS74"/>
      <c r="RDT74"/>
      <c r="RDU74"/>
      <c r="RDV74"/>
      <c r="RDW74"/>
      <c r="RDX74"/>
      <c r="RDY74"/>
      <c r="RDZ74"/>
      <c r="REA74"/>
      <c r="REB74"/>
      <c r="REC74"/>
      <c r="RED74"/>
      <c r="REE74"/>
      <c r="REF74"/>
      <c r="REG74"/>
      <c r="REH74"/>
      <c r="REI74"/>
      <c r="REJ74"/>
      <c r="REK74"/>
      <c r="REL74"/>
      <c r="REM74"/>
      <c r="REN74"/>
      <c r="REO74"/>
      <c r="REP74"/>
      <c r="REQ74"/>
      <c r="RER74"/>
      <c r="RES74"/>
      <c r="RET74"/>
      <c r="REU74"/>
      <c r="REV74"/>
      <c r="REW74"/>
      <c r="REX74"/>
      <c r="REY74"/>
      <c r="REZ74"/>
      <c r="RFA74"/>
      <c r="RFB74"/>
      <c r="RFC74"/>
      <c r="RFD74"/>
      <c r="RFE74"/>
      <c r="RFF74"/>
      <c r="RFG74"/>
      <c r="RFH74"/>
      <c r="RFI74"/>
      <c r="RFJ74"/>
      <c r="RFK74"/>
      <c r="RFL74"/>
      <c r="RFM74"/>
      <c r="RFN74"/>
      <c r="RFO74"/>
      <c r="RFP74"/>
      <c r="RFQ74"/>
      <c r="RFR74"/>
      <c r="RFS74"/>
      <c r="RFT74"/>
      <c r="RFU74"/>
      <c r="RFV74"/>
      <c r="RFW74"/>
      <c r="RFX74"/>
      <c r="RFY74"/>
      <c r="RFZ74"/>
      <c r="RGA74"/>
      <c r="RGB74"/>
      <c r="RGC74"/>
      <c r="RGD74"/>
      <c r="RGE74"/>
      <c r="RGF74"/>
      <c r="RGG74"/>
      <c r="RGH74"/>
      <c r="RGI74"/>
      <c r="RGJ74"/>
      <c r="RGK74"/>
      <c r="RGL74"/>
      <c r="RGM74"/>
      <c r="RGN74"/>
      <c r="RGO74"/>
      <c r="RGP74"/>
      <c r="RGQ74"/>
      <c r="RGR74"/>
      <c r="RGS74"/>
      <c r="RGT74"/>
      <c r="RGU74"/>
      <c r="RGV74"/>
      <c r="RGW74"/>
      <c r="RGX74"/>
      <c r="RGY74"/>
      <c r="RGZ74"/>
      <c r="RHA74"/>
      <c r="RHB74"/>
      <c r="RHC74"/>
      <c r="RHD74"/>
      <c r="RHE74"/>
      <c r="RHF74"/>
      <c r="RHG74"/>
      <c r="RHH74"/>
      <c r="RHI74"/>
      <c r="RHJ74"/>
      <c r="RHK74"/>
      <c r="RHL74"/>
      <c r="RHM74"/>
      <c r="RHN74"/>
      <c r="RHO74"/>
      <c r="RHP74"/>
      <c r="RHQ74"/>
      <c r="RHR74"/>
      <c r="RHS74"/>
      <c r="RHT74"/>
      <c r="RHU74"/>
      <c r="RHV74"/>
      <c r="RHW74"/>
      <c r="RHX74"/>
      <c r="RHY74"/>
      <c r="RHZ74"/>
      <c r="RIA74"/>
      <c r="RIB74"/>
      <c r="RIC74"/>
      <c r="RID74"/>
      <c r="RIE74"/>
      <c r="RIF74"/>
      <c r="RIG74"/>
      <c r="RIH74"/>
      <c r="RII74"/>
      <c r="RIJ74"/>
      <c r="RIK74"/>
      <c r="RIL74"/>
      <c r="RIM74"/>
      <c r="RIN74"/>
      <c r="RIO74"/>
      <c r="RIP74"/>
      <c r="RIQ74"/>
      <c r="RIR74"/>
      <c r="RIS74"/>
      <c r="RIT74"/>
      <c r="RIU74"/>
      <c r="RIV74"/>
      <c r="RIW74"/>
      <c r="RIX74"/>
      <c r="RIY74"/>
      <c r="RIZ74"/>
      <c r="RJA74"/>
      <c r="RJB74"/>
      <c r="RJC74"/>
      <c r="RJD74"/>
      <c r="RJE74"/>
      <c r="RJF74"/>
      <c r="RJG74"/>
      <c r="RJH74"/>
      <c r="RJI74"/>
      <c r="RJJ74"/>
      <c r="RJK74"/>
      <c r="RJL74"/>
      <c r="RJM74"/>
      <c r="RJN74"/>
      <c r="RJO74"/>
      <c r="RJP74"/>
      <c r="RJQ74"/>
      <c r="RJR74"/>
      <c r="RJS74"/>
      <c r="RJT74"/>
      <c r="RJU74"/>
      <c r="RJV74"/>
      <c r="RJW74"/>
      <c r="RJX74"/>
      <c r="RJY74"/>
      <c r="RJZ74"/>
      <c r="RKA74"/>
      <c r="RKB74"/>
      <c r="RKC74"/>
      <c r="RKD74"/>
      <c r="RKE74"/>
      <c r="RKF74"/>
      <c r="RKG74"/>
      <c r="RKH74"/>
      <c r="RKI74"/>
      <c r="RKJ74"/>
      <c r="RKK74"/>
      <c r="RKL74"/>
      <c r="RKM74"/>
      <c r="RKN74"/>
      <c r="RKO74"/>
      <c r="RKP74"/>
      <c r="RKQ74"/>
      <c r="RKR74"/>
      <c r="RKS74"/>
      <c r="RKT74"/>
      <c r="RKU74"/>
      <c r="RKV74"/>
      <c r="RKW74"/>
      <c r="RKX74"/>
      <c r="RKY74"/>
      <c r="RKZ74"/>
      <c r="RLA74"/>
      <c r="RLB74"/>
      <c r="RLC74"/>
      <c r="RLD74"/>
      <c r="RLE74"/>
      <c r="RLF74"/>
      <c r="RLG74"/>
      <c r="RLH74"/>
      <c r="RLI74"/>
      <c r="RLJ74"/>
      <c r="RLK74"/>
      <c r="RLL74"/>
      <c r="RLM74"/>
      <c r="RLN74"/>
      <c r="RLO74"/>
      <c r="RLP74"/>
      <c r="RLQ74"/>
      <c r="RLR74"/>
      <c r="RLS74"/>
      <c r="RLT74"/>
      <c r="RLU74"/>
      <c r="RLV74"/>
      <c r="RLW74"/>
      <c r="RLX74"/>
      <c r="RLY74"/>
      <c r="RLZ74"/>
      <c r="RMA74"/>
      <c r="RMB74"/>
      <c r="RMC74"/>
      <c r="RMD74"/>
      <c r="RME74"/>
      <c r="RMF74"/>
      <c r="RMG74"/>
      <c r="RMH74"/>
      <c r="RMI74"/>
      <c r="RMJ74"/>
      <c r="RMK74"/>
      <c r="RML74"/>
      <c r="RMM74"/>
      <c r="RMN74"/>
      <c r="RMO74"/>
      <c r="RMP74"/>
      <c r="RMQ74"/>
      <c r="RMR74"/>
      <c r="RMS74"/>
      <c r="RMT74"/>
      <c r="RMU74"/>
      <c r="RMV74"/>
      <c r="RMW74"/>
      <c r="RMX74"/>
      <c r="RMY74"/>
      <c r="RMZ74"/>
      <c r="RNA74"/>
      <c r="RNB74"/>
      <c r="RNC74"/>
      <c r="RND74"/>
      <c r="RNE74"/>
      <c r="RNF74"/>
      <c r="RNG74"/>
      <c r="RNH74"/>
      <c r="RNI74"/>
      <c r="RNJ74"/>
      <c r="RNK74"/>
      <c r="RNL74"/>
      <c r="RNM74"/>
      <c r="RNN74"/>
      <c r="RNO74"/>
      <c r="RNP74"/>
      <c r="RNQ74"/>
      <c r="RNR74"/>
      <c r="RNS74"/>
      <c r="RNT74"/>
      <c r="RNU74"/>
      <c r="RNV74"/>
      <c r="RNW74"/>
      <c r="RNX74"/>
      <c r="RNY74"/>
      <c r="RNZ74"/>
      <c r="ROA74"/>
      <c r="ROB74"/>
      <c r="ROC74"/>
      <c r="ROD74"/>
      <c r="ROE74"/>
      <c r="ROF74"/>
      <c r="ROG74"/>
      <c r="ROH74"/>
      <c r="ROI74"/>
      <c r="ROJ74"/>
      <c r="ROK74"/>
      <c r="ROL74"/>
      <c r="ROM74"/>
      <c r="RON74"/>
      <c r="ROO74"/>
      <c r="ROP74"/>
      <c r="ROQ74"/>
      <c r="ROR74"/>
      <c r="ROS74"/>
      <c r="ROT74"/>
      <c r="ROU74"/>
      <c r="ROV74"/>
      <c r="ROW74"/>
      <c r="ROX74"/>
      <c r="ROY74"/>
      <c r="ROZ74"/>
      <c r="RPA74"/>
      <c r="RPB74"/>
      <c r="RPC74"/>
      <c r="RPD74"/>
      <c r="RPE74"/>
      <c r="RPF74"/>
      <c r="RPG74"/>
      <c r="RPH74"/>
      <c r="RPI74"/>
      <c r="RPJ74"/>
      <c r="RPK74"/>
      <c r="RPL74"/>
      <c r="RPM74"/>
      <c r="RPN74"/>
      <c r="RPO74"/>
      <c r="RPP74"/>
      <c r="RPQ74"/>
      <c r="RPR74"/>
      <c r="RPS74"/>
      <c r="RPT74"/>
      <c r="RPU74"/>
      <c r="RPV74"/>
      <c r="RPW74"/>
      <c r="RPX74"/>
      <c r="RPY74"/>
      <c r="RPZ74"/>
      <c r="RQA74"/>
      <c r="RQB74"/>
      <c r="RQC74"/>
      <c r="RQD74"/>
      <c r="RQE74"/>
      <c r="RQF74"/>
      <c r="RQG74"/>
      <c r="RQH74"/>
      <c r="RQI74"/>
      <c r="RQJ74"/>
      <c r="RQK74"/>
      <c r="RQL74"/>
      <c r="RQM74"/>
      <c r="RQN74"/>
      <c r="RQO74"/>
      <c r="RQP74"/>
      <c r="RQQ74"/>
      <c r="RQR74"/>
      <c r="RQS74"/>
      <c r="RQT74"/>
      <c r="RQU74"/>
      <c r="RQV74"/>
      <c r="RQW74"/>
      <c r="RQX74"/>
      <c r="RQY74"/>
      <c r="RQZ74"/>
      <c r="RRA74"/>
      <c r="RRB74"/>
      <c r="RRC74"/>
      <c r="RRD74"/>
      <c r="RRE74"/>
      <c r="RRF74"/>
      <c r="RRG74"/>
      <c r="RRH74"/>
      <c r="RRI74"/>
      <c r="RRJ74"/>
      <c r="RRK74"/>
      <c r="RRL74"/>
      <c r="RRM74"/>
      <c r="RRN74"/>
      <c r="RRO74"/>
      <c r="RRP74"/>
      <c r="RRQ74"/>
      <c r="RRR74"/>
      <c r="RRS74"/>
      <c r="RRT74"/>
      <c r="RRU74"/>
      <c r="RRV74"/>
      <c r="RRW74"/>
      <c r="RRX74"/>
      <c r="RRY74"/>
      <c r="RRZ74"/>
      <c r="RSA74"/>
      <c r="RSB74"/>
      <c r="RSC74"/>
      <c r="RSD74"/>
      <c r="RSE74"/>
      <c r="RSF74"/>
      <c r="RSG74"/>
      <c r="RSH74"/>
      <c r="RSI74"/>
      <c r="RSJ74"/>
      <c r="RSK74"/>
      <c r="RSL74"/>
      <c r="RSM74"/>
      <c r="RSN74"/>
      <c r="RSO74"/>
      <c r="RSP74"/>
      <c r="RSQ74"/>
      <c r="RSR74"/>
      <c r="RSS74"/>
      <c r="RST74"/>
      <c r="RSU74"/>
      <c r="RSV74"/>
      <c r="RSW74"/>
      <c r="RSX74"/>
      <c r="RSY74"/>
      <c r="RSZ74"/>
      <c r="RTA74"/>
      <c r="RTB74"/>
      <c r="RTC74"/>
      <c r="RTD74"/>
      <c r="RTE74"/>
      <c r="RTF74"/>
      <c r="RTG74"/>
      <c r="RTH74"/>
      <c r="RTI74"/>
      <c r="RTJ74"/>
      <c r="RTK74"/>
      <c r="RTL74"/>
      <c r="RTM74"/>
      <c r="RTN74"/>
      <c r="RTO74"/>
      <c r="RTP74"/>
      <c r="RTQ74"/>
      <c r="RTR74"/>
      <c r="RTS74"/>
      <c r="RTT74"/>
      <c r="RTU74"/>
      <c r="RTV74"/>
      <c r="RTW74"/>
      <c r="RTX74"/>
      <c r="RTY74"/>
      <c r="RTZ74"/>
      <c r="RUA74"/>
      <c r="RUB74"/>
      <c r="RUC74"/>
      <c r="RUD74"/>
      <c r="RUE74"/>
      <c r="RUF74"/>
      <c r="RUG74"/>
      <c r="RUH74"/>
      <c r="RUI74"/>
      <c r="RUJ74"/>
      <c r="RUK74"/>
      <c r="RUL74"/>
      <c r="RUM74"/>
      <c r="RUN74"/>
      <c r="RUO74"/>
      <c r="RUP74"/>
      <c r="RUQ74"/>
      <c r="RUR74"/>
      <c r="RUS74"/>
      <c r="RUT74"/>
      <c r="RUU74"/>
      <c r="RUV74"/>
      <c r="RUW74"/>
      <c r="RUX74"/>
      <c r="RUY74"/>
      <c r="RUZ74"/>
      <c r="RVA74"/>
      <c r="RVB74"/>
      <c r="RVC74"/>
      <c r="RVD74"/>
      <c r="RVE74"/>
      <c r="RVF74"/>
      <c r="RVG74"/>
      <c r="RVH74"/>
      <c r="RVI74"/>
      <c r="RVJ74"/>
      <c r="RVK74"/>
      <c r="RVL74"/>
      <c r="RVM74"/>
      <c r="RVN74"/>
      <c r="RVO74"/>
      <c r="RVP74"/>
      <c r="RVQ74"/>
      <c r="RVR74"/>
      <c r="RVS74"/>
      <c r="RVT74"/>
      <c r="RVU74"/>
      <c r="RVV74"/>
      <c r="RVW74"/>
      <c r="RVX74"/>
      <c r="RVY74"/>
      <c r="RVZ74"/>
      <c r="RWA74"/>
      <c r="RWB74"/>
      <c r="RWC74"/>
      <c r="RWD74"/>
      <c r="RWE74"/>
      <c r="RWF74"/>
      <c r="RWG74"/>
      <c r="RWH74"/>
      <c r="RWI74"/>
      <c r="RWJ74"/>
      <c r="RWK74"/>
      <c r="RWL74"/>
      <c r="RWM74"/>
      <c r="RWN74"/>
      <c r="RWO74"/>
      <c r="RWP74"/>
      <c r="RWQ74"/>
      <c r="RWR74"/>
      <c r="RWS74"/>
      <c r="RWT74"/>
      <c r="RWU74"/>
      <c r="RWV74"/>
      <c r="RWW74"/>
      <c r="RWX74"/>
      <c r="RWY74"/>
      <c r="RWZ74"/>
      <c r="RXA74"/>
      <c r="RXB74"/>
      <c r="RXC74"/>
      <c r="RXD74"/>
      <c r="RXE74"/>
      <c r="RXF74"/>
      <c r="RXG74"/>
      <c r="RXH74"/>
      <c r="RXI74"/>
      <c r="RXJ74"/>
      <c r="RXK74"/>
      <c r="RXL74"/>
      <c r="RXM74"/>
      <c r="RXN74"/>
      <c r="RXO74"/>
      <c r="RXP74"/>
      <c r="RXQ74"/>
      <c r="RXR74"/>
      <c r="RXS74"/>
      <c r="RXT74"/>
      <c r="RXU74"/>
      <c r="RXV74"/>
      <c r="RXW74"/>
      <c r="RXX74"/>
      <c r="RXY74"/>
      <c r="RXZ74"/>
      <c r="RYA74"/>
      <c r="RYB74"/>
      <c r="RYC74"/>
      <c r="RYD74"/>
      <c r="RYE74"/>
      <c r="RYF74"/>
      <c r="RYG74"/>
      <c r="RYH74"/>
      <c r="RYI74"/>
      <c r="RYJ74"/>
      <c r="RYK74"/>
      <c r="RYL74"/>
      <c r="RYM74"/>
      <c r="RYN74"/>
      <c r="RYO74"/>
      <c r="RYP74"/>
      <c r="RYQ74"/>
      <c r="RYR74"/>
      <c r="RYS74"/>
      <c r="RYT74"/>
      <c r="RYU74"/>
      <c r="RYV74"/>
      <c r="RYW74"/>
      <c r="RYX74"/>
      <c r="RYY74"/>
      <c r="RYZ74"/>
      <c r="RZA74"/>
      <c r="RZB74"/>
      <c r="RZC74"/>
      <c r="RZD74"/>
      <c r="RZE74"/>
      <c r="RZF74"/>
      <c r="RZG74"/>
      <c r="RZH74"/>
      <c r="RZI74"/>
      <c r="RZJ74"/>
      <c r="RZK74"/>
      <c r="RZL74"/>
      <c r="RZM74"/>
      <c r="RZN74"/>
      <c r="RZO74"/>
      <c r="RZP74"/>
      <c r="RZQ74"/>
      <c r="RZR74"/>
      <c r="RZS74"/>
      <c r="RZT74"/>
      <c r="RZU74"/>
      <c r="RZV74"/>
      <c r="RZW74"/>
      <c r="RZX74"/>
      <c r="RZY74"/>
      <c r="RZZ74"/>
      <c r="SAA74"/>
      <c r="SAB74"/>
      <c r="SAC74"/>
      <c r="SAD74"/>
      <c r="SAE74"/>
      <c r="SAF74"/>
      <c r="SAG74"/>
      <c r="SAH74"/>
      <c r="SAI74"/>
      <c r="SAJ74"/>
      <c r="SAK74"/>
      <c r="SAL74"/>
      <c r="SAM74"/>
      <c r="SAN74"/>
      <c r="SAO74"/>
      <c r="SAP74"/>
      <c r="SAQ74"/>
      <c r="SAR74"/>
      <c r="SAS74"/>
      <c r="SAT74"/>
      <c r="SAU74"/>
      <c r="SAV74"/>
      <c r="SAW74"/>
      <c r="SAX74"/>
      <c r="SAY74"/>
      <c r="SAZ74"/>
      <c r="SBA74"/>
      <c r="SBB74"/>
      <c r="SBC74"/>
      <c r="SBD74"/>
      <c r="SBE74"/>
      <c r="SBF74"/>
      <c r="SBG74"/>
      <c r="SBH74"/>
      <c r="SBI74"/>
      <c r="SBJ74"/>
      <c r="SBK74"/>
      <c r="SBL74"/>
      <c r="SBM74"/>
      <c r="SBN74"/>
      <c r="SBO74"/>
      <c r="SBP74"/>
      <c r="SBQ74"/>
      <c r="SBR74"/>
      <c r="SBS74"/>
      <c r="SBT74"/>
      <c r="SBU74"/>
      <c r="SBV74"/>
      <c r="SBW74"/>
      <c r="SBX74"/>
      <c r="SBY74"/>
      <c r="SBZ74"/>
      <c r="SCA74"/>
      <c r="SCB74"/>
      <c r="SCC74"/>
      <c r="SCD74"/>
      <c r="SCE74"/>
      <c r="SCF74"/>
      <c r="SCG74"/>
      <c r="SCH74"/>
      <c r="SCI74"/>
      <c r="SCJ74"/>
      <c r="SCK74"/>
      <c r="SCL74"/>
      <c r="SCM74"/>
      <c r="SCN74"/>
      <c r="SCO74"/>
      <c r="SCP74"/>
      <c r="SCQ74"/>
      <c r="SCR74"/>
      <c r="SCS74"/>
      <c r="SCT74"/>
      <c r="SCU74"/>
      <c r="SCV74"/>
      <c r="SCW74"/>
      <c r="SCX74"/>
      <c r="SCY74"/>
      <c r="SCZ74"/>
      <c r="SDA74"/>
      <c r="SDB74"/>
      <c r="SDC74"/>
      <c r="SDD74"/>
      <c r="SDE74"/>
      <c r="SDF74"/>
      <c r="SDG74"/>
      <c r="SDH74"/>
      <c r="SDI74"/>
      <c r="SDJ74"/>
      <c r="SDK74"/>
      <c r="SDL74"/>
      <c r="SDM74"/>
      <c r="SDN74"/>
      <c r="SDO74"/>
      <c r="SDP74"/>
      <c r="SDQ74"/>
      <c r="SDR74"/>
      <c r="SDS74"/>
      <c r="SDT74"/>
      <c r="SDU74"/>
      <c r="SDV74"/>
      <c r="SDW74"/>
      <c r="SDX74"/>
      <c r="SDY74"/>
      <c r="SDZ74"/>
      <c r="SEA74"/>
      <c r="SEB74"/>
      <c r="SEC74"/>
      <c r="SED74"/>
      <c r="SEE74"/>
      <c r="SEF74"/>
      <c r="SEG74"/>
      <c r="SEH74"/>
      <c r="SEI74"/>
      <c r="SEJ74"/>
      <c r="SEK74"/>
      <c r="SEL74"/>
      <c r="SEM74"/>
      <c r="SEN74"/>
      <c r="SEO74"/>
      <c r="SEP74"/>
      <c r="SEQ74"/>
      <c r="SER74"/>
      <c r="SES74"/>
      <c r="SET74"/>
      <c r="SEU74"/>
      <c r="SEV74"/>
      <c r="SEW74"/>
      <c r="SEX74"/>
      <c r="SEY74"/>
      <c r="SEZ74"/>
      <c r="SFA74"/>
      <c r="SFB74"/>
      <c r="SFC74"/>
      <c r="SFD74"/>
      <c r="SFE74"/>
      <c r="SFF74"/>
      <c r="SFG74"/>
      <c r="SFH74"/>
      <c r="SFI74"/>
      <c r="SFJ74"/>
      <c r="SFK74"/>
      <c r="SFL74"/>
      <c r="SFM74"/>
      <c r="SFN74"/>
      <c r="SFO74"/>
      <c r="SFP74"/>
      <c r="SFQ74"/>
      <c r="SFR74"/>
      <c r="SFS74"/>
      <c r="SFT74"/>
      <c r="SFU74"/>
      <c r="SFV74"/>
      <c r="SFW74"/>
      <c r="SFX74"/>
      <c r="SFY74"/>
      <c r="SFZ74"/>
      <c r="SGA74"/>
      <c r="SGB74"/>
      <c r="SGC74"/>
      <c r="SGD74"/>
      <c r="SGE74"/>
      <c r="SGF74"/>
      <c r="SGG74"/>
      <c r="SGH74"/>
      <c r="SGI74"/>
      <c r="SGJ74"/>
      <c r="SGK74"/>
      <c r="SGL74"/>
      <c r="SGM74"/>
      <c r="SGN74"/>
      <c r="SGO74"/>
      <c r="SGP74"/>
      <c r="SGQ74"/>
      <c r="SGR74"/>
      <c r="SGS74"/>
      <c r="SGT74"/>
      <c r="SGU74"/>
      <c r="SGV74"/>
      <c r="SGW74"/>
      <c r="SGX74"/>
      <c r="SGY74"/>
      <c r="SGZ74"/>
      <c r="SHA74"/>
      <c r="SHB74"/>
      <c r="SHC74"/>
      <c r="SHD74"/>
      <c r="SHE74"/>
      <c r="SHF74"/>
      <c r="SHG74"/>
      <c r="SHH74"/>
      <c r="SHI74"/>
      <c r="SHJ74"/>
      <c r="SHK74"/>
      <c r="SHL74"/>
      <c r="SHM74"/>
      <c r="SHN74"/>
      <c r="SHO74"/>
      <c r="SHP74"/>
      <c r="SHQ74"/>
      <c r="SHR74"/>
      <c r="SHS74"/>
      <c r="SHT74"/>
      <c r="SHU74"/>
      <c r="SHV74"/>
      <c r="SHW74"/>
      <c r="SHX74"/>
      <c r="SHY74"/>
      <c r="SHZ74"/>
      <c r="SIA74"/>
      <c r="SIB74"/>
      <c r="SIC74"/>
      <c r="SID74"/>
      <c r="SIE74"/>
      <c r="SIF74"/>
      <c r="SIG74"/>
      <c r="SIH74"/>
      <c r="SII74"/>
      <c r="SIJ74"/>
      <c r="SIK74"/>
      <c r="SIL74"/>
      <c r="SIM74"/>
      <c r="SIN74"/>
      <c r="SIO74"/>
      <c r="SIP74"/>
      <c r="SIQ74"/>
      <c r="SIR74"/>
      <c r="SIS74"/>
      <c r="SIT74"/>
      <c r="SIU74"/>
      <c r="SIV74"/>
      <c r="SIW74"/>
      <c r="SIX74"/>
      <c r="SIY74"/>
      <c r="SIZ74"/>
      <c r="SJA74"/>
      <c r="SJB74"/>
      <c r="SJC74"/>
      <c r="SJD74"/>
      <c r="SJE74"/>
      <c r="SJF74"/>
      <c r="SJG74"/>
      <c r="SJH74"/>
      <c r="SJI74"/>
      <c r="SJJ74"/>
      <c r="SJK74"/>
      <c r="SJL74"/>
      <c r="SJM74"/>
      <c r="SJN74"/>
      <c r="SJO74"/>
      <c r="SJP74"/>
      <c r="SJQ74"/>
      <c r="SJR74"/>
      <c r="SJS74"/>
      <c r="SJT74"/>
      <c r="SJU74"/>
      <c r="SJV74"/>
      <c r="SJW74"/>
      <c r="SJX74"/>
      <c r="SJY74"/>
      <c r="SJZ74"/>
      <c r="SKA74"/>
      <c r="SKB74"/>
      <c r="SKC74"/>
      <c r="SKD74"/>
      <c r="SKE74"/>
      <c r="SKF74"/>
      <c r="SKG74"/>
      <c r="SKH74"/>
      <c r="SKI74"/>
      <c r="SKJ74"/>
      <c r="SKK74"/>
      <c r="SKL74"/>
      <c r="SKM74"/>
      <c r="SKN74"/>
      <c r="SKO74"/>
      <c r="SKP74"/>
      <c r="SKQ74"/>
      <c r="SKR74"/>
      <c r="SKS74"/>
      <c r="SKT74"/>
      <c r="SKU74"/>
      <c r="SKV74"/>
      <c r="SKW74"/>
      <c r="SKX74"/>
      <c r="SKY74"/>
      <c r="SKZ74"/>
      <c r="SLA74"/>
      <c r="SLB74"/>
      <c r="SLC74"/>
      <c r="SLD74"/>
      <c r="SLE74"/>
      <c r="SLF74"/>
      <c r="SLG74"/>
      <c r="SLH74"/>
      <c r="SLI74"/>
      <c r="SLJ74"/>
      <c r="SLK74"/>
      <c r="SLL74"/>
      <c r="SLM74"/>
      <c r="SLN74"/>
      <c r="SLO74"/>
      <c r="SLP74"/>
      <c r="SLQ74"/>
      <c r="SLR74"/>
      <c r="SLS74"/>
      <c r="SLT74"/>
      <c r="SLU74"/>
      <c r="SLV74"/>
      <c r="SLW74"/>
      <c r="SLX74"/>
      <c r="SLY74"/>
      <c r="SLZ74"/>
      <c r="SMA74"/>
      <c r="SMB74"/>
      <c r="SMC74"/>
      <c r="SMD74"/>
      <c r="SME74"/>
      <c r="SMF74"/>
      <c r="SMG74"/>
      <c r="SMH74"/>
      <c r="SMI74"/>
      <c r="SMJ74"/>
      <c r="SMK74"/>
      <c r="SML74"/>
      <c r="SMM74"/>
      <c r="SMN74"/>
      <c r="SMO74"/>
      <c r="SMP74"/>
      <c r="SMQ74"/>
      <c r="SMR74"/>
      <c r="SMS74"/>
      <c r="SMT74"/>
      <c r="SMU74"/>
      <c r="SMV74"/>
      <c r="SMW74"/>
      <c r="SMX74"/>
      <c r="SMY74"/>
      <c r="SMZ74"/>
      <c r="SNA74"/>
      <c r="SNB74"/>
      <c r="SNC74"/>
      <c r="SND74"/>
      <c r="SNE74"/>
      <c r="SNF74"/>
      <c r="SNG74"/>
      <c r="SNH74"/>
      <c r="SNI74"/>
      <c r="SNJ74"/>
      <c r="SNK74"/>
      <c r="SNL74"/>
      <c r="SNM74"/>
      <c r="SNN74"/>
      <c r="SNO74"/>
      <c r="SNP74"/>
      <c r="SNQ74"/>
      <c r="SNR74"/>
      <c r="SNS74"/>
      <c r="SNT74"/>
      <c r="SNU74"/>
      <c r="SNV74"/>
      <c r="SNW74"/>
      <c r="SNX74"/>
      <c r="SNY74"/>
      <c r="SNZ74"/>
      <c r="SOA74"/>
      <c r="SOB74"/>
      <c r="SOC74"/>
      <c r="SOD74"/>
      <c r="SOE74"/>
      <c r="SOF74"/>
      <c r="SOG74"/>
      <c r="SOH74"/>
      <c r="SOI74"/>
      <c r="SOJ74"/>
      <c r="SOK74"/>
      <c r="SOL74"/>
      <c r="SOM74"/>
      <c r="SON74"/>
      <c r="SOO74"/>
      <c r="SOP74"/>
      <c r="SOQ74"/>
      <c r="SOR74"/>
      <c r="SOS74"/>
      <c r="SOT74"/>
      <c r="SOU74"/>
      <c r="SOV74"/>
      <c r="SOW74"/>
      <c r="SOX74"/>
      <c r="SOY74"/>
      <c r="SOZ74"/>
      <c r="SPA74"/>
      <c r="SPB74"/>
      <c r="SPC74"/>
      <c r="SPD74"/>
      <c r="SPE74"/>
      <c r="SPF74"/>
      <c r="SPG74"/>
      <c r="SPH74"/>
      <c r="SPI74"/>
      <c r="SPJ74"/>
      <c r="SPK74"/>
      <c r="SPL74"/>
      <c r="SPM74"/>
      <c r="SPN74"/>
      <c r="SPO74"/>
      <c r="SPP74"/>
      <c r="SPQ74"/>
      <c r="SPR74"/>
      <c r="SPS74"/>
      <c r="SPT74"/>
      <c r="SPU74"/>
      <c r="SPV74"/>
      <c r="SPW74"/>
      <c r="SPX74"/>
      <c r="SPY74"/>
      <c r="SPZ74"/>
      <c r="SQA74"/>
      <c r="SQB74"/>
      <c r="SQC74"/>
      <c r="SQD74"/>
      <c r="SQE74"/>
      <c r="SQF74"/>
      <c r="SQG74"/>
      <c r="SQH74"/>
      <c r="SQI74"/>
      <c r="SQJ74"/>
      <c r="SQK74"/>
      <c r="SQL74"/>
      <c r="SQM74"/>
      <c r="SQN74"/>
      <c r="SQO74"/>
      <c r="SQP74"/>
      <c r="SQQ74"/>
      <c r="SQR74"/>
      <c r="SQS74"/>
      <c r="SQT74"/>
      <c r="SQU74"/>
      <c r="SQV74"/>
      <c r="SQW74"/>
      <c r="SQX74"/>
      <c r="SQY74"/>
      <c r="SQZ74"/>
      <c r="SRA74"/>
      <c r="SRB74"/>
      <c r="SRC74"/>
      <c r="SRD74"/>
      <c r="SRE74"/>
      <c r="SRF74"/>
      <c r="SRG74"/>
      <c r="SRH74"/>
      <c r="SRI74"/>
      <c r="SRJ74"/>
      <c r="SRK74"/>
      <c r="SRL74"/>
      <c r="SRM74"/>
      <c r="SRN74"/>
      <c r="SRO74"/>
      <c r="SRP74"/>
      <c r="SRQ74"/>
      <c r="SRR74"/>
      <c r="SRS74"/>
      <c r="SRT74"/>
      <c r="SRU74"/>
      <c r="SRV74"/>
      <c r="SRW74"/>
      <c r="SRX74"/>
      <c r="SRY74"/>
      <c r="SRZ74"/>
      <c r="SSA74"/>
      <c r="SSB74"/>
      <c r="SSC74"/>
      <c r="SSD74"/>
      <c r="SSE74"/>
      <c r="SSF74"/>
      <c r="SSG74"/>
      <c r="SSH74"/>
      <c r="SSI74"/>
      <c r="SSJ74"/>
      <c r="SSK74"/>
      <c r="SSL74"/>
      <c r="SSM74"/>
      <c r="SSN74"/>
      <c r="SSO74"/>
      <c r="SSP74"/>
      <c r="SSQ74"/>
      <c r="SSR74"/>
      <c r="SSS74"/>
      <c r="SST74"/>
      <c r="SSU74"/>
      <c r="SSV74"/>
      <c r="SSW74"/>
      <c r="SSX74"/>
      <c r="SSY74"/>
      <c r="SSZ74"/>
      <c r="STA74"/>
      <c r="STB74"/>
      <c r="STC74"/>
      <c r="STD74"/>
      <c r="STE74"/>
      <c r="STF74"/>
      <c r="STG74"/>
      <c r="STH74"/>
      <c r="STI74"/>
      <c r="STJ74"/>
      <c r="STK74"/>
      <c r="STL74"/>
      <c r="STM74"/>
      <c r="STN74"/>
      <c r="STO74"/>
      <c r="STP74"/>
      <c r="STQ74"/>
      <c r="STR74"/>
      <c r="STS74"/>
      <c r="STT74"/>
      <c r="STU74"/>
      <c r="STV74"/>
      <c r="STW74"/>
      <c r="STX74"/>
      <c r="STY74"/>
      <c r="STZ74"/>
      <c r="SUA74"/>
      <c r="SUB74"/>
      <c r="SUC74"/>
      <c r="SUD74"/>
      <c r="SUE74"/>
      <c r="SUF74"/>
      <c r="SUG74"/>
      <c r="SUH74"/>
      <c r="SUI74"/>
      <c r="SUJ74"/>
      <c r="SUK74"/>
      <c r="SUL74"/>
      <c r="SUM74"/>
      <c r="SUN74"/>
      <c r="SUO74"/>
      <c r="SUP74"/>
      <c r="SUQ74"/>
      <c r="SUR74"/>
      <c r="SUS74"/>
      <c r="SUT74"/>
      <c r="SUU74"/>
      <c r="SUV74"/>
      <c r="SUW74"/>
      <c r="SUX74"/>
      <c r="SUY74"/>
      <c r="SUZ74"/>
      <c r="SVA74"/>
      <c r="SVB74"/>
      <c r="SVC74"/>
      <c r="SVD74"/>
      <c r="SVE74"/>
      <c r="SVF74"/>
      <c r="SVG74"/>
      <c r="SVH74"/>
      <c r="SVI74"/>
      <c r="SVJ74"/>
      <c r="SVK74"/>
      <c r="SVL74"/>
      <c r="SVM74"/>
      <c r="SVN74"/>
      <c r="SVO74"/>
      <c r="SVP74"/>
      <c r="SVQ74"/>
      <c r="SVR74"/>
      <c r="SVS74"/>
      <c r="SVT74"/>
      <c r="SVU74"/>
      <c r="SVV74"/>
      <c r="SVW74"/>
      <c r="SVX74"/>
      <c r="SVY74"/>
      <c r="SVZ74"/>
      <c r="SWA74"/>
      <c r="SWB74"/>
      <c r="SWC74"/>
      <c r="SWD74"/>
      <c r="SWE74"/>
      <c r="SWF74"/>
      <c r="SWG74"/>
      <c r="SWH74"/>
      <c r="SWI74"/>
      <c r="SWJ74"/>
      <c r="SWK74"/>
      <c r="SWL74"/>
      <c r="SWM74"/>
      <c r="SWN74"/>
      <c r="SWO74"/>
      <c r="SWP74"/>
      <c r="SWQ74"/>
      <c r="SWR74"/>
      <c r="SWS74"/>
      <c r="SWT74"/>
      <c r="SWU74"/>
      <c r="SWV74"/>
      <c r="SWW74"/>
      <c r="SWX74"/>
      <c r="SWY74"/>
      <c r="SWZ74"/>
      <c r="SXA74"/>
      <c r="SXB74"/>
      <c r="SXC74"/>
      <c r="SXD74"/>
      <c r="SXE74"/>
      <c r="SXF74"/>
      <c r="SXG74"/>
      <c r="SXH74"/>
      <c r="SXI74"/>
      <c r="SXJ74"/>
      <c r="SXK74"/>
      <c r="SXL74"/>
      <c r="SXM74"/>
      <c r="SXN74"/>
      <c r="SXO74"/>
      <c r="SXP74"/>
      <c r="SXQ74"/>
      <c r="SXR74"/>
      <c r="SXS74"/>
      <c r="SXT74"/>
      <c r="SXU74"/>
      <c r="SXV74"/>
      <c r="SXW74"/>
      <c r="SXX74"/>
      <c r="SXY74"/>
      <c r="SXZ74"/>
      <c r="SYA74"/>
      <c r="SYB74"/>
      <c r="SYC74"/>
      <c r="SYD74"/>
      <c r="SYE74"/>
      <c r="SYF74"/>
      <c r="SYG74"/>
      <c r="SYH74"/>
      <c r="SYI74"/>
      <c r="SYJ74"/>
      <c r="SYK74"/>
      <c r="SYL74"/>
      <c r="SYM74"/>
      <c r="SYN74"/>
      <c r="SYO74"/>
      <c r="SYP74"/>
      <c r="SYQ74"/>
      <c r="SYR74"/>
      <c r="SYS74"/>
      <c r="SYT74"/>
      <c r="SYU74"/>
      <c r="SYV74"/>
      <c r="SYW74"/>
      <c r="SYX74"/>
      <c r="SYY74"/>
      <c r="SYZ74"/>
      <c r="SZA74"/>
      <c r="SZB74"/>
      <c r="SZC74"/>
      <c r="SZD74"/>
      <c r="SZE74"/>
      <c r="SZF74"/>
      <c r="SZG74"/>
      <c r="SZH74"/>
      <c r="SZI74"/>
      <c r="SZJ74"/>
      <c r="SZK74"/>
      <c r="SZL74"/>
      <c r="SZM74"/>
      <c r="SZN74"/>
      <c r="SZO74"/>
      <c r="SZP74"/>
      <c r="SZQ74"/>
      <c r="SZR74"/>
      <c r="SZS74"/>
      <c r="SZT74"/>
      <c r="SZU74"/>
      <c r="SZV74"/>
      <c r="SZW74"/>
      <c r="SZX74"/>
      <c r="SZY74"/>
      <c r="SZZ74"/>
      <c r="TAA74"/>
      <c r="TAB74"/>
      <c r="TAC74"/>
      <c r="TAD74"/>
      <c r="TAE74"/>
      <c r="TAF74"/>
      <c r="TAG74"/>
      <c r="TAH74"/>
      <c r="TAI74"/>
      <c r="TAJ74"/>
      <c r="TAK74"/>
      <c r="TAL74"/>
      <c r="TAM74"/>
      <c r="TAN74"/>
      <c r="TAO74"/>
      <c r="TAP74"/>
      <c r="TAQ74"/>
      <c r="TAR74"/>
      <c r="TAS74"/>
      <c r="TAT74"/>
      <c r="TAU74"/>
      <c r="TAV74"/>
      <c r="TAW74"/>
      <c r="TAX74"/>
      <c r="TAY74"/>
      <c r="TAZ74"/>
      <c r="TBA74"/>
      <c r="TBB74"/>
      <c r="TBC74"/>
      <c r="TBD74"/>
      <c r="TBE74"/>
      <c r="TBF74"/>
      <c r="TBG74"/>
      <c r="TBH74"/>
      <c r="TBI74"/>
      <c r="TBJ74"/>
      <c r="TBK74"/>
      <c r="TBL74"/>
      <c r="TBM74"/>
      <c r="TBN74"/>
      <c r="TBO74"/>
      <c r="TBP74"/>
      <c r="TBQ74"/>
      <c r="TBR74"/>
      <c r="TBS74"/>
      <c r="TBT74"/>
      <c r="TBU74"/>
      <c r="TBV74"/>
      <c r="TBW74"/>
      <c r="TBX74"/>
      <c r="TBY74"/>
      <c r="TBZ74"/>
      <c r="TCA74"/>
      <c r="TCB74"/>
      <c r="TCC74"/>
      <c r="TCD74"/>
      <c r="TCE74"/>
      <c r="TCF74"/>
      <c r="TCG74"/>
      <c r="TCH74"/>
      <c r="TCI74"/>
      <c r="TCJ74"/>
      <c r="TCK74"/>
      <c r="TCL74"/>
      <c r="TCM74"/>
      <c r="TCN74"/>
      <c r="TCO74"/>
      <c r="TCP74"/>
      <c r="TCQ74"/>
      <c r="TCR74"/>
      <c r="TCS74"/>
      <c r="TCT74"/>
      <c r="TCU74"/>
      <c r="TCV74"/>
      <c r="TCW74"/>
      <c r="TCX74"/>
      <c r="TCY74"/>
      <c r="TCZ74"/>
      <c r="TDA74"/>
      <c r="TDB74"/>
      <c r="TDC74"/>
      <c r="TDD74"/>
      <c r="TDE74"/>
      <c r="TDF74"/>
      <c r="TDG74"/>
      <c r="TDH74"/>
      <c r="TDI74"/>
      <c r="TDJ74"/>
      <c r="TDK74"/>
      <c r="TDL74"/>
      <c r="TDM74"/>
      <c r="TDN74"/>
      <c r="TDO74"/>
      <c r="TDP74"/>
      <c r="TDQ74"/>
      <c r="TDR74"/>
      <c r="TDS74"/>
      <c r="TDT74"/>
      <c r="TDU74"/>
      <c r="TDV74"/>
      <c r="TDW74"/>
      <c r="TDX74"/>
      <c r="TDY74"/>
      <c r="TDZ74"/>
      <c r="TEA74"/>
      <c r="TEB74"/>
      <c r="TEC74"/>
      <c r="TED74"/>
      <c r="TEE74"/>
      <c r="TEF74"/>
      <c r="TEG74"/>
      <c r="TEH74"/>
      <c r="TEI74"/>
      <c r="TEJ74"/>
      <c r="TEK74"/>
      <c r="TEL74"/>
      <c r="TEM74"/>
      <c r="TEN74"/>
      <c r="TEO74"/>
      <c r="TEP74"/>
      <c r="TEQ74"/>
      <c r="TER74"/>
      <c r="TES74"/>
      <c r="TET74"/>
      <c r="TEU74"/>
      <c r="TEV74"/>
      <c r="TEW74"/>
      <c r="TEX74"/>
      <c r="TEY74"/>
      <c r="TEZ74"/>
      <c r="TFA74"/>
      <c r="TFB74"/>
      <c r="TFC74"/>
      <c r="TFD74"/>
      <c r="TFE74"/>
      <c r="TFF74"/>
      <c r="TFG74"/>
      <c r="TFH74"/>
      <c r="TFI74"/>
      <c r="TFJ74"/>
      <c r="TFK74"/>
      <c r="TFL74"/>
      <c r="TFM74"/>
      <c r="TFN74"/>
      <c r="TFO74"/>
      <c r="TFP74"/>
      <c r="TFQ74"/>
      <c r="TFR74"/>
      <c r="TFS74"/>
      <c r="TFT74"/>
      <c r="TFU74"/>
      <c r="TFV74"/>
      <c r="TFW74"/>
      <c r="TFX74"/>
      <c r="TFY74"/>
      <c r="TFZ74"/>
      <c r="TGA74"/>
      <c r="TGB74"/>
      <c r="TGC74"/>
      <c r="TGD74"/>
      <c r="TGE74"/>
      <c r="TGF74"/>
      <c r="TGG74"/>
      <c r="TGH74"/>
      <c r="TGI74"/>
      <c r="TGJ74"/>
      <c r="TGK74"/>
      <c r="TGL74"/>
      <c r="TGM74"/>
      <c r="TGN74"/>
      <c r="TGO74"/>
      <c r="TGP74"/>
      <c r="TGQ74"/>
      <c r="TGR74"/>
      <c r="TGS74"/>
      <c r="TGT74"/>
      <c r="TGU74"/>
      <c r="TGV74"/>
      <c r="TGW74"/>
      <c r="TGX74"/>
      <c r="TGY74"/>
      <c r="TGZ74"/>
      <c r="THA74"/>
      <c r="THB74"/>
      <c r="THC74"/>
      <c r="THD74"/>
      <c r="THE74"/>
      <c r="THF74"/>
      <c r="THG74"/>
      <c r="THH74"/>
      <c r="THI74"/>
      <c r="THJ74"/>
      <c r="THK74"/>
      <c r="THL74"/>
      <c r="THM74"/>
      <c r="THN74"/>
      <c r="THO74"/>
      <c r="THP74"/>
      <c r="THQ74"/>
      <c r="THR74"/>
      <c r="THS74"/>
      <c r="THT74"/>
      <c r="THU74"/>
      <c r="THV74"/>
      <c r="THW74"/>
      <c r="THX74"/>
      <c r="THY74"/>
      <c r="THZ74"/>
      <c r="TIA74"/>
      <c r="TIB74"/>
      <c r="TIC74"/>
      <c r="TID74"/>
      <c r="TIE74"/>
      <c r="TIF74"/>
      <c r="TIG74"/>
      <c r="TIH74"/>
      <c r="TII74"/>
      <c r="TIJ74"/>
      <c r="TIK74"/>
      <c r="TIL74"/>
      <c r="TIM74"/>
      <c r="TIN74"/>
      <c r="TIO74"/>
      <c r="TIP74"/>
      <c r="TIQ74"/>
      <c r="TIR74"/>
      <c r="TIS74"/>
      <c r="TIT74"/>
      <c r="TIU74"/>
      <c r="TIV74"/>
      <c r="TIW74"/>
      <c r="TIX74"/>
      <c r="TIY74"/>
      <c r="TIZ74"/>
      <c r="TJA74"/>
      <c r="TJB74"/>
      <c r="TJC74"/>
      <c r="TJD74"/>
      <c r="TJE74"/>
      <c r="TJF74"/>
      <c r="TJG74"/>
      <c r="TJH74"/>
      <c r="TJI74"/>
      <c r="TJJ74"/>
      <c r="TJK74"/>
      <c r="TJL74"/>
      <c r="TJM74"/>
      <c r="TJN74"/>
      <c r="TJO74"/>
      <c r="TJP74"/>
      <c r="TJQ74"/>
      <c r="TJR74"/>
      <c r="TJS74"/>
      <c r="TJT74"/>
      <c r="TJU74"/>
      <c r="TJV74"/>
      <c r="TJW74"/>
      <c r="TJX74"/>
      <c r="TJY74"/>
      <c r="TJZ74"/>
      <c r="TKA74"/>
      <c r="TKB74"/>
      <c r="TKC74"/>
      <c r="TKD74"/>
      <c r="TKE74"/>
      <c r="TKF74"/>
      <c r="TKG74"/>
      <c r="TKH74"/>
      <c r="TKI74"/>
      <c r="TKJ74"/>
      <c r="TKK74"/>
      <c r="TKL74"/>
      <c r="TKM74"/>
      <c r="TKN74"/>
      <c r="TKO74"/>
      <c r="TKP74"/>
      <c r="TKQ74"/>
      <c r="TKR74"/>
      <c r="TKS74"/>
      <c r="TKT74"/>
      <c r="TKU74"/>
      <c r="TKV74"/>
      <c r="TKW74"/>
      <c r="TKX74"/>
      <c r="TKY74"/>
      <c r="TKZ74"/>
      <c r="TLA74"/>
      <c r="TLB74"/>
      <c r="TLC74"/>
      <c r="TLD74"/>
      <c r="TLE74"/>
      <c r="TLF74"/>
      <c r="TLG74"/>
      <c r="TLH74"/>
      <c r="TLI74"/>
      <c r="TLJ74"/>
      <c r="TLK74"/>
      <c r="TLL74"/>
      <c r="TLM74"/>
      <c r="TLN74"/>
      <c r="TLO74"/>
      <c r="TLP74"/>
      <c r="TLQ74"/>
      <c r="TLR74"/>
      <c r="TLS74"/>
      <c r="TLT74"/>
      <c r="TLU74"/>
      <c r="TLV74"/>
      <c r="TLW74"/>
      <c r="TLX74"/>
      <c r="TLY74"/>
      <c r="TLZ74"/>
      <c r="TMA74"/>
      <c r="TMB74"/>
      <c r="TMC74"/>
      <c r="TMD74"/>
      <c r="TME74"/>
      <c r="TMF74"/>
      <c r="TMG74"/>
      <c r="TMH74"/>
      <c r="TMI74"/>
      <c r="TMJ74"/>
      <c r="TMK74"/>
      <c r="TML74"/>
      <c r="TMM74"/>
      <c r="TMN74"/>
      <c r="TMO74"/>
      <c r="TMP74"/>
      <c r="TMQ74"/>
      <c r="TMR74"/>
      <c r="TMS74"/>
      <c r="TMT74"/>
      <c r="TMU74"/>
      <c r="TMV74"/>
      <c r="TMW74"/>
      <c r="TMX74"/>
      <c r="TMY74"/>
      <c r="TMZ74"/>
      <c r="TNA74"/>
      <c r="TNB74"/>
      <c r="TNC74"/>
      <c r="TND74"/>
      <c r="TNE74"/>
      <c r="TNF74"/>
      <c r="TNG74"/>
      <c r="TNH74"/>
      <c r="TNI74"/>
      <c r="TNJ74"/>
      <c r="TNK74"/>
      <c r="TNL74"/>
      <c r="TNM74"/>
      <c r="TNN74"/>
      <c r="TNO74"/>
      <c r="TNP74"/>
      <c r="TNQ74"/>
      <c r="TNR74"/>
      <c r="TNS74"/>
      <c r="TNT74"/>
      <c r="TNU74"/>
      <c r="TNV74"/>
      <c r="TNW74"/>
      <c r="TNX74"/>
      <c r="TNY74"/>
      <c r="TNZ74"/>
      <c r="TOA74"/>
      <c r="TOB74"/>
      <c r="TOC74"/>
      <c r="TOD74"/>
      <c r="TOE74"/>
      <c r="TOF74"/>
      <c r="TOG74"/>
      <c r="TOH74"/>
      <c r="TOI74"/>
      <c r="TOJ74"/>
      <c r="TOK74"/>
      <c r="TOL74"/>
      <c r="TOM74"/>
      <c r="TON74"/>
      <c r="TOO74"/>
      <c r="TOP74"/>
      <c r="TOQ74"/>
      <c r="TOR74"/>
      <c r="TOS74"/>
      <c r="TOT74"/>
      <c r="TOU74"/>
      <c r="TOV74"/>
      <c r="TOW74"/>
      <c r="TOX74"/>
      <c r="TOY74"/>
      <c r="TOZ74"/>
      <c r="TPA74"/>
      <c r="TPB74"/>
      <c r="TPC74"/>
      <c r="TPD74"/>
      <c r="TPE74"/>
      <c r="TPF74"/>
      <c r="TPG74"/>
      <c r="TPH74"/>
      <c r="TPI74"/>
      <c r="TPJ74"/>
      <c r="TPK74"/>
      <c r="TPL74"/>
      <c r="TPM74"/>
      <c r="TPN74"/>
      <c r="TPO74"/>
      <c r="TPP74"/>
      <c r="TPQ74"/>
      <c r="TPR74"/>
      <c r="TPS74"/>
      <c r="TPT74"/>
      <c r="TPU74"/>
      <c r="TPV74"/>
      <c r="TPW74"/>
      <c r="TPX74"/>
      <c r="TPY74"/>
      <c r="TPZ74"/>
      <c r="TQA74"/>
      <c r="TQB74"/>
      <c r="TQC74"/>
      <c r="TQD74"/>
      <c r="TQE74"/>
      <c r="TQF74"/>
      <c r="TQG74"/>
      <c r="TQH74"/>
      <c r="TQI74"/>
      <c r="TQJ74"/>
      <c r="TQK74"/>
      <c r="TQL74"/>
      <c r="TQM74"/>
      <c r="TQN74"/>
      <c r="TQO74"/>
      <c r="TQP74"/>
      <c r="TQQ74"/>
      <c r="TQR74"/>
      <c r="TQS74"/>
      <c r="TQT74"/>
      <c r="TQU74"/>
      <c r="TQV74"/>
      <c r="TQW74"/>
      <c r="TQX74"/>
      <c r="TQY74"/>
      <c r="TQZ74"/>
      <c r="TRA74"/>
      <c r="TRB74"/>
      <c r="TRC74"/>
      <c r="TRD74"/>
      <c r="TRE74"/>
      <c r="TRF74"/>
      <c r="TRG74"/>
      <c r="TRH74"/>
      <c r="TRI74"/>
      <c r="TRJ74"/>
      <c r="TRK74"/>
      <c r="TRL74"/>
      <c r="TRM74"/>
      <c r="TRN74"/>
      <c r="TRO74"/>
      <c r="TRP74"/>
      <c r="TRQ74"/>
      <c r="TRR74"/>
      <c r="TRS74"/>
      <c r="TRT74"/>
      <c r="TRU74"/>
      <c r="TRV74"/>
      <c r="TRW74"/>
      <c r="TRX74"/>
      <c r="TRY74"/>
      <c r="TRZ74"/>
      <c r="TSA74"/>
      <c r="TSB74"/>
      <c r="TSC74"/>
      <c r="TSD74"/>
      <c r="TSE74"/>
      <c r="TSF74"/>
      <c r="TSG74"/>
      <c r="TSH74"/>
      <c r="TSI74"/>
      <c r="TSJ74"/>
      <c r="TSK74"/>
      <c r="TSL74"/>
      <c r="TSM74"/>
      <c r="TSN74"/>
      <c r="TSO74"/>
      <c r="TSP74"/>
      <c r="TSQ74"/>
      <c r="TSR74"/>
      <c r="TSS74"/>
      <c r="TST74"/>
      <c r="TSU74"/>
      <c r="TSV74"/>
      <c r="TSW74"/>
      <c r="TSX74"/>
      <c r="TSY74"/>
      <c r="TSZ74"/>
      <c r="TTA74"/>
      <c r="TTB74"/>
      <c r="TTC74"/>
      <c r="TTD74"/>
      <c r="TTE74"/>
      <c r="TTF74"/>
      <c r="TTG74"/>
      <c r="TTH74"/>
      <c r="TTI74"/>
      <c r="TTJ74"/>
      <c r="TTK74"/>
      <c r="TTL74"/>
      <c r="TTM74"/>
      <c r="TTN74"/>
      <c r="TTO74"/>
      <c r="TTP74"/>
      <c r="TTQ74"/>
      <c r="TTR74"/>
      <c r="TTS74"/>
      <c r="TTT74"/>
      <c r="TTU74"/>
      <c r="TTV74"/>
      <c r="TTW74"/>
      <c r="TTX74"/>
      <c r="TTY74"/>
      <c r="TTZ74"/>
      <c r="TUA74"/>
      <c r="TUB74"/>
      <c r="TUC74"/>
      <c r="TUD74"/>
      <c r="TUE74"/>
      <c r="TUF74"/>
      <c r="TUG74"/>
      <c r="TUH74"/>
      <c r="TUI74"/>
      <c r="TUJ74"/>
      <c r="TUK74"/>
      <c r="TUL74"/>
      <c r="TUM74"/>
      <c r="TUN74"/>
      <c r="TUO74"/>
      <c r="TUP74"/>
      <c r="TUQ74"/>
      <c r="TUR74"/>
      <c r="TUS74"/>
      <c r="TUT74"/>
      <c r="TUU74"/>
      <c r="TUV74"/>
      <c r="TUW74"/>
      <c r="TUX74"/>
      <c r="TUY74"/>
      <c r="TUZ74"/>
      <c r="TVA74"/>
      <c r="TVB74"/>
      <c r="TVC74"/>
      <c r="TVD74"/>
      <c r="TVE74"/>
      <c r="TVF74"/>
      <c r="TVG74"/>
      <c r="TVH74"/>
      <c r="TVI74"/>
      <c r="TVJ74"/>
      <c r="TVK74"/>
      <c r="TVL74"/>
      <c r="TVM74"/>
      <c r="TVN74"/>
      <c r="TVO74"/>
      <c r="TVP74"/>
      <c r="TVQ74"/>
      <c r="TVR74"/>
      <c r="TVS74"/>
      <c r="TVT74"/>
      <c r="TVU74"/>
      <c r="TVV74"/>
      <c r="TVW74"/>
      <c r="TVX74"/>
      <c r="TVY74"/>
      <c r="TVZ74"/>
      <c r="TWA74"/>
      <c r="TWB74"/>
      <c r="TWC74"/>
      <c r="TWD74"/>
      <c r="TWE74"/>
      <c r="TWF74"/>
      <c r="TWG74"/>
      <c r="TWH74"/>
      <c r="TWI74"/>
      <c r="TWJ74"/>
      <c r="TWK74"/>
      <c r="TWL74"/>
      <c r="TWM74"/>
      <c r="TWN74"/>
      <c r="TWO74"/>
      <c r="TWP74"/>
      <c r="TWQ74"/>
      <c r="TWR74"/>
      <c r="TWS74"/>
      <c r="TWT74"/>
      <c r="TWU74"/>
      <c r="TWV74"/>
      <c r="TWW74"/>
      <c r="TWX74"/>
      <c r="TWY74"/>
      <c r="TWZ74"/>
      <c r="TXA74"/>
      <c r="TXB74"/>
      <c r="TXC74"/>
      <c r="TXD74"/>
      <c r="TXE74"/>
      <c r="TXF74"/>
      <c r="TXG74"/>
      <c r="TXH74"/>
      <c r="TXI74"/>
      <c r="TXJ74"/>
      <c r="TXK74"/>
      <c r="TXL74"/>
      <c r="TXM74"/>
      <c r="TXN74"/>
      <c r="TXO74"/>
      <c r="TXP74"/>
      <c r="TXQ74"/>
      <c r="TXR74"/>
      <c r="TXS74"/>
      <c r="TXT74"/>
      <c r="TXU74"/>
      <c r="TXV74"/>
      <c r="TXW74"/>
      <c r="TXX74"/>
      <c r="TXY74"/>
      <c r="TXZ74"/>
      <c r="TYA74"/>
      <c r="TYB74"/>
      <c r="TYC74"/>
      <c r="TYD74"/>
      <c r="TYE74"/>
      <c r="TYF74"/>
      <c r="TYG74"/>
      <c r="TYH74"/>
      <c r="TYI74"/>
      <c r="TYJ74"/>
      <c r="TYK74"/>
      <c r="TYL74"/>
      <c r="TYM74"/>
      <c r="TYN74"/>
      <c r="TYO74"/>
      <c r="TYP74"/>
      <c r="TYQ74"/>
      <c r="TYR74"/>
      <c r="TYS74"/>
      <c r="TYT74"/>
      <c r="TYU74"/>
      <c r="TYV74"/>
      <c r="TYW74"/>
      <c r="TYX74"/>
      <c r="TYY74"/>
      <c r="TYZ74"/>
      <c r="TZA74"/>
      <c r="TZB74"/>
      <c r="TZC74"/>
      <c r="TZD74"/>
      <c r="TZE74"/>
      <c r="TZF74"/>
      <c r="TZG74"/>
      <c r="TZH74"/>
      <c r="TZI74"/>
      <c r="TZJ74"/>
      <c r="TZK74"/>
      <c r="TZL74"/>
      <c r="TZM74"/>
      <c r="TZN74"/>
      <c r="TZO74"/>
      <c r="TZP74"/>
      <c r="TZQ74"/>
      <c r="TZR74"/>
      <c r="TZS74"/>
      <c r="TZT74"/>
      <c r="TZU74"/>
      <c r="TZV74"/>
      <c r="TZW74"/>
      <c r="TZX74"/>
      <c r="TZY74"/>
      <c r="TZZ74"/>
      <c r="UAA74"/>
      <c r="UAB74"/>
      <c r="UAC74"/>
      <c r="UAD74"/>
      <c r="UAE74"/>
      <c r="UAF74"/>
      <c r="UAG74"/>
      <c r="UAH74"/>
      <c r="UAI74"/>
      <c r="UAJ74"/>
      <c r="UAK74"/>
      <c r="UAL74"/>
      <c r="UAM74"/>
      <c r="UAN74"/>
      <c r="UAO74"/>
      <c r="UAP74"/>
      <c r="UAQ74"/>
      <c r="UAR74"/>
      <c r="UAS74"/>
      <c r="UAT74"/>
      <c r="UAU74"/>
      <c r="UAV74"/>
      <c r="UAW74"/>
      <c r="UAX74"/>
      <c r="UAY74"/>
      <c r="UAZ74"/>
      <c r="UBA74"/>
      <c r="UBB74"/>
      <c r="UBC74"/>
      <c r="UBD74"/>
      <c r="UBE74"/>
      <c r="UBF74"/>
      <c r="UBG74"/>
      <c r="UBH74"/>
      <c r="UBI74"/>
      <c r="UBJ74"/>
      <c r="UBK74"/>
      <c r="UBL74"/>
      <c r="UBM74"/>
      <c r="UBN74"/>
      <c r="UBO74"/>
      <c r="UBP74"/>
      <c r="UBQ74"/>
      <c r="UBR74"/>
      <c r="UBS74"/>
      <c r="UBT74"/>
      <c r="UBU74"/>
      <c r="UBV74"/>
      <c r="UBW74"/>
      <c r="UBX74"/>
      <c r="UBY74"/>
      <c r="UBZ74"/>
      <c r="UCA74"/>
      <c r="UCB74"/>
      <c r="UCC74"/>
      <c r="UCD74"/>
      <c r="UCE74"/>
      <c r="UCF74"/>
      <c r="UCG74"/>
      <c r="UCH74"/>
      <c r="UCI74"/>
      <c r="UCJ74"/>
      <c r="UCK74"/>
      <c r="UCL74"/>
      <c r="UCM74"/>
      <c r="UCN74"/>
      <c r="UCO74"/>
      <c r="UCP74"/>
      <c r="UCQ74"/>
      <c r="UCR74"/>
      <c r="UCS74"/>
      <c r="UCT74"/>
      <c r="UCU74"/>
      <c r="UCV74"/>
      <c r="UCW74"/>
      <c r="UCX74"/>
      <c r="UCY74"/>
      <c r="UCZ74"/>
      <c r="UDA74"/>
      <c r="UDB74"/>
      <c r="UDC74"/>
      <c r="UDD74"/>
      <c r="UDE74"/>
      <c r="UDF74"/>
      <c r="UDG74"/>
      <c r="UDH74"/>
      <c r="UDI74"/>
      <c r="UDJ74"/>
      <c r="UDK74"/>
      <c r="UDL74"/>
      <c r="UDM74"/>
      <c r="UDN74"/>
      <c r="UDO74"/>
      <c r="UDP74"/>
      <c r="UDQ74"/>
      <c r="UDR74"/>
      <c r="UDS74"/>
      <c r="UDT74"/>
      <c r="UDU74"/>
      <c r="UDV74"/>
      <c r="UDW74"/>
      <c r="UDX74"/>
      <c r="UDY74"/>
      <c r="UDZ74"/>
      <c r="UEA74"/>
      <c r="UEB74"/>
      <c r="UEC74"/>
      <c r="UED74"/>
      <c r="UEE74"/>
      <c r="UEF74"/>
      <c r="UEG74"/>
      <c r="UEH74"/>
      <c r="UEI74"/>
      <c r="UEJ74"/>
      <c r="UEK74"/>
      <c r="UEL74"/>
      <c r="UEM74"/>
      <c r="UEN74"/>
      <c r="UEO74"/>
      <c r="UEP74"/>
      <c r="UEQ74"/>
      <c r="UER74"/>
      <c r="UES74"/>
      <c r="UET74"/>
      <c r="UEU74"/>
      <c r="UEV74"/>
      <c r="UEW74"/>
      <c r="UEX74"/>
      <c r="UEY74"/>
      <c r="UEZ74"/>
      <c r="UFA74"/>
      <c r="UFB74"/>
      <c r="UFC74"/>
      <c r="UFD74"/>
      <c r="UFE74"/>
      <c r="UFF74"/>
      <c r="UFG74"/>
      <c r="UFH74"/>
      <c r="UFI74"/>
      <c r="UFJ74"/>
      <c r="UFK74"/>
      <c r="UFL74"/>
      <c r="UFM74"/>
      <c r="UFN74"/>
      <c r="UFO74"/>
      <c r="UFP74"/>
      <c r="UFQ74"/>
      <c r="UFR74"/>
      <c r="UFS74"/>
      <c r="UFT74"/>
      <c r="UFU74"/>
      <c r="UFV74"/>
      <c r="UFW74"/>
      <c r="UFX74"/>
      <c r="UFY74"/>
      <c r="UFZ74"/>
      <c r="UGA74"/>
      <c r="UGB74"/>
      <c r="UGC74"/>
      <c r="UGD74"/>
      <c r="UGE74"/>
      <c r="UGF74"/>
      <c r="UGG74"/>
      <c r="UGH74"/>
      <c r="UGI74"/>
      <c r="UGJ74"/>
      <c r="UGK74"/>
      <c r="UGL74"/>
      <c r="UGM74"/>
      <c r="UGN74"/>
      <c r="UGO74"/>
      <c r="UGP74"/>
      <c r="UGQ74"/>
      <c r="UGR74"/>
      <c r="UGS74"/>
      <c r="UGT74"/>
      <c r="UGU74"/>
      <c r="UGV74"/>
      <c r="UGW74"/>
      <c r="UGX74"/>
      <c r="UGY74"/>
      <c r="UGZ74"/>
      <c r="UHA74"/>
      <c r="UHB74"/>
      <c r="UHC74"/>
      <c r="UHD74"/>
      <c r="UHE74"/>
      <c r="UHF74"/>
      <c r="UHG74"/>
      <c r="UHH74"/>
      <c r="UHI74"/>
      <c r="UHJ74"/>
      <c r="UHK74"/>
      <c r="UHL74"/>
      <c r="UHM74"/>
      <c r="UHN74"/>
      <c r="UHO74"/>
      <c r="UHP74"/>
      <c r="UHQ74"/>
      <c r="UHR74"/>
      <c r="UHS74"/>
      <c r="UHT74"/>
      <c r="UHU74"/>
      <c r="UHV74"/>
      <c r="UHW74"/>
      <c r="UHX74"/>
      <c r="UHY74"/>
      <c r="UHZ74"/>
      <c r="UIA74"/>
      <c r="UIB74"/>
      <c r="UIC74"/>
      <c r="UID74"/>
      <c r="UIE74"/>
      <c r="UIF74"/>
      <c r="UIG74"/>
      <c r="UIH74"/>
      <c r="UII74"/>
      <c r="UIJ74"/>
      <c r="UIK74"/>
      <c r="UIL74"/>
      <c r="UIM74"/>
      <c r="UIN74"/>
      <c r="UIO74"/>
      <c r="UIP74"/>
      <c r="UIQ74"/>
      <c r="UIR74"/>
      <c r="UIS74"/>
      <c r="UIT74"/>
      <c r="UIU74"/>
      <c r="UIV74"/>
      <c r="UIW74"/>
      <c r="UIX74"/>
      <c r="UIY74"/>
      <c r="UIZ74"/>
      <c r="UJA74"/>
      <c r="UJB74"/>
      <c r="UJC74"/>
      <c r="UJD74"/>
      <c r="UJE74"/>
      <c r="UJF74"/>
      <c r="UJG74"/>
      <c r="UJH74"/>
      <c r="UJI74"/>
      <c r="UJJ74"/>
      <c r="UJK74"/>
      <c r="UJL74"/>
      <c r="UJM74"/>
      <c r="UJN74"/>
      <c r="UJO74"/>
      <c r="UJP74"/>
      <c r="UJQ74"/>
      <c r="UJR74"/>
      <c r="UJS74"/>
      <c r="UJT74"/>
      <c r="UJU74"/>
      <c r="UJV74"/>
      <c r="UJW74"/>
      <c r="UJX74"/>
      <c r="UJY74"/>
      <c r="UJZ74"/>
      <c r="UKA74"/>
      <c r="UKB74"/>
      <c r="UKC74"/>
      <c r="UKD74"/>
      <c r="UKE74"/>
      <c r="UKF74"/>
      <c r="UKG74"/>
      <c r="UKH74"/>
      <c r="UKI74"/>
      <c r="UKJ74"/>
      <c r="UKK74"/>
      <c r="UKL74"/>
      <c r="UKM74"/>
      <c r="UKN74"/>
      <c r="UKO74"/>
      <c r="UKP74"/>
      <c r="UKQ74"/>
      <c r="UKR74"/>
      <c r="UKS74"/>
      <c r="UKT74"/>
      <c r="UKU74"/>
      <c r="UKV74"/>
      <c r="UKW74"/>
      <c r="UKX74"/>
      <c r="UKY74"/>
      <c r="UKZ74"/>
      <c r="ULA74"/>
      <c r="ULB74"/>
      <c r="ULC74"/>
      <c r="ULD74"/>
      <c r="ULE74"/>
      <c r="ULF74"/>
      <c r="ULG74"/>
      <c r="ULH74"/>
      <c r="ULI74"/>
      <c r="ULJ74"/>
      <c r="ULK74"/>
      <c r="ULL74"/>
      <c r="ULM74"/>
      <c r="ULN74"/>
      <c r="ULO74"/>
      <c r="ULP74"/>
      <c r="ULQ74"/>
      <c r="ULR74"/>
      <c r="ULS74"/>
      <c r="ULT74"/>
      <c r="ULU74"/>
      <c r="ULV74"/>
      <c r="ULW74"/>
      <c r="ULX74"/>
      <c r="ULY74"/>
      <c r="ULZ74"/>
      <c r="UMA74"/>
      <c r="UMB74"/>
      <c r="UMC74"/>
      <c r="UMD74"/>
      <c r="UME74"/>
      <c r="UMF74"/>
      <c r="UMG74"/>
      <c r="UMH74"/>
      <c r="UMI74"/>
      <c r="UMJ74"/>
      <c r="UMK74"/>
      <c r="UML74"/>
      <c r="UMM74"/>
      <c r="UMN74"/>
      <c r="UMO74"/>
      <c r="UMP74"/>
      <c r="UMQ74"/>
      <c r="UMR74"/>
      <c r="UMS74"/>
      <c r="UMT74"/>
      <c r="UMU74"/>
      <c r="UMV74"/>
      <c r="UMW74"/>
      <c r="UMX74"/>
      <c r="UMY74"/>
      <c r="UMZ74"/>
      <c r="UNA74"/>
      <c r="UNB74"/>
      <c r="UNC74"/>
      <c r="UND74"/>
      <c r="UNE74"/>
      <c r="UNF74"/>
      <c r="UNG74"/>
      <c r="UNH74"/>
      <c r="UNI74"/>
      <c r="UNJ74"/>
      <c r="UNK74"/>
      <c r="UNL74"/>
      <c r="UNM74"/>
      <c r="UNN74"/>
      <c r="UNO74"/>
      <c r="UNP74"/>
      <c r="UNQ74"/>
      <c r="UNR74"/>
      <c r="UNS74"/>
      <c r="UNT74"/>
      <c r="UNU74"/>
      <c r="UNV74"/>
      <c r="UNW74"/>
      <c r="UNX74"/>
      <c r="UNY74"/>
      <c r="UNZ74"/>
      <c r="UOA74"/>
      <c r="UOB74"/>
      <c r="UOC74"/>
      <c r="UOD74"/>
      <c r="UOE74"/>
      <c r="UOF74"/>
      <c r="UOG74"/>
      <c r="UOH74"/>
      <c r="UOI74"/>
      <c r="UOJ74"/>
      <c r="UOK74"/>
      <c r="UOL74"/>
      <c r="UOM74"/>
      <c r="UON74"/>
      <c r="UOO74"/>
      <c r="UOP74"/>
      <c r="UOQ74"/>
      <c r="UOR74"/>
      <c r="UOS74"/>
      <c r="UOT74"/>
      <c r="UOU74"/>
      <c r="UOV74"/>
      <c r="UOW74"/>
      <c r="UOX74"/>
      <c r="UOY74"/>
      <c r="UOZ74"/>
      <c r="UPA74"/>
      <c r="UPB74"/>
      <c r="UPC74"/>
      <c r="UPD74"/>
      <c r="UPE74"/>
      <c r="UPF74"/>
      <c r="UPG74"/>
      <c r="UPH74"/>
      <c r="UPI74"/>
      <c r="UPJ74"/>
      <c r="UPK74"/>
      <c r="UPL74"/>
      <c r="UPM74"/>
      <c r="UPN74"/>
      <c r="UPO74"/>
      <c r="UPP74"/>
      <c r="UPQ74"/>
      <c r="UPR74"/>
      <c r="UPS74"/>
      <c r="UPT74"/>
      <c r="UPU74"/>
      <c r="UPV74"/>
      <c r="UPW74"/>
      <c r="UPX74"/>
      <c r="UPY74"/>
      <c r="UPZ74"/>
      <c r="UQA74"/>
      <c r="UQB74"/>
      <c r="UQC74"/>
      <c r="UQD74"/>
      <c r="UQE74"/>
      <c r="UQF74"/>
      <c r="UQG74"/>
      <c r="UQH74"/>
      <c r="UQI74"/>
      <c r="UQJ74"/>
      <c r="UQK74"/>
      <c r="UQL74"/>
      <c r="UQM74"/>
      <c r="UQN74"/>
      <c r="UQO74"/>
      <c r="UQP74"/>
      <c r="UQQ74"/>
      <c r="UQR74"/>
      <c r="UQS74"/>
      <c r="UQT74"/>
      <c r="UQU74"/>
      <c r="UQV74"/>
      <c r="UQW74"/>
      <c r="UQX74"/>
      <c r="UQY74"/>
      <c r="UQZ74"/>
      <c r="URA74"/>
      <c r="URB74"/>
      <c r="URC74"/>
      <c r="URD74"/>
      <c r="URE74"/>
      <c r="URF74"/>
      <c r="URG74"/>
      <c r="URH74"/>
      <c r="URI74"/>
      <c r="URJ74"/>
      <c r="URK74"/>
      <c r="URL74"/>
      <c r="URM74"/>
      <c r="URN74"/>
      <c r="URO74"/>
      <c r="URP74"/>
      <c r="URQ74"/>
      <c r="URR74"/>
      <c r="URS74"/>
      <c r="URT74"/>
      <c r="URU74"/>
      <c r="URV74"/>
      <c r="URW74"/>
      <c r="URX74"/>
      <c r="URY74"/>
      <c r="URZ74"/>
      <c r="USA74"/>
      <c r="USB74"/>
      <c r="USC74"/>
      <c r="USD74"/>
      <c r="USE74"/>
      <c r="USF74"/>
      <c r="USG74"/>
      <c r="USH74"/>
      <c r="USI74"/>
      <c r="USJ74"/>
      <c r="USK74"/>
      <c r="USL74"/>
      <c r="USM74"/>
      <c r="USN74"/>
      <c r="USO74"/>
      <c r="USP74"/>
      <c r="USQ74"/>
      <c r="USR74"/>
      <c r="USS74"/>
      <c r="UST74"/>
      <c r="USU74"/>
      <c r="USV74"/>
      <c r="USW74"/>
      <c r="USX74"/>
      <c r="USY74"/>
      <c r="USZ74"/>
      <c r="UTA74"/>
      <c r="UTB74"/>
      <c r="UTC74"/>
      <c r="UTD74"/>
      <c r="UTE74"/>
      <c r="UTF74"/>
      <c r="UTG74"/>
      <c r="UTH74"/>
      <c r="UTI74"/>
      <c r="UTJ74"/>
      <c r="UTK74"/>
      <c r="UTL74"/>
      <c r="UTM74"/>
      <c r="UTN74"/>
      <c r="UTO74"/>
      <c r="UTP74"/>
      <c r="UTQ74"/>
      <c r="UTR74"/>
      <c r="UTS74"/>
      <c r="UTT74"/>
      <c r="UTU74"/>
      <c r="UTV74"/>
      <c r="UTW74"/>
      <c r="UTX74"/>
      <c r="UTY74"/>
      <c r="UTZ74"/>
      <c r="UUA74"/>
      <c r="UUB74"/>
      <c r="UUC74"/>
      <c r="UUD74"/>
      <c r="UUE74"/>
      <c r="UUF74"/>
      <c r="UUG74"/>
      <c r="UUH74"/>
      <c r="UUI74"/>
      <c r="UUJ74"/>
      <c r="UUK74"/>
      <c r="UUL74"/>
      <c r="UUM74"/>
      <c r="UUN74"/>
      <c r="UUO74"/>
      <c r="UUP74"/>
      <c r="UUQ74"/>
      <c r="UUR74"/>
      <c r="UUS74"/>
      <c r="UUT74"/>
      <c r="UUU74"/>
      <c r="UUV74"/>
      <c r="UUW74"/>
      <c r="UUX74"/>
      <c r="UUY74"/>
      <c r="UUZ74"/>
      <c r="UVA74"/>
      <c r="UVB74"/>
      <c r="UVC74"/>
      <c r="UVD74"/>
      <c r="UVE74"/>
      <c r="UVF74"/>
      <c r="UVG74"/>
      <c r="UVH74"/>
      <c r="UVI74"/>
      <c r="UVJ74"/>
      <c r="UVK74"/>
      <c r="UVL74"/>
      <c r="UVM74"/>
      <c r="UVN74"/>
      <c r="UVO74"/>
      <c r="UVP74"/>
      <c r="UVQ74"/>
      <c r="UVR74"/>
      <c r="UVS74"/>
      <c r="UVT74"/>
      <c r="UVU74"/>
      <c r="UVV74"/>
      <c r="UVW74"/>
      <c r="UVX74"/>
      <c r="UVY74"/>
      <c r="UVZ74"/>
      <c r="UWA74"/>
      <c r="UWB74"/>
      <c r="UWC74"/>
      <c r="UWD74"/>
      <c r="UWE74"/>
      <c r="UWF74"/>
      <c r="UWG74"/>
      <c r="UWH74"/>
      <c r="UWI74"/>
      <c r="UWJ74"/>
      <c r="UWK74"/>
      <c r="UWL74"/>
      <c r="UWM74"/>
      <c r="UWN74"/>
      <c r="UWO74"/>
      <c r="UWP74"/>
      <c r="UWQ74"/>
      <c r="UWR74"/>
      <c r="UWS74"/>
      <c r="UWT74"/>
      <c r="UWU74"/>
      <c r="UWV74"/>
      <c r="UWW74"/>
      <c r="UWX74"/>
      <c r="UWY74"/>
      <c r="UWZ74"/>
      <c r="UXA74"/>
      <c r="UXB74"/>
      <c r="UXC74"/>
      <c r="UXD74"/>
      <c r="UXE74"/>
      <c r="UXF74"/>
      <c r="UXG74"/>
      <c r="UXH74"/>
      <c r="UXI74"/>
      <c r="UXJ74"/>
      <c r="UXK74"/>
      <c r="UXL74"/>
      <c r="UXM74"/>
      <c r="UXN74"/>
      <c r="UXO74"/>
      <c r="UXP74"/>
      <c r="UXQ74"/>
      <c r="UXR74"/>
      <c r="UXS74"/>
      <c r="UXT74"/>
      <c r="UXU74"/>
      <c r="UXV74"/>
      <c r="UXW74"/>
      <c r="UXX74"/>
      <c r="UXY74"/>
      <c r="UXZ74"/>
      <c r="UYA74"/>
      <c r="UYB74"/>
      <c r="UYC74"/>
      <c r="UYD74"/>
      <c r="UYE74"/>
      <c r="UYF74"/>
      <c r="UYG74"/>
      <c r="UYH74"/>
      <c r="UYI74"/>
      <c r="UYJ74"/>
      <c r="UYK74"/>
      <c r="UYL74"/>
      <c r="UYM74"/>
      <c r="UYN74"/>
      <c r="UYO74"/>
      <c r="UYP74"/>
      <c r="UYQ74"/>
      <c r="UYR74"/>
      <c r="UYS74"/>
      <c r="UYT74"/>
      <c r="UYU74"/>
      <c r="UYV74"/>
      <c r="UYW74"/>
      <c r="UYX74"/>
      <c r="UYY74"/>
      <c r="UYZ74"/>
      <c r="UZA74"/>
      <c r="UZB74"/>
      <c r="UZC74"/>
      <c r="UZD74"/>
      <c r="UZE74"/>
      <c r="UZF74"/>
      <c r="UZG74"/>
      <c r="UZH74"/>
      <c r="UZI74"/>
      <c r="UZJ74"/>
      <c r="UZK74"/>
      <c r="UZL74"/>
      <c r="UZM74"/>
      <c r="UZN74"/>
      <c r="UZO74"/>
      <c r="UZP74"/>
      <c r="UZQ74"/>
      <c r="UZR74"/>
      <c r="UZS74"/>
      <c r="UZT74"/>
      <c r="UZU74"/>
      <c r="UZV74"/>
      <c r="UZW74"/>
      <c r="UZX74"/>
      <c r="UZY74"/>
      <c r="UZZ74"/>
      <c r="VAA74"/>
      <c r="VAB74"/>
      <c r="VAC74"/>
      <c r="VAD74"/>
      <c r="VAE74"/>
      <c r="VAF74"/>
      <c r="VAG74"/>
      <c r="VAH74"/>
      <c r="VAI74"/>
      <c r="VAJ74"/>
      <c r="VAK74"/>
      <c r="VAL74"/>
      <c r="VAM74"/>
      <c r="VAN74"/>
      <c r="VAO74"/>
      <c r="VAP74"/>
      <c r="VAQ74"/>
      <c r="VAR74"/>
      <c r="VAS74"/>
      <c r="VAT74"/>
      <c r="VAU74"/>
      <c r="VAV74"/>
      <c r="VAW74"/>
      <c r="VAX74"/>
      <c r="VAY74"/>
      <c r="VAZ74"/>
      <c r="VBA74"/>
      <c r="VBB74"/>
      <c r="VBC74"/>
      <c r="VBD74"/>
      <c r="VBE74"/>
      <c r="VBF74"/>
      <c r="VBG74"/>
      <c r="VBH74"/>
      <c r="VBI74"/>
      <c r="VBJ74"/>
      <c r="VBK74"/>
      <c r="VBL74"/>
      <c r="VBM74"/>
      <c r="VBN74"/>
      <c r="VBO74"/>
      <c r="VBP74"/>
      <c r="VBQ74"/>
      <c r="VBR74"/>
      <c r="VBS74"/>
      <c r="VBT74"/>
      <c r="VBU74"/>
      <c r="VBV74"/>
      <c r="VBW74"/>
      <c r="VBX74"/>
      <c r="VBY74"/>
      <c r="VBZ74"/>
      <c r="VCA74"/>
      <c r="VCB74"/>
      <c r="VCC74"/>
      <c r="VCD74"/>
      <c r="VCE74"/>
      <c r="VCF74"/>
      <c r="VCG74"/>
      <c r="VCH74"/>
      <c r="VCI74"/>
      <c r="VCJ74"/>
      <c r="VCK74"/>
      <c r="VCL74"/>
      <c r="VCM74"/>
      <c r="VCN74"/>
      <c r="VCO74"/>
      <c r="VCP74"/>
      <c r="VCQ74"/>
      <c r="VCR74"/>
      <c r="VCS74"/>
      <c r="VCT74"/>
      <c r="VCU74"/>
      <c r="VCV74"/>
      <c r="VCW74"/>
      <c r="VCX74"/>
      <c r="VCY74"/>
      <c r="VCZ74"/>
      <c r="VDA74"/>
      <c r="VDB74"/>
      <c r="VDC74"/>
      <c r="VDD74"/>
      <c r="VDE74"/>
      <c r="VDF74"/>
      <c r="VDG74"/>
      <c r="VDH74"/>
      <c r="VDI74"/>
      <c r="VDJ74"/>
      <c r="VDK74"/>
      <c r="VDL74"/>
      <c r="VDM74"/>
      <c r="VDN74"/>
      <c r="VDO74"/>
      <c r="VDP74"/>
      <c r="VDQ74"/>
      <c r="VDR74"/>
      <c r="VDS74"/>
      <c r="VDT74"/>
      <c r="VDU74"/>
      <c r="VDV74"/>
      <c r="VDW74"/>
      <c r="VDX74"/>
      <c r="VDY74"/>
      <c r="VDZ74"/>
      <c r="VEA74"/>
      <c r="VEB74"/>
      <c r="VEC74"/>
      <c r="VED74"/>
      <c r="VEE74"/>
      <c r="VEF74"/>
      <c r="VEG74"/>
      <c r="VEH74"/>
      <c r="VEI74"/>
      <c r="VEJ74"/>
      <c r="VEK74"/>
      <c r="VEL74"/>
      <c r="VEM74"/>
      <c r="VEN74"/>
      <c r="VEO74"/>
      <c r="VEP74"/>
      <c r="VEQ74"/>
      <c r="VER74"/>
      <c r="VES74"/>
      <c r="VET74"/>
      <c r="VEU74"/>
      <c r="VEV74"/>
      <c r="VEW74"/>
      <c r="VEX74"/>
      <c r="VEY74"/>
      <c r="VEZ74"/>
      <c r="VFA74"/>
      <c r="VFB74"/>
      <c r="VFC74"/>
      <c r="VFD74"/>
      <c r="VFE74"/>
      <c r="VFF74"/>
      <c r="VFG74"/>
      <c r="VFH74"/>
      <c r="VFI74"/>
      <c r="VFJ74"/>
      <c r="VFK74"/>
      <c r="VFL74"/>
      <c r="VFM74"/>
      <c r="VFN74"/>
      <c r="VFO74"/>
      <c r="VFP74"/>
      <c r="VFQ74"/>
      <c r="VFR74"/>
      <c r="VFS74"/>
      <c r="VFT74"/>
      <c r="VFU74"/>
      <c r="VFV74"/>
      <c r="VFW74"/>
      <c r="VFX74"/>
      <c r="VFY74"/>
      <c r="VFZ74"/>
      <c r="VGA74"/>
      <c r="VGB74"/>
      <c r="VGC74"/>
      <c r="VGD74"/>
      <c r="VGE74"/>
      <c r="VGF74"/>
      <c r="VGG74"/>
      <c r="VGH74"/>
      <c r="VGI74"/>
      <c r="VGJ74"/>
      <c r="VGK74"/>
      <c r="VGL74"/>
      <c r="VGM74"/>
      <c r="VGN74"/>
      <c r="VGO74"/>
      <c r="VGP74"/>
      <c r="VGQ74"/>
      <c r="VGR74"/>
      <c r="VGS74"/>
      <c r="VGT74"/>
      <c r="VGU74"/>
      <c r="VGV74"/>
      <c r="VGW74"/>
      <c r="VGX74"/>
      <c r="VGY74"/>
      <c r="VGZ74"/>
      <c r="VHA74"/>
      <c r="VHB74"/>
      <c r="VHC74"/>
      <c r="VHD74"/>
      <c r="VHE74"/>
      <c r="VHF74"/>
      <c r="VHG74"/>
      <c r="VHH74"/>
      <c r="VHI74"/>
      <c r="VHJ74"/>
      <c r="VHK74"/>
      <c r="VHL74"/>
      <c r="VHM74"/>
      <c r="VHN74"/>
      <c r="VHO74"/>
      <c r="VHP74"/>
      <c r="VHQ74"/>
      <c r="VHR74"/>
      <c r="VHS74"/>
      <c r="VHT74"/>
      <c r="VHU74"/>
      <c r="VHV74"/>
      <c r="VHW74"/>
      <c r="VHX74"/>
      <c r="VHY74"/>
      <c r="VHZ74"/>
      <c r="VIA74"/>
      <c r="VIB74"/>
      <c r="VIC74"/>
      <c r="VID74"/>
      <c r="VIE74"/>
      <c r="VIF74"/>
      <c r="VIG74"/>
      <c r="VIH74"/>
      <c r="VII74"/>
      <c r="VIJ74"/>
      <c r="VIK74"/>
      <c r="VIL74"/>
      <c r="VIM74"/>
      <c r="VIN74"/>
      <c r="VIO74"/>
      <c r="VIP74"/>
      <c r="VIQ74"/>
      <c r="VIR74"/>
      <c r="VIS74"/>
      <c r="VIT74"/>
      <c r="VIU74"/>
      <c r="VIV74"/>
      <c r="VIW74"/>
      <c r="VIX74"/>
      <c r="VIY74"/>
      <c r="VIZ74"/>
      <c r="VJA74"/>
      <c r="VJB74"/>
      <c r="VJC74"/>
      <c r="VJD74"/>
      <c r="VJE74"/>
      <c r="VJF74"/>
      <c r="VJG74"/>
      <c r="VJH74"/>
      <c r="VJI74"/>
      <c r="VJJ74"/>
      <c r="VJK74"/>
      <c r="VJL74"/>
      <c r="VJM74"/>
      <c r="VJN74"/>
      <c r="VJO74"/>
      <c r="VJP74"/>
      <c r="VJQ74"/>
      <c r="VJR74"/>
      <c r="VJS74"/>
      <c r="VJT74"/>
      <c r="VJU74"/>
      <c r="VJV74"/>
      <c r="VJW74"/>
      <c r="VJX74"/>
      <c r="VJY74"/>
      <c r="VJZ74"/>
      <c r="VKA74"/>
      <c r="VKB74"/>
      <c r="VKC74"/>
      <c r="VKD74"/>
      <c r="VKE74"/>
      <c r="VKF74"/>
      <c r="VKG74"/>
      <c r="VKH74"/>
      <c r="VKI74"/>
      <c r="VKJ74"/>
      <c r="VKK74"/>
      <c r="VKL74"/>
      <c r="VKM74"/>
      <c r="VKN74"/>
      <c r="VKO74"/>
      <c r="VKP74"/>
      <c r="VKQ74"/>
      <c r="VKR74"/>
      <c r="VKS74"/>
      <c r="VKT74"/>
      <c r="VKU74"/>
      <c r="VKV74"/>
      <c r="VKW74"/>
      <c r="VKX74"/>
      <c r="VKY74"/>
      <c r="VKZ74"/>
      <c r="VLA74"/>
      <c r="VLB74"/>
      <c r="VLC74"/>
      <c r="VLD74"/>
      <c r="VLE74"/>
      <c r="VLF74"/>
      <c r="VLG74"/>
      <c r="VLH74"/>
      <c r="VLI74"/>
      <c r="VLJ74"/>
      <c r="VLK74"/>
      <c r="VLL74"/>
      <c r="VLM74"/>
      <c r="VLN74"/>
      <c r="VLO74"/>
      <c r="VLP74"/>
      <c r="VLQ74"/>
      <c r="VLR74"/>
      <c r="VLS74"/>
      <c r="VLT74"/>
      <c r="VLU74"/>
      <c r="VLV74"/>
      <c r="VLW74"/>
      <c r="VLX74"/>
      <c r="VLY74"/>
      <c r="VLZ74"/>
      <c r="VMA74"/>
      <c r="VMB74"/>
      <c r="VMC74"/>
      <c r="VMD74"/>
      <c r="VME74"/>
      <c r="VMF74"/>
      <c r="VMG74"/>
      <c r="VMH74"/>
      <c r="VMI74"/>
      <c r="VMJ74"/>
      <c r="VMK74"/>
      <c r="VML74"/>
      <c r="VMM74"/>
      <c r="VMN74"/>
      <c r="VMO74"/>
      <c r="VMP74"/>
      <c r="VMQ74"/>
      <c r="VMR74"/>
      <c r="VMS74"/>
      <c r="VMT74"/>
      <c r="VMU74"/>
      <c r="VMV74"/>
      <c r="VMW74"/>
      <c r="VMX74"/>
      <c r="VMY74"/>
      <c r="VMZ74"/>
      <c r="VNA74"/>
      <c r="VNB74"/>
      <c r="VNC74"/>
      <c r="VND74"/>
      <c r="VNE74"/>
      <c r="VNF74"/>
      <c r="VNG74"/>
      <c r="VNH74"/>
      <c r="VNI74"/>
      <c r="VNJ74"/>
      <c r="VNK74"/>
      <c r="VNL74"/>
      <c r="VNM74"/>
      <c r="VNN74"/>
      <c r="VNO74"/>
      <c r="VNP74"/>
      <c r="VNQ74"/>
      <c r="VNR74"/>
      <c r="VNS74"/>
      <c r="VNT74"/>
      <c r="VNU74"/>
      <c r="VNV74"/>
      <c r="VNW74"/>
      <c r="VNX74"/>
      <c r="VNY74"/>
      <c r="VNZ74"/>
      <c r="VOA74"/>
      <c r="VOB74"/>
      <c r="VOC74"/>
      <c r="VOD74"/>
      <c r="VOE74"/>
      <c r="VOF74"/>
      <c r="VOG74"/>
      <c r="VOH74"/>
      <c r="VOI74"/>
      <c r="VOJ74"/>
      <c r="VOK74"/>
      <c r="VOL74"/>
      <c r="VOM74"/>
      <c r="VON74"/>
      <c r="VOO74"/>
      <c r="VOP74"/>
      <c r="VOQ74"/>
      <c r="VOR74"/>
      <c r="VOS74"/>
      <c r="VOT74"/>
      <c r="VOU74"/>
      <c r="VOV74"/>
      <c r="VOW74"/>
      <c r="VOX74"/>
      <c r="VOY74"/>
      <c r="VOZ74"/>
      <c r="VPA74"/>
      <c r="VPB74"/>
      <c r="VPC74"/>
      <c r="VPD74"/>
      <c r="VPE74"/>
      <c r="VPF74"/>
      <c r="VPG74"/>
      <c r="VPH74"/>
      <c r="VPI74"/>
      <c r="VPJ74"/>
      <c r="VPK74"/>
      <c r="VPL74"/>
      <c r="VPM74"/>
      <c r="VPN74"/>
      <c r="VPO74"/>
      <c r="VPP74"/>
      <c r="VPQ74"/>
      <c r="VPR74"/>
      <c r="VPS74"/>
      <c r="VPT74"/>
      <c r="VPU74"/>
      <c r="VPV74"/>
      <c r="VPW74"/>
      <c r="VPX74"/>
      <c r="VPY74"/>
      <c r="VPZ74"/>
      <c r="VQA74"/>
      <c r="VQB74"/>
      <c r="VQC74"/>
      <c r="VQD74"/>
      <c r="VQE74"/>
      <c r="VQF74"/>
      <c r="VQG74"/>
      <c r="VQH74"/>
      <c r="VQI74"/>
      <c r="VQJ74"/>
      <c r="VQK74"/>
      <c r="VQL74"/>
      <c r="VQM74"/>
      <c r="VQN74"/>
      <c r="VQO74"/>
      <c r="VQP74"/>
      <c r="VQQ74"/>
      <c r="VQR74"/>
      <c r="VQS74"/>
      <c r="VQT74"/>
      <c r="VQU74"/>
      <c r="VQV74"/>
      <c r="VQW74"/>
      <c r="VQX74"/>
      <c r="VQY74"/>
      <c r="VQZ74"/>
      <c r="VRA74"/>
      <c r="VRB74"/>
      <c r="VRC74"/>
      <c r="VRD74"/>
      <c r="VRE74"/>
      <c r="VRF74"/>
      <c r="VRG74"/>
      <c r="VRH74"/>
      <c r="VRI74"/>
      <c r="VRJ74"/>
      <c r="VRK74"/>
      <c r="VRL74"/>
      <c r="VRM74"/>
      <c r="VRN74"/>
      <c r="VRO74"/>
      <c r="VRP74"/>
      <c r="VRQ74"/>
      <c r="VRR74"/>
      <c r="VRS74"/>
      <c r="VRT74"/>
      <c r="VRU74"/>
      <c r="VRV74"/>
      <c r="VRW74"/>
      <c r="VRX74"/>
      <c r="VRY74"/>
      <c r="VRZ74"/>
      <c r="VSA74"/>
      <c r="VSB74"/>
      <c r="VSC74"/>
      <c r="VSD74"/>
      <c r="VSE74"/>
      <c r="VSF74"/>
      <c r="VSG74"/>
      <c r="VSH74"/>
      <c r="VSI74"/>
      <c r="VSJ74"/>
      <c r="VSK74"/>
      <c r="VSL74"/>
      <c r="VSM74"/>
      <c r="VSN74"/>
      <c r="VSO74"/>
      <c r="VSP74"/>
      <c r="VSQ74"/>
      <c r="VSR74"/>
      <c r="VSS74"/>
      <c r="VST74"/>
      <c r="VSU74"/>
      <c r="VSV74"/>
      <c r="VSW74"/>
      <c r="VSX74"/>
      <c r="VSY74"/>
      <c r="VSZ74"/>
      <c r="VTA74"/>
      <c r="VTB74"/>
      <c r="VTC74"/>
      <c r="VTD74"/>
      <c r="VTE74"/>
      <c r="VTF74"/>
      <c r="VTG74"/>
      <c r="VTH74"/>
      <c r="VTI74"/>
      <c r="VTJ74"/>
      <c r="VTK74"/>
      <c r="VTL74"/>
      <c r="VTM74"/>
      <c r="VTN74"/>
      <c r="VTO74"/>
      <c r="VTP74"/>
      <c r="VTQ74"/>
      <c r="VTR74"/>
      <c r="VTS74"/>
      <c r="VTT74"/>
      <c r="VTU74"/>
      <c r="VTV74"/>
      <c r="VTW74"/>
      <c r="VTX74"/>
      <c r="VTY74"/>
      <c r="VTZ74"/>
      <c r="VUA74"/>
      <c r="VUB74"/>
      <c r="VUC74"/>
      <c r="VUD74"/>
      <c r="VUE74"/>
      <c r="VUF74"/>
      <c r="VUG74"/>
      <c r="VUH74"/>
      <c r="VUI74"/>
      <c r="VUJ74"/>
      <c r="VUK74"/>
      <c r="VUL74"/>
      <c r="VUM74"/>
      <c r="VUN74"/>
      <c r="VUO74"/>
      <c r="VUP74"/>
      <c r="VUQ74"/>
      <c r="VUR74"/>
      <c r="VUS74"/>
      <c r="VUT74"/>
      <c r="VUU74"/>
      <c r="VUV74"/>
      <c r="VUW74"/>
      <c r="VUX74"/>
      <c r="VUY74"/>
      <c r="VUZ74"/>
      <c r="VVA74"/>
      <c r="VVB74"/>
      <c r="VVC74"/>
      <c r="VVD74"/>
      <c r="VVE74"/>
      <c r="VVF74"/>
      <c r="VVG74"/>
      <c r="VVH74"/>
      <c r="VVI74"/>
      <c r="VVJ74"/>
      <c r="VVK74"/>
      <c r="VVL74"/>
      <c r="VVM74"/>
      <c r="VVN74"/>
      <c r="VVO74"/>
      <c r="VVP74"/>
      <c r="VVQ74"/>
      <c r="VVR74"/>
      <c r="VVS74"/>
      <c r="VVT74"/>
      <c r="VVU74"/>
      <c r="VVV74"/>
      <c r="VVW74"/>
      <c r="VVX74"/>
      <c r="VVY74"/>
      <c r="VVZ74"/>
      <c r="VWA74"/>
      <c r="VWB74"/>
      <c r="VWC74"/>
      <c r="VWD74"/>
      <c r="VWE74"/>
      <c r="VWF74"/>
      <c r="VWG74"/>
      <c r="VWH74"/>
      <c r="VWI74"/>
      <c r="VWJ74"/>
      <c r="VWK74"/>
      <c r="VWL74"/>
      <c r="VWM74"/>
      <c r="VWN74"/>
      <c r="VWO74"/>
      <c r="VWP74"/>
      <c r="VWQ74"/>
      <c r="VWR74"/>
      <c r="VWS74"/>
      <c r="VWT74"/>
      <c r="VWU74"/>
      <c r="VWV74"/>
      <c r="VWW74"/>
      <c r="VWX74"/>
      <c r="VWY74"/>
      <c r="VWZ74"/>
      <c r="VXA74"/>
      <c r="VXB74"/>
      <c r="VXC74"/>
      <c r="VXD74"/>
      <c r="VXE74"/>
      <c r="VXF74"/>
      <c r="VXG74"/>
      <c r="VXH74"/>
      <c r="VXI74"/>
      <c r="VXJ74"/>
      <c r="VXK74"/>
      <c r="VXL74"/>
      <c r="VXM74"/>
      <c r="VXN74"/>
      <c r="VXO74"/>
      <c r="VXP74"/>
      <c r="VXQ74"/>
      <c r="VXR74"/>
      <c r="VXS74"/>
      <c r="VXT74"/>
      <c r="VXU74"/>
      <c r="VXV74"/>
      <c r="VXW74"/>
      <c r="VXX74"/>
      <c r="VXY74"/>
      <c r="VXZ74"/>
      <c r="VYA74"/>
      <c r="VYB74"/>
      <c r="VYC74"/>
      <c r="VYD74"/>
      <c r="VYE74"/>
      <c r="VYF74"/>
      <c r="VYG74"/>
      <c r="VYH74"/>
      <c r="VYI74"/>
      <c r="VYJ74"/>
      <c r="VYK74"/>
      <c r="VYL74"/>
      <c r="VYM74"/>
      <c r="VYN74"/>
      <c r="VYO74"/>
      <c r="VYP74"/>
      <c r="VYQ74"/>
      <c r="VYR74"/>
      <c r="VYS74"/>
      <c r="VYT74"/>
      <c r="VYU74"/>
      <c r="VYV74"/>
      <c r="VYW74"/>
      <c r="VYX74"/>
      <c r="VYY74"/>
      <c r="VYZ74"/>
      <c r="VZA74"/>
      <c r="VZB74"/>
      <c r="VZC74"/>
      <c r="VZD74"/>
      <c r="VZE74"/>
      <c r="VZF74"/>
      <c r="VZG74"/>
      <c r="VZH74"/>
      <c r="VZI74"/>
      <c r="VZJ74"/>
      <c r="VZK74"/>
      <c r="VZL74"/>
      <c r="VZM74"/>
      <c r="VZN74"/>
      <c r="VZO74"/>
      <c r="VZP74"/>
      <c r="VZQ74"/>
      <c r="VZR74"/>
      <c r="VZS74"/>
      <c r="VZT74"/>
      <c r="VZU74"/>
      <c r="VZV74"/>
      <c r="VZW74"/>
      <c r="VZX74"/>
      <c r="VZY74"/>
      <c r="VZZ74"/>
      <c r="WAA74"/>
      <c r="WAB74"/>
      <c r="WAC74"/>
      <c r="WAD74"/>
      <c r="WAE74"/>
      <c r="WAF74"/>
      <c r="WAG74"/>
      <c r="WAH74"/>
      <c r="WAI74"/>
      <c r="WAJ74"/>
      <c r="WAK74"/>
      <c r="WAL74"/>
      <c r="WAM74"/>
      <c r="WAN74"/>
      <c r="WAO74"/>
      <c r="WAP74"/>
      <c r="WAQ74"/>
      <c r="WAR74"/>
      <c r="WAS74"/>
      <c r="WAT74"/>
      <c r="WAU74"/>
      <c r="WAV74"/>
      <c r="WAW74"/>
      <c r="WAX74"/>
      <c r="WAY74"/>
      <c r="WAZ74"/>
      <c r="WBA74"/>
      <c r="WBB74"/>
      <c r="WBC74"/>
      <c r="WBD74"/>
      <c r="WBE74"/>
      <c r="WBF74"/>
      <c r="WBG74"/>
      <c r="WBH74"/>
      <c r="WBI74"/>
      <c r="WBJ74"/>
      <c r="WBK74"/>
      <c r="WBL74"/>
      <c r="WBM74"/>
      <c r="WBN74"/>
      <c r="WBO74"/>
      <c r="WBP74"/>
      <c r="WBQ74"/>
      <c r="WBR74"/>
      <c r="WBS74"/>
      <c r="WBT74"/>
      <c r="WBU74"/>
      <c r="WBV74"/>
      <c r="WBW74"/>
      <c r="WBX74"/>
      <c r="WBY74"/>
      <c r="WBZ74"/>
      <c r="WCA74"/>
      <c r="WCB74"/>
      <c r="WCC74"/>
      <c r="WCD74"/>
      <c r="WCE74"/>
      <c r="WCF74"/>
      <c r="WCG74"/>
      <c r="WCH74"/>
      <c r="WCI74"/>
      <c r="WCJ74"/>
      <c r="WCK74"/>
      <c r="WCL74"/>
      <c r="WCM74"/>
      <c r="WCN74"/>
      <c r="WCO74"/>
      <c r="WCP74"/>
      <c r="WCQ74"/>
      <c r="WCR74"/>
      <c r="WCS74"/>
      <c r="WCT74"/>
      <c r="WCU74"/>
      <c r="WCV74"/>
      <c r="WCW74"/>
      <c r="WCX74"/>
      <c r="WCY74"/>
      <c r="WCZ74"/>
      <c r="WDA74"/>
      <c r="WDB74"/>
      <c r="WDC74"/>
      <c r="WDD74"/>
      <c r="WDE74"/>
      <c r="WDF74"/>
      <c r="WDG74"/>
      <c r="WDH74"/>
      <c r="WDI74"/>
      <c r="WDJ74"/>
      <c r="WDK74"/>
      <c r="WDL74"/>
      <c r="WDM74"/>
      <c r="WDN74"/>
      <c r="WDO74"/>
      <c r="WDP74"/>
      <c r="WDQ74"/>
      <c r="WDR74"/>
      <c r="WDS74"/>
      <c r="WDT74"/>
      <c r="WDU74"/>
      <c r="WDV74"/>
      <c r="WDW74"/>
      <c r="WDX74"/>
      <c r="WDY74"/>
      <c r="WDZ74"/>
      <c r="WEA74"/>
      <c r="WEB74"/>
      <c r="WEC74"/>
      <c r="WED74"/>
      <c r="WEE74"/>
      <c r="WEF74"/>
      <c r="WEG74"/>
      <c r="WEH74"/>
      <c r="WEI74"/>
      <c r="WEJ74"/>
      <c r="WEK74"/>
      <c r="WEL74"/>
      <c r="WEM74"/>
      <c r="WEN74"/>
      <c r="WEO74"/>
      <c r="WEP74"/>
      <c r="WEQ74"/>
      <c r="WER74"/>
      <c r="WES74"/>
      <c r="WET74"/>
      <c r="WEU74"/>
      <c r="WEV74"/>
      <c r="WEW74"/>
      <c r="WEX74"/>
      <c r="WEY74"/>
      <c r="WEZ74"/>
      <c r="WFA74"/>
      <c r="WFB74"/>
      <c r="WFC74"/>
      <c r="WFD74"/>
      <c r="WFE74"/>
      <c r="WFF74"/>
      <c r="WFG74"/>
      <c r="WFH74"/>
      <c r="WFI74"/>
      <c r="WFJ74"/>
      <c r="WFK74"/>
      <c r="WFL74"/>
      <c r="WFM74"/>
      <c r="WFN74"/>
      <c r="WFO74"/>
      <c r="WFP74"/>
      <c r="WFQ74"/>
      <c r="WFR74"/>
      <c r="WFS74"/>
      <c r="WFT74"/>
      <c r="WFU74"/>
      <c r="WFV74"/>
      <c r="WFW74"/>
      <c r="WFX74"/>
      <c r="WFY74"/>
      <c r="WFZ74"/>
      <c r="WGA74"/>
      <c r="WGB74"/>
      <c r="WGC74"/>
      <c r="WGD74"/>
      <c r="WGE74"/>
      <c r="WGF74"/>
      <c r="WGG74"/>
      <c r="WGH74"/>
      <c r="WGI74"/>
      <c r="WGJ74"/>
      <c r="WGK74"/>
      <c r="WGL74"/>
      <c r="WGM74"/>
      <c r="WGN74"/>
      <c r="WGO74"/>
      <c r="WGP74"/>
      <c r="WGQ74"/>
      <c r="WGR74"/>
      <c r="WGS74"/>
      <c r="WGT74"/>
      <c r="WGU74"/>
      <c r="WGV74"/>
      <c r="WGW74"/>
      <c r="WGX74"/>
      <c r="WGY74"/>
      <c r="WGZ74"/>
      <c r="WHA74"/>
      <c r="WHB74"/>
      <c r="WHC74"/>
      <c r="WHD74"/>
      <c r="WHE74"/>
      <c r="WHF74"/>
      <c r="WHG74"/>
      <c r="WHH74"/>
      <c r="WHI74"/>
      <c r="WHJ74"/>
      <c r="WHK74"/>
      <c r="WHL74"/>
      <c r="WHM74"/>
      <c r="WHN74"/>
      <c r="WHO74"/>
      <c r="WHP74"/>
      <c r="WHQ74"/>
      <c r="WHR74"/>
      <c r="WHS74"/>
      <c r="WHT74"/>
      <c r="WHU74"/>
      <c r="WHV74"/>
      <c r="WHW74"/>
      <c r="WHX74"/>
      <c r="WHY74"/>
      <c r="WHZ74"/>
      <c r="WIA74"/>
      <c r="WIB74"/>
      <c r="WIC74"/>
      <c r="WID74"/>
      <c r="WIE74"/>
      <c r="WIF74"/>
      <c r="WIG74"/>
      <c r="WIH74"/>
      <c r="WII74"/>
      <c r="WIJ74"/>
      <c r="WIK74"/>
      <c r="WIL74"/>
      <c r="WIM74"/>
      <c r="WIN74"/>
      <c r="WIO74"/>
      <c r="WIP74"/>
      <c r="WIQ74"/>
      <c r="WIR74"/>
      <c r="WIS74"/>
      <c r="WIT74"/>
      <c r="WIU74"/>
      <c r="WIV74"/>
      <c r="WIW74"/>
      <c r="WIX74"/>
      <c r="WIY74"/>
      <c r="WIZ74"/>
      <c r="WJA74"/>
      <c r="WJB74"/>
      <c r="WJC74"/>
      <c r="WJD74"/>
      <c r="WJE74"/>
      <c r="WJF74"/>
      <c r="WJG74"/>
      <c r="WJH74"/>
      <c r="WJI74"/>
      <c r="WJJ74"/>
      <c r="WJK74"/>
      <c r="WJL74"/>
      <c r="WJM74"/>
      <c r="WJN74"/>
      <c r="WJO74"/>
      <c r="WJP74"/>
      <c r="WJQ74"/>
      <c r="WJR74"/>
      <c r="WJS74"/>
      <c r="WJT74"/>
      <c r="WJU74"/>
      <c r="WJV74"/>
      <c r="WJW74"/>
      <c r="WJX74"/>
      <c r="WJY74"/>
      <c r="WJZ74"/>
      <c r="WKA74"/>
      <c r="WKB74"/>
      <c r="WKC74"/>
      <c r="WKD74"/>
      <c r="WKE74"/>
      <c r="WKF74"/>
      <c r="WKG74"/>
      <c r="WKH74"/>
      <c r="WKI74"/>
      <c r="WKJ74"/>
      <c r="WKK74"/>
      <c r="WKL74"/>
      <c r="WKM74"/>
      <c r="WKN74"/>
      <c r="WKO74"/>
      <c r="WKP74"/>
      <c r="WKQ74"/>
      <c r="WKR74"/>
      <c r="WKS74"/>
      <c r="WKT74"/>
      <c r="WKU74"/>
      <c r="WKV74"/>
      <c r="WKW74"/>
      <c r="WKX74"/>
      <c r="WKY74"/>
      <c r="WKZ74"/>
      <c r="WLA74"/>
      <c r="WLB74"/>
      <c r="WLC74"/>
      <c r="WLD74"/>
      <c r="WLE74"/>
      <c r="WLF74"/>
      <c r="WLG74"/>
      <c r="WLH74"/>
      <c r="WLI74"/>
      <c r="WLJ74"/>
      <c r="WLK74"/>
      <c r="WLL74"/>
      <c r="WLM74"/>
      <c r="WLN74"/>
      <c r="WLO74"/>
      <c r="WLP74"/>
      <c r="WLQ74"/>
      <c r="WLR74"/>
      <c r="WLS74"/>
      <c r="WLT74"/>
      <c r="WLU74"/>
      <c r="WLV74"/>
      <c r="WLW74"/>
      <c r="WLX74"/>
      <c r="WLY74"/>
      <c r="WLZ74"/>
      <c r="WMA74"/>
      <c r="WMB74"/>
      <c r="WMC74"/>
      <c r="WMD74"/>
      <c r="WME74"/>
      <c r="WMF74"/>
      <c r="WMG74"/>
      <c r="WMH74"/>
      <c r="WMI74"/>
      <c r="WMJ74"/>
      <c r="WMK74"/>
      <c r="WML74"/>
      <c r="WMM74"/>
      <c r="WMN74"/>
      <c r="WMO74"/>
      <c r="WMP74"/>
      <c r="WMQ74"/>
      <c r="WMR74"/>
      <c r="WMS74"/>
      <c r="WMT74"/>
      <c r="WMU74"/>
      <c r="WMV74"/>
      <c r="WMW74"/>
      <c r="WMX74"/>
      <c r="WMY74"/>
      <c r="WMZ74"/>
      <c r="WNA74"/>
      <c r="WNB74"/>
      <c r="WNC74"/>
      <c r="WND74"/>
      <c r="WNE74"/>
      <c r="WNF74"/>
      <c r="WNG74"/>
      <c r="WNH74"/>
      <c r="WNI74"/>
      <c r="WNJ74"/>
      <c r="WNK74"/>
      <c r="WNL74"/>
      <c r="WNM74"/>
      <c r="WNN74"/>
      <c r="WNO74"/>
      <c r="WNP74"/>
      <c r="WNQ74"/>
      <c r="WNR74"/>
      <c r="WNS74"/>
      <c r="WNT74"/>
      <c r="WNU74"/>
      <c r="WNV74"/>
      <c r="WNW74"/>
      <c r="WNX74"/>
      <c r="WNY74"/>
      <c r="WNZ74"/>
      <c r="WOA74"/>
      <c r="WOB74"/>
      <c r="WOC74"/>
      <c r="WOD74"/>
      <c r="WOE74"/>
      <c r="WOF74"/>
      <c r="WOG74"/>
      <c r="WOH74"/>
      <c r="WOI74"/>
      <c r="WOJ74"/>
      <c r="WOK74"/>
      <c r="WOL74"/>
      <c r="WOM74"/>
      <c r="WON74"/>
      <c r="WOO74"/>
      <c r="WOP74"/>
      <c r="WOQ74"/>
      <c r="WOR74"/>
      <c r="WOS74"/>
      <c r="WOT74"/>
      <c r="WOU74"/>
      <c r="WOV74"/>
      <c r="WOW74"/>
      <c r="WOX74"/>
      <c r="WOY74"/>
      <c r="WOZ74"/>
      <c r="WPA74"/>
      <c r="WPB74"/>
      <c r="WPC74"/>
      <c r="WPD74"/>
      <c r="WPE74"/>
      <c r="WPF74"/>
      <c r="WPG74"/>
      <c r="WPH74"/>
      <c r="WPI74"/>
      <c r="WPJ74"/>
      <c r="WPK74"/>
      <c r="WPL74"/>
      <c r="WPM74"/>
      <c r="WPN74"/>
      <c r="WPO74"/>
      <c r="WPP74"/>
      <c r="WPQ74"/>
      <c r="WPR74"/>
      <c r="WPS74"/>
      <c r="WPT74"/>
      <c r="WPU74"/>
      <c r="WPV74"/>
      <c r="WPW74"/>
      <c r="WPX74"/>
      <c r="WPY74"/>
      <c r="WPZ74"/>
      <c r="WQA74"/>
      <c r="WQB74"/>
      <c r="WQC74"/>
      <c r="WQD74"/>
      <c r="WQE74"/>
      <c r="WQF74"/>
      <c r="WQG74"/>
      <c r="WQH74"/>
      <c r="WQI74"/>
      <c r="WQJ74"/>
      <c r="WQK74"/>
      <c r="WQL74"/>
      <c r="WQM74"/>
      <c r="WQN74"/>
      <c r="WQO74"/>
      <c r="WQP74"/>
      <c r="WQQ74"/>
      <c r="WQR74"/>
      <c r="WQS74"/>
      <c r="WQT74"/>
      <c r="WQU74"/>
      <c r="WQV74"/>
      <c r="WQW74"/>
      <c r="WQX74"/>
      <c r="WQY74"/>
      <c r="WQZ74"/>
      <c r="WRA74"/>
      <c r="WRB74"/>
      <c r="WRC74"/>
      <c r="WRD74"/>
      <c r="WRE74"/>
      <c r="WRF74"/>
      <c r="WRG74"/>
      <c r="WRH74"/>
      <c r="WRI74"/>
      <c r="WRJ74"/>
      <c r="WRK74"/>
      <c r="WRL74"/>
      <c r="WRM74"/>
      <c r="WRN74"/>
      <c r="WRO74"/>
      <c r="WRP74"/>
      <c r="WRQ74"/>
      <c r="WRR74"/>
      <c r="WRS74"/>
      <c r="WRT74"/>
      <c r="WRU74"/>
      <c r="WRV74"/>
      <c r="WRW74"/>
      <c r="WRX74"/>
      <c r="WRY74"/>
      <c r="WRZ74"/>
      <c r="WSA74"/>
      <c r="WSB74"/>
      <c r="WSC74"/>
      <c r="WSD74"/>
      <c r="WSE74"/>
      <c r="WSF74"/>
      <c r="WSG74"/>
      <c r="WSH74"/>
      <c r="WSI74"/>
      <c r="WSJ74"/>
      <c r="WSK74"/>
      <c r="WSL74"/>
      <c r="WSM74"/>
      <c r="WSN74"/>
      <c r="WSO74"/>
      <c r="WSP74"/>
      <c r="WSQ74"/>
      <c r="WSR74"/>
      <c r="WSS74"/>
      <c r="WST74"/>
      <c r="WSU74"/>
      <c r="WSV74"/>
      <c r="WSW74"/>
      <c r="WSX74"/>
      <c r="WSY74"/>
      <c r="WSZ74"/>
      <c r="WTA74"/>
      <c r="WTB74"/>
      <c r="WTC74"/>
      <c r="WTD74"/>
      <c r="WTE74"/>
      <c r="WTF74"/>
      <c r="WTG74"/>
      <c r="WTH74"/>
      <c r="WTI74"/>
      <c r="WTJ74"/>
      <c r="WTK74"/>
      <c r="WTL74"/>
      <c r="WTM74"/>
      <c r="WTN74"/>
      <c r="WTO74"/>
      <c r="WTP74"/>
      <c r="WTQ74"/>
      <c r="WTR74"/>
      <c r="WTS74"/>
      <c r="WTT74"/>
      <c r="WTU74"/>
      <c r="WTV74"/>
      <c r="WTW74"/>
      <c r="WTX74"/>
      <c r="WTY74"/>
      <c r="WTZ74"/>
      <c r="WUA74"/>
      <c r="WUB74"/>
      <c r="WUC74"/>
      <c r="WUD74"/>
      <c r="WUE74"/>
      <c r="WUF74"/>
      <c r="WUG74"/>
      <c r="WUH74"/>
      <c r="WUI74"/>
      <c r="WUJ74"/>
      <c r="WUK74"/>
      <c r="WUL74"/>
      <c r="WUM74"/>
      <c r="WUN74"/>
      <c r="WUO74"/>
      <c r="WUP74"/>
      <c r="WUQ74"/>
      <c r="WUR74"/>
      <c r="WUS74"/>
      <c r="WUT74"/>
      <c r="WUU74"/>
      <c r="WUV74"/>
      <c r="WUW74"/>
      <c r="WUX74"/>
      <c r="WUY74"/>
      <c r="WUZ74"/>
      <c r="WVA74"/>
      <c r="WVB74"/>
      <c r="WVC74"/>
      <c r="WVD74"/>
      <c r="WVE74"/>
      <c r="WVF74"/>
      <c r="WVG74"/>
      <c r="WVH74"/>
      <c r="WVI74"/>
      <c r="WVJ74"/>
      <c r="WVK74"/>
      <c r="WVL74"/>
      <c r="WVM74"/>
      <c r="WVN74"/>
      <c r="WVO74"/>
      <c r="WVP74"/>
      <c r="WVQ74"/>
      <c r="WVR74"/>
      <c r="WVS74"/>
      <c r="WVT74"/>
      <c r="WVU74"/>
      <c r="WVV74"/>
      <c r="WVW74"/>
      <c r="WVX74"/>
      <c r="WVY74"/>
      <c r="WVZ74"/>
      <c r="WWA74"/>
      <c r="WWB74"/>
      <c r="WWC74"/>
      <c r="WWD74"/>
      <c r="WWE74"/>
      <c r="WWF74"/>
      <c r="WWG74"/>
      <c r="WWH74"/>
      <c r="WWI74"/>
      <c r="WWJ74"/>
      <c r="WWK74"/>
      <c r="WWL74"/>
      <c r="WWM74"/>
      <c r="WWN74"/>
      <c r="WWO74"/>
      <c r="WWP74"/>
      <c r="WWQ74"/>
      <c r="WWR74"/>
      <c r="WWS74"/>
      <c r="WWT74"/>
      <c r="WWU74"/>
      <c r="WWV74"/>
      <c r="WWW74"/>
      <c r="WWX74"/>
      <c r="WWY74"/>
      <c r="WWZ74"/>
      <c r="WXA74"/>
      <c r="WXB74"/>
      <c r="WXC74"/>
      <c r="WXD74"/>
      <c r="WXE74"/>
      <c r="WXF74"/>
      <c r="WXG74"/>
      <c r="WXH74"/>
      <c r="WXI74"/>
      <c r="WXJ74"/>
      <c r="WXK74"/>
      <c r="WXL74"/>
      <c r="WXM74"/>
      <c r="WXN74"/>
      <c r="WXO74"/>
      <c r="WXP74"/>
      <c r="WXQ74"/>
      <c r="WXR74"/>
      <c r="WXS74"/>
      <c r="WXT74"/>
      <c r="WXU74"/>
      <c r="WXV74"/>
      <c r="WXW74"/>
      <c r="WXX74"/>
      <c r="WXY74"/>
      <c r="WXZ74"/>
      <c r="WYA74"/>
      <c r="WYB74"/>
      <c r="WYC74"/>
      <c r="WYD74"/>
      <c r="WYE74"/>
      <c r="WYF74"/>
      <c r="WYG74"/>
      <c r="WYH74"/>
      <c r="WYI74"/>
      <c r="WYJ74"/>
      <c r="WYK74"/>
      <c r="WYL74"/>
      <c r="WYM74"/>
      <c r="WYN74"/>
      <c r="WYO74"/>
      <c r="WYP74"/>
      <c r="WYQ74"/>
      <c r="WYR74"/>
      <c r="WYS74"/>
      <c r="WYT74"/>
      <c r="WYU74"/>
      <c r="WYV74"/>
      <c r="WYW74"/>
      <c r="WYX74"/>
      <c r="WYY74"/>
      <c r="WYZ74"/>
      <c r="WZA74"/>
      <c r="WZB74"/>
      <c r="WZC74"/>
      <c r="WZD74"/>
      <c r="WZE74"/>
      <c r="WZF74"/>
      <c r="WZG74"/>
      <c r="WZH74"/>
      <c r="WZI74"/>
      <c r="WZJ74"/>
      <c r="WZK74"/>
      <c r="WZL74"/>
      <c r="WZM74"/>
      <c r="WZN74"/>
      <c r="WZO74"/>
      <c r="WZP74"/>
      <c r="WZQ74"/>
      <c r="WZR74"/>
      <c r="WZS74"/>
      <c r="WZT74"/>
      <c r="WZU74"/>
      <c r="WZV74"/>
      <c r="WZW74"/>
      <c r="WZX74"/>
      <c r="WZY74"/>
      <c r="WZZ74"/>
      <c r="XAA74"/>
      <c r="XAB74"/>
      <c r="XAC74"/>
      <c r="XAD74"/>
      <c r="XAE74"/>
      <c r="XAF74"/>
      <c r="XAG74"/>
      <c r="XAH74"/>
      <c r="XAI74"/>
      <c r="XAJ74"/>
      <c r="XAK74"/>
      <c r="XAL74"/>
      <c r="XAM74"/>
      <c r="XAN74"/>
      <c r="XAO74"/>
      <c r="XAP74"/>
      <c r="XAQ74"/>
      <c r="XAR74"/>
      <c r="XAS74"/>
      <c r="XAT74"/>
      <c r="XAU74"/>
      <c r="XAV74"/>
      <c r="XAW74"/>
      <c r="XAX74"/>
      <c r="XAY74"/>
      <c r="XAZ74"/>
      <c r="XBA74"/>
      <c r="XBB74"/>
      <c r="XBC74"/>
      <c r="XBD74"/>
      <c r="XBE74"/>
      <c r="XBF74"/>
      <c r="XBG74"/>
      <c r="XBH74"/>
      <c r="XBI74"/>
      <c r="XBJ74"/>
      <c r="XBK74"/>
      <c r="XBL74"/>
      <c r="XBM74"/>
      <c r="XBN74"/>
      <c r="XBO74"/>
      <c r="XBP74"/>
      <c r="XBQ74"/>
      <c r="XBR74"/>
      <c r="XBS74"/>
      <c r="XBT74"/>
      <c r="XBU74"/>
      <c r="XBV74"/>
      <c r="XBW74"/>
      <c r="XBX74"/>
      <c r="XBY74"/>
      <c r="XBZ74"/>
      <c r="XCA74"/>
      <c r="XCB74"/>
      <c r="XCC74"/>
      <c r="XCD74"/>
      <c r="XCE74"/>
      <c r="XCF74"/>
      <c r="XCG74"/>
      <c r="XCH74"/>
      <c r="XCI74"/>
      <c r="XCJ74"/>
      <c r="XCK74"/>
      <c r="XCL74"/>
      <c r="XCM74"/>
      <c r="XCN74"/>
      <c r="XCO74"/>
      <c r="XCP74"/>
      <c r="XCQ74"/>
      <c r="XCR74"/>
      <c r="XCS74"/>
      <c r="XCT74"/>
      <c r="XCU74"/>
      <c r="XCV74"/>
      <c r="XCW74"/>
      <c r="XCX74"/>
      <c r="XCY74"/>
      <c r="XCZ74"/>
      <c r="XDA74"/>
      <c r="XDB74"/>
      <c r="XDC74"/>
      <c r="XDD74"/>
      <c r="XDE74"/>
      <c r="XDF74"/>
      <c r="XDG74"/>
      <c r="XDH74"/>
      <c r="XDI74"/>
      <c r="XDJ74"/>
      <c r="XDK74"/>
      <c r="XDL74"/>
      <c r="XDM74"/>
      <c r="XDN74"/>
      <c r="XDO74"/>
      <c r="XDP74"/>
      <c r="XDQ74"/>
      <c r="XDR74"/>
      <c r="XDS74"/>
      <c r="XDT74"/>
      <c r="XDU74"/>
      <c r="XDV74"/>
      <c r="XDW74"/>
      <c r="XDX74"/>
      <c r="XDY74"/>
      <c r="XDZ74"/>
      <c r="XEA74"/>
      <c r="XEB74"/>
      <c r="XEC74"/>
      <c r="XED74"/>
      <c r="XEE74"/>
      <c r="XEF74"/>
      <c r="XEG74"/>
      <c r="XEH74"/>
      <c r="XEI74"/>
      <c r="XEJ74"/>
      <c r="XEK74"/>
      <c r="XEL74"/>
      <c r="XEM74"/>
      <c r="XEN74"/>
      <c r="XEO74"/>
      <c r="XEP74"/>
      <c r="XEQ74"/>
      <c r="XER74"/>
      <c r="XES74"/>
      <c r="XET74"/>
      <c r="XEU74"/>
      <c r="XEV74"/>
      <c r="XEW74"/>
      <c r="XEX74"/>
      <c r="XEY74"/>
      <c r="XEZ74"/>
      <c r="XFA74"/>
      <c r="XFB74"/>
    </row>
    <row r="75" spans="1:31 11519:16382" ht="17.25" customHeight="1">
      <c r="S75" s="167" t="s">
        <v>63</v>
      </c>
      <c r="T75" s="167"/>
      <c r="U75" s="167"/>
      <c r="V75" s="167"/>
      <c r="W75" s="167"/>
      <c r="X75" s="167"/>
    </row>
    <row r="76" spans="1:31 11519:16382" ht="14.45" customHeight="1">
      <c r="A76" s="63"/>
      <c r="B76" s="169" t="s">
        <v>32</v>
      </c>
      <c r="C76" s="169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46"/>
      <c r="O76" s="46"/>
      <c r="P76" s="65"/>
      <c r="Q76" s="66"/>
      <c r="R76" s="62"/>
      <c r="S76" s="48"/>
      <c r="T76" s="48"/>
      <c r="U76" s="166" t="s">
        <v>43</v>
      </c>
      <c r="V76" s="166"/>
      <c r="W76" s="166"/>
      <c r="X76" s="166"/>
      <c r="Y76" s="64"/>
    </row>
    <row r="77" spans="1:31 11519:16382">
      <c r="A77" s="56"/>
      <c r="B77" s="101"/>
      <c r="C77" s="101"/>
      <c r="U77" s="100"/>
      <c r="V77" s="100"/>
      <c r="W77" s="100"/>
      <c r="X77" s="100"/>
    </row>
    <row r="78" spans="1:31 11519:16382">
      <c r="A78" s="56"/>
      <c r="B78" s="101"/>
      <c r="C78" s="101"/>
      <c r="U78" s="100"/>
      <c r="V78" s="100"/>
      <c r="W78" s="100"/>
      <c r="X78" s="100"/>
    </row>
    <row r="79" spans="1:31 11519:16382">
      <c r="A79" s="56"/>
      <c r="B79" s="101"/>
      <c r="C79" s="101"/>
      <c r="E79" s="67"/>
      <c r="F79" s="67"/>
      <c r="U79" s="100"/>
      <c r="V79" s="100"/>
      <c r="W79" s="100"/>
      <c r="X79" s="100"/>
    </row>
    <row r="80" spans="1:31 11519:16382">
      <c r="B80" s="164" t="s">
        <v>41</v>
      </c>
      <c r="C80" s="164"/>
      <c r="U80" s="168" t="s">
        <v>44</v>
      </c>
      <c r="V80" s="168"/>
      <c r="W80" s="168"/>
      <c r="X80" s="168"/>
    </row>
    <row r="82" spans="19:24" ht="14.45" customHeight="1"/>
    <row r="84" spans="19:24">
      <c r="S84" s="68"/>
      <c r="T84" s="68"/>
      <c r="U84" s="68"/>
      <c r="V84" s="68"/>
      <c r="W84" s="68"/>
      <c r="X84" s="68"/>
    </row>
    <row r="85" spans="19:24">
      <c r="S85" s="68"/>
      <c r="T85" s="68"/>
      <c r="U85" s="68"/>
      <c r="V85" s="68"/>
      <c r="W85" s="68"/>
      <c r="X85" s="68"/>
    </row>
    <row r="86" spans="19:24">
      <c r="S86" s="68"/>
      <c r="T86" s="68"/>
      <c r="U86" s="68"/>
      <c r="V86" s="68"/>
      <c r="W86" s="68"/>
      <c r="X86" s="68"/>
    </row>
    <row r="87" spans="19:24">
      <c r="S87" s="68"/>
      <c r="T87" s="68"/>
      <c r="U87" s="68"/>
      <c r="V87" s="68"/>
      <c r="W87" s="68"/>
      <c r="X87" s="68"/>
    </row>
    <row r="88" spans="19:24">
      <c r="S88" s="68"/>
      <c r="T88" s="68"/>
      <c r="U88" s="68"/>
      <c r="V88" s="68"/>
      <c r="W88" s="68"/>
      <c r="X88" s="68"/>
    </row>
    <row r="89" spans="19:24">
      <c r="S89" s="68"/>
      <c r="T89" s="68"/>
      <c r="U89" s="68"/>
      <c r="V89" s="68"/>
      <c r="W89" s="68"/>
      <c r="X89" s="68"/>
    </row>
    <row r="90" spans="19:24">
      <c r="S90" s="68"/>
      <c r="T90" s="68"/>
      <c r="U90" s="68"/>
      <c r="V90" s="68"/>
      <c r="W90" s="68"/>
      <c r="X90" s="68"/>
    </row>
    <row r="91" spans="19:24">
      <c r="S91" s="68"/>
      <c r="T91" s="68"/>
      <c r="U91" s="68"/>
      <c r="V91" s="68"/>
      <c r="W91" s="68"/>
      <c r="X91" s="68"/>
    </row>
    <row r="92" spans="19:24">
      <c r="S92" s="68"/>
      <c r="T92" s="68"/>
      <c r="U92" s="68"/>
      <c r="V92" s="68"/>
      <c r="W92" s="68"/>
      <c r="X92" s="68"/>
    </row>
    <row r="93" spans="19:24">
      <c r="S93" s="68"/>
      <c r="T93" s="68"/>
      <c r="U93" s="68"/>
      <c r="V93" s="68"/>
      <c r="W93" s="68"/>
      <c r="X93" s="68"/>
    </row>
    <row r="94" spans="19:24">
      <c r="S94" s="68"/>
      <c r="T94" s="68"/>
      <c r="U94" s="68"/>
      <c r="V94" s="68"/>
      <c r="W94" s="68"/>
      <c r="X94" s="68"/>
    </row>
    <row r="95" spans="19:24">
      <c r="S95" s="68"/>
      <c r="T95" s="68"/>
      <c r="U95" s="68"/>
      <c r="V95" s="68"/>
      <c r="W95" s="68"/>
      <c r="X95" s="68"/>
    </row>
    <row r="96" spans="19:24">
      <c r="S96" s="68"/>
      <c r="T96" s="68"/>
      <c r="U96" s="68"/>
      <c r="V96" s="68"/>
      <c r="W96" s="68"/>
      <c r="X96" s="68"/>
    </row>
    <row r="97" spans="19:24">
      <c r="S97" s="68"/>
      <c r="T97" s="68"/>
      <c r="U97" s="68"/>
      <c r="V97" s="68"/>
      <c r="W97" s="68"/>
      <c r="X97" s="68"/>
    </row>
    <row r="98" spans="19:24">
      <c r="S98" s="68"/>
      <c r="T98" s="68"/>
      <c r="U98" s="68"/>
      <c r="V98" s="68"/>
      <c r="W98" s="68"/>
      <c r="X98" s="68"/>
    </row>
    <row r="99" spans="19:24">
      <c r="S99" s="68"/>
      <c r="T99" s="68"/>
      <c r="U99" s="68"/>
      <c r="V99" s="68"/>
      <c r="W99" s="68"/>
      <c r="X99" s="68"/>
    </row>
    <row r="100" spans="19:24">
      <c r="S100" s="68"/>
      <c r="T100" s="68"/>
      <c r="U100" s="68"/>
      <c r="V100" s="68"/>
      <c r="W100" s="68"/>
      <c r="X100" s="68"/>
    </row>
    <row r="101" spans="19:24">
      <c r="S101" s="68"/>
      <c r="T101" s="68"/>
      <c r="U101" s="68"/>
      <c r="V101" s="68"/>
      <c r="W101" s="68"/>
      <c r="X101" s="68"/>
    </row>
    <row r="102" spans="19:24">
      <c r="S102" s="68"/>
      <c r="T102" s="68"/>
      <c r="U102" s="68"/>
      <c r="V102" s="68"/>
      <c r="W102" s="68"/>
      <c r="X102" s="68"/>
    </row>
    <row r="121" spans="2:2">
      <c r="B121" s="45" t="s">
        <v>33</v>
      </c>
    </row>
    <row r="122" spans="2:2">
      <c r="B122" s="45" t="s">
        <v>34</v>
      </c>
    </row>
    <row r="123" spans="2:2">
      <c r="B123" s="45">
        <f>700*38/100</f>
        <v>266</v>
      </c>
    </row>
  </sheetData>
  <mergeCells count="188">
    <mergeCell ref="B80:C80"/>
    <mergeCell ref="Y5:Y7"/>
    <mergeCell ref="B65:B66"/>
    <mergeCell ref="C65:C66"/>
    <mergeCell ref="D65:E65"/>
    <mergeCell ref="D66:E66"/>
    <mergeCell ref="U76:X76"/>
    <mergeCell ref="S75:X75"/>
    <mergeCell ref="U80:X80"/>
    <mergeCell ref="B76:C76"/>
    <mergeCell ref="M6:M7"/>
    <mergeCell ref="AE5:AE7"/>
    <mergeCell ref="D74:G74"/>
    <mergeCell ref="D9:E9"/>
    <mergeCell ref="D10:E10"/>
    <mergeCell ref="N6:N7"/>
    <mergeCell ref="O6:O7"/>
    <mergeCell ref="P6:P7"/>
    <mergeCell ref="G6:G7"/>
    <mergeCell ref="H6:H7"/>
    <mergeCell ref="I6:I7"/>
    <mergeCell ref="J6:J7"/>
    <mergeCell ref="K6:K7"/>
    <mergeCell ref="L6:L7"/>
    <mergeCell ref="AB5:AB7"/>
    <mergeCell ref="AC5:AC7"/>
    <mergeCell ref="AD5:AD7"/>
    <mergeCell ref="A67:A68"/>
    <mergeCell ref="B67:B68"/>
    <mergeCell ref="C67:C68"/>
    <mergeCell ref="A61:A62"/>
    <mergeCell ref="B61:B62"/>
    <mergeCell ref="C61:C62"/>
    <mergeCell ref="D61:E61"/>
    <mergeCell ref="D62:E62"/>
    <mergeCell ref="A55:A56"/>
    <mergeCell ref="B55:B56"/>
    <mergeCell ref="C55:C56"/>
    <mergeCell ref="D55:E55"/>
    <mergeCell ref="D56:E56"/>
    <mergeCell ref="A57:A58"/>
    <mergeCell ref="B57:B58"/>
    <mergeCell ref="C57:C58"/>
    <mergeCell ref="D57:E57"/>
    <mergeCell ref="D58:E58"/>
    <mergeCell ref="A63:A64"/>
    <mergeCell ref="B63:B64"/>
    <mergeCell ref="C63:C64"/>
    <mergeCell ref="D63:E63"/>
    <mergeCell ref="D64:E64"/>
    <mergeCell ref="A65:A66"/>
    <mergeCell ref="A59:A60"/>
    <mergeCell ref="B59:B60"/>
    <mergeCell ref="C59:C60"/>
    <mergeCell ref="D59:E59"/>
    <mergeCell ref="A49:A50"/>
    <mergeCell ref="B49:B50"/>
    <mergeCell ref="C49:C50"/>
    <mergeCell ref="D49:E49"/>
    <mergeCell ref="D50:E50"/>
    <mergeCell ref="A51:A52"/>
    <mergeCell ref="B51:B52"/>
    <mergeCell ref="C51:C52"/>
    <mergeCell ref="D51:E51"/>
    <mergeCell ref="D52:E52"/>
    <mergeCell ref="A53:A54"/>
    <mergeCell ref="B53:B54"/>
    <mergeCell ref="C53:C54"/>
    <mergeCell ref="D53:E53"/>
    <mergeCell ref="D54:E54"/>
    <mergeCell ref="D60:E60"/>
    <mergeCell ref="A45:A46"/>
    <mergeCell ref="B45:B46"/>
    <mergeCell ref="C45:C46"/>
    <mergeCell ref="D45:E45"/>
    <mergeCell ref="D46:E46"/>
    <mergeCell ref="A47:A48"/>
    <mergeCell ref="B47:B48"/>
    <mergeCell ref="C47:C48"/>
    <mergeCell ref="D47:E47"/>
    <mergeCell ref="D48:E48"/>
    <mergeCell ref="A41:A42"/>
    <mergeCell ref="B41:B42"/>
    <mergeCell ref="C41:C42"/>
    <mergeCell ref="D41:E41"/>
    <mergeCell ref="D42:E42"/>
    <mergeCell ref="A43:A44"/>
    <mergeCell ref="B43:B44"/>
    <mergeCell ref="C43:C44"/>
    <mergeCell ref="D43:E43"/>
    <mergeCell ref="D44:E44"/>
    <mergeCell ref="A37:A38"/>
    <mergeCell ref="B37:B38"/>
    <mergeCell ref="C37:C38"/>
    <mergeCell ref="D37:E37"/>
    <mergeCell ref="D38:E38"/>
    <mergeCell ref="A39:A40"/>
    <mergeCell ref="B39:B40"/>
    <mergeCell ref="C39:C40"/>
    <mergeCell ref="D39:E39"/>
    <mergeCell ref="D40:E40"/>
    <mergeCell ref="A33:A34"/>
    <mergeCell ref="B33:B34"/>
    <mergeCell ref="C33:C34"/>
    <mergeCell ref="D33:E33"/>
    <mergeCell ref="D34:E34"/>
    <mergeCell ref="A35:A36"/>
    <mergeCell ref="B35:B36"/>
    <mergeCell ref="C35:C36"/>
    <mergeCell ref="D35:E35"/>
    <mergeCell ref="D36:E36"/>
    <mergeCell ref="A29:A30"/>
    <mergeCell ref="B29:B30"/>
    <mergeCell ref="C29:C30"/>
    <mergeCell ref="D29:E29"/>
    <mergeCell ref="D30:E30"/>
    <mergeCell ref="A31:A32"/>
    <mergeCell ref="B31:B32"/>
    <mergeCell ref="C31:C32"/>
    <mergeCell ref="D31:E31"/>
    <mergeCell ref="D32:E32"/>
    <mergeCell ref="A25:A26"/>
    <mergeCell ref="B25:B26"/>
    <mergeCell ref="C25:C26"/>
    <mergeCell ref="D25:E25"/>
    <mergeCell ref="D26:E26"/>
    <mergeCell ref="A27:A28"/>
    <mergeCell ref="B27:B28"/>
    <mergeCell ref="C27:C28"/>
    <mergeCell ref="D27:E27"/>
    <mergeCell ref="D28:E28"/>
    <mergeCell ref="A21:A22"/>
    <mergeCell ref="B21:B22"/>
    <mergeCell ref="C21:C22"/>
    <mergeCell ref="D21:E21"/>
    <mergeCell ref="D22:E22"/>
    <mergeCell ref="A23:A24"/>
    <mergeCell ref="B23:B24"/>
    <mergeCell ref="C23:C24"/>
    <mergeCell ref="D23:E23"/>
    <mergeCell ref="D24:E24"/>
    <mergeCell ref="A17:A18"/>
    <mergeCell ref="B17:B18"/>
    <mergeCell ref="C17:C18"/>
    <mergeCell ref="D17:E17"/>
    <mergeCell ref="D18:E18"/>
    <mergeCell ref="A19:A20"/>
    <mergeCell ref="B19:B20"/>
    <mergeCell ref="C19:C20"/>
    <mergeCell ref="D19:E19"/>
    <mergeCell ref="D20:E20"/>
    <mergeCell ref="A13:A14"/>
    <mergeCell ref="B13:B14"/>
    <mergeCell ref="C13:C14"/>
    <mergeCell ref="D13:E13"/>
    <mergeCell ref="D14:E14"/>
    <mergeCell ref="A15:A16"/>
    <mergeCell ref="B15:B16"/>
    <mergeCell ref="C15:C16"/>
    <mergeCell ref="D15:E15"/>
    <mergeCell ref="D16:E16"/>
    <mergeCell ref="A11:A12"/>
    <mergeCell ref="B11:B12"/>
    <mergeCell ref="C11:C12"/>
    <mergeCell ref="D11:E11"/>
    <mergeCell ref="D12:E12"/>
    <mergeCell ref="D8:E8"/>
    <mergeCell ref="A9:A10"/>
    <mergeCell ref="B9:B10"/>
    <mergeCell ref="C9:C10"/>
    <mergeCell ref="A5:A7"/>
    <mergeCell ref="B5:B7"/>
    <mergeCell ref="C5:C7"/>
    <mergeCell ref="D5:E7"/>
    <mergeCell ref="Z5:Z7"/>
    <mergeCell ref="AA5:AA7"/>
    <mergeCell ref="Q6:Q7"/>
    <mergeCell ref="R6:R7"/>
    <mergeCell ref="V6:V7"/>
    <mergeCell ref="W6:W7"/>
    <mergeCell ref="U5:U7"/>
    <mergeCell ref="V5:W5"/>
    <mergeCell ref="X5:X7"/>
    <mergeCell ref="N5:T5"/>
    <mergeCell ref="T6:T7"/>
    <mergeCell ref="G5:L5"/>
    <mergeCell ref="S6:S7"/>
    <mergeCell ref="F5:F7"/>
  </mergeCells>
  <pageMargins left="0" right="0" top="0" bottom="0" header="0" footer="0"/>
  <pageSetup paperSize="9" scale="65" orientation="landscape" r:id="rId1"/>
  <colBreaks count="1" manualBreakCount="1">
    <brk id="25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Bang TH nop</vt:lpstr>
      <vt:lpstr>LƯƠNG 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Le</dc:creator>
  <cp:lastModifiedBy>Bảo Bảo</cp:lastModifiedBy>
  <cp:lastPrinted>2025-07-31T08:23:41Z</cp:lastPrinted>
  <dcterms:created xsi:type="dcterms:W3CDTF">2015-06-05T18:17:20Z</dcterms:created>
  <dcterms:modified xsi:type="dcterms:W3CDTF">2026-05-26T15:23:35Z</dcterms:modified>
</cp:coreProperties>
</file>